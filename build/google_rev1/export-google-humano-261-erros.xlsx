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ício" sheetId="1" r:id="rId4"/>
    <sheet state="visible" name="Criação" sheetId="2" r:id="rId5"/>
    <sheet state="visible" name="Em Jogo" sheetId="3" r:id="rId6"/>
    <sheet state="visible" name="Testes" sheetId="4" r:id="rId7"/>
    <sheet state="visible" name="Habilidades" sheetId="5" r:id="rId8"/>
    <sheet state="visible" name="Caminho" sheetId="6" r:id="rId9"/>
    <sheet state="visible" name="Equipamento" sheetId="7" r:id="rId10"/>
    <sheet state="visible" name="Progressão" sheetId="8" r:id="rId11"/>
    <sheet state="visible" name="Regras Rápidas" sheetId="9" r:id="rId12"/>
    <sheet state="visible" name="Dados" sheetId="10" r:id="rId13"/>
  </sheets>
  <definedNames/>
  <calcPr/>
  <extLst>
    <ext uri="GoogleSheetsCustomDataVersion2">
      <go:sheetsCustomData xmlns:go="http://customooxmlschemas.google.com/" r:id="rId14" roundtripDataChecksum="FUnrRojmr0c+jEMMQ9X4bvFcfxrR9xw+HcvZIsupOWE="/>
    </ext>
  </extLst>
</workbook>
</file>

<file path=xl/sharedStrings.xml><?xml version="1.0" encoding="utf-8"?>
<sst xmlns="http://schemas.openxmlformats.org/spreadsheetml/2006/main" count="3005" uniqueCount="1543">
  <si>
    <t>Início — Explorando Galáxias v1.1</t>
  </si>
  <si>
    <t>Testes — Explorando Galáxias v1.1</t>
  </si>
  <si>
    <t>Criação — Explorando Galáxias v1.1</t>
  </si>
  <si>
    <t>Legenda:</t>
  </si>
  <si>
    <t>Resumo para o Jogador</t>
  </si>
  <si>
    <t>Entrada (preencha)</t>
  </si>
  <si>
    <t>Recursos (preencha os amarelos)</t>
  </si>
  <si>
    <t>Calculadora de dano (23.1 e 23.3)</t>
  </si>
  <si>
    <t>Avisos desta aba (automático; o resumo aparece na linha 13)</t>
  </si>
  <si>
    <t>Valores auxiliares (automático)</t>
  </si>
  <si>
    <t>Usos (auxiliar): nome</t>
  </si>
  <si>
    <t>frequência</t>
  </si>
  <si>
    <t>entra?</t>
  </si>
  <si>
    <t>Calculada (automático)</t>
  </si>
  <si>
    <t>ordem</t>
  </si>
  <si>
    <t>Perícias (auxiliar)</t>
  </si>
  <si>
    <t>Usos (auxiliar): frequência por linha</t>
  </si>
  <si>
    <t>Nome</t>
  </si>
  <si>
    <t>Aviso (texto em vermelho)</t>
  </si>
  <si>
    <t>Título de bloco</t>
  </si>
  <si>
    <t>PV atual</t>
  </si>
  <si>
    <t>Cabeçalho de coluna</t>
  </si>
  <si>
    <t>Rótulo da linha</t>
  </si>
  <si>
    <t>Linha alternada (outro tom)</t>
  </si>
  <si>
    <t>Não se aplica</t>
  </si>
  <si>
    <t>Comece por aqui: como usar a ficha, importar no Google Planilhas e o painel de avisos.</t>
  </si>
  <si>
    <t>Ficha de Personagem — Explorando Galáxias v1.1</t>
  </si>
  <si>
    <t>Sistema de RPG de mesa no universo de Honkai: Star Rail · autoria: MC Filhos · versão v1.1 · níveis 1 a 20. Ficha automatizada para o Google Planilhas: preencha as células amarelas e o resto se calcula sozinho.</t>
  </si>
  <si>
    <t>Painel de avisos (automático) — uma linha por aba; zero avisos = ficha conferida</t>
  </si>
  <si>
    <t>Aba</t>
  </si>
  <si>
    <t>Avisos</t>
  </si>
  <si>
    <t>Primeiro aviso</t>
  </si>
  <si>
    <t>Os 12 passos do capítulo 03, de cima para baixo.</t>
  </si>
  <si>
    <t>Listas auxiliares</t>
  </si>
  <si>
    <t>As 18 Perícias e os 6 Testes de Resistência com a rolagem pronta.</t>
  </si>
  <si>
    <t>DT por faixa — 27.2 (a sua faixa)</t>
  </si>
  <si>
    <t>Criação</t>
  </si>
  <si>
    <t>Dano recebido</t>
  </si>
  <si>
    <t>DT das suas Habilidades:</t>
  </si>
  <si>
    <t>depois de dados e bônus</t>
  </si>
  <si>
    <t>Personagem</t>
  </si>
  <si>
    <t>Sucesso Automático: bônus total ≥ DT → não rola (só Perícia, 27.2)</t>
  </si>
  <si>
    <t>Dificuldade</t>
  </si>
  <si>
    <t>DT</t>
  </si>
  <si>
    <t>Nome do personagem</t>
  </si>
  <si>
    <t>BF "Blake Foster"</t>
  </si>
  <si>
    <t>PV atual usado (vazio = cheio)</t>
  </si>
  <si>
    <t>Jogador</t>
  </si>
  <si>
    <t>MCFilhos</t>
  </si>
  <si>
    <t>Nível atual (1 a 20)</t>
  </si>
  <si>
    <t>Atletismo</t>
  </si>
  <si>
    <t>Nº de jogadores na mesa</t>
  </si>
  <si>
    <t>Método de atributos (o Mestre escolhe)</t>
  </si>
  <si>
    <t>Compra de Pontos</t>
  </si>
  <si>
    <t>Perícias — 04.4 (rolagem pronta: d20 + Bônus + Eficiência)</t>
  </si>
  <si>
    <t>Em Jogo</t>
  </si>
  <si>
    <t>Perícia (Poder, Agilidade e Vigor)</t>
  </si>
  <si>
    <t>Atributo</t>
  </si>
  <si>
    <t>Bônus</t>
  </si>
  <si>
    <t>Eficiência (origem)</t>
  </si>
  <si>
    <t>Eficácia (preencha Sim)</t>
  </si>
  <si>
    <t>Penalidade (Armadura Pesada)</t>
  </si>
  <si>
    <t>Extra (equipamento)</t>
  </si>
  <si>
    <t>Total</t>
  </si>
  <si>
    <t>Rolagem</t>
  </si>
  <si>
    <t>Vantagem racial</t>
  </si>
  <si>
    <t>Sucesso Automático até</t>
  </si>
  <si>
    <t>Aviso</t>
  </si>
  <si>
    <t>Números do seu nível (automático) — 26.2 a 26.6</t>
  </si>
  <si>
    <t>Nível usado</t>
  </si>
  <si>
    <t>Faixa (1 a 5)</t>
  </si>
  <si>
    <t>Eficiência</t>
  </si>
  <si>
    <t>Eficácia</t>
  </si>
  <si>
    <t>Slots de Eficácia em Perícias</t>
  </si>
  <si>
    <t>Slots de Eficácia em Testes de Resistência</t>
  </si>
  <si>
    <t>Especialização de Combate</t>
  </si>
  <si>
    <t>Teto de RD</t>
  </si>
  <si>
    <t>Teto de PV temporários</t>
  </si>
  <si>
    <t>Teto de bônus somado</t>
  </si>
  <si>
    <t>Teto de penalidade somada</t>
  </si>
  <si>
    <t>Bênçãos possuídas</t>
  </si>
  <si>
    <t>Raça · Caminho</t>
  </si>
  <si>
    <t>Testes</t>
  </si>
  <si>
    <t>Temporários</t>
  </si>
  <si>
    <t>Contínuo?</t>
  </si>
  <si>
    <t>Contínuo ignora a RD</t>
  </si>
  <si>
    <t>Morrendo (PV 0)</t>
  </si>
  <si>
    <t>Habilidades</t>
  </si>
  <si>
    <t>Habilidades conhecidas</t>
  </si>
  <si>
    <t>Nível máx. de Habilidade</t>
  </si>
  <si>
    <t>Reescreve 1 Habilidade por nível</t>
  </si>
  <si>
    <t>Dados de Ataque Básico</t>
  </si>
  <si>
    <t>PH do grupo: máximo</t>
  </si>
  <si>
    <t>PH do grupo: início</t>
  </si>
  <si>
    <t>PH por Ataque Básico que acerta</t>
  </si>
  <si>
    <t>Ultimate: Nível equivalente</t>
  </si>
  <si>
    <t>Cone de Luz: Nível máximo</t>
  </si>
  <si>
    <t>Tier de Relíquia (1 a 4)</t>
  </si>
  <si>
    <t>Pontos do Memoespírito</t>
  </si>
  <si>
    <t>DT para descobrir Fraqueza</t>
  </si>
  <si>
    <t>Acrobacia</t>
  </si>
  <si>
    <t>Caminho</t>
  </si>
  <si>
    <t>Nº de jogadores usado (vazio = 4)</t>
  </si>
  <si>
    <t>Aumento de Atributo neste nível?</t>
  </si>
  <si>
    <t>Passo 1 — Conceito e Propósito de Vida</t>
  </si>
  <si>
    <t>Quem é esse sujeito? (conceito em uma frase)</t>
  </si>
  <si>
    <t>Elemento</t>
  </si>
  <si>
    <t>Equipamento</t>
  </si>
  <si>
    <t>Propósito de Vida (objetivo de longo prazo)</t>
  </si>
  <si>
    <t>Em que você acredita (recarrega o Esforço; só Humano)</t>
  </si>
  <si>
    <t>Energia</t>
  </si>
  <si>
    <t>Passo 2 — Raça (capítulo 05)</t>
  </si>
  <si>
    <t>Raça</t>
  </si>
  <si>
    <t>Humano</t>
  </si>
  <si>
    <t>RD aplicada</t>
  </si>
  <si>
    <t>PV temporários usados (teto)</t>
  </si>
  <si>
    <t>Furtividade</t>
  </si>
  <si>
    <t>Bônus do Humano: +2 em um ou +1 em dois</t>
  </si>
  <si>
    <t>Só para Humano. As outras Raças têm +2 fixo ou à escolha entre duas opções.</t>
  </si>
  <si>
    <t>Progressão</t>
  </si>
  <si>
    <t>Atributo do +2 (Humano com +1 em dois: o 1º)</t>
  </si>
  <si>
    <t>Poder</t>
  </si>
  <si>
    <t>A lista mostra só as opções da sua Raça.</t>
  </si>
  <si>
    <t>PV</t>
  </si>
  <si>
    <t>PH do grupo</t>
  </si>
  <si>
    <t>Atributo 2 (só Humano com +1 em dois)</t>
  </si>
  <si>
    <t>Agilidade</t>
  </si>
  <si>
    <t>Após a RD</t>
  </si>
  <si>
    <t>Como usar em 6 passos</t>
  </si>
  <si>
    <t>mínimo 1</t>
  </si>
  <si>
    <t>Traços (resumo)</t>
  </si>
  <si>
    <t>1. Criação: preencha as células amarelas de cima para baixo — são os 12 passos do capítulo 03.</t>
  </si>
  <si>
    <t>2. Caminho: escolha as Bênçãos nos slots liberados (e monte o Memoespírito, se for A Recordação).</t>
  </si>
  <si>
    <t>3. Habilidades: escreva as suas Habilidades e a Ultimate; a ficha calcula dados, média, PH e rolagem.</t>
  </si>
  <si>
    <t>4. Equipamento: Cone de Luz, Relíquias, Conjuntos, arma secundária, inventário e Créditos.</t>
  </si>
  <si>
    <t>5. Progressão: a cada nível, mude o Nível atual na Criação e preencha os aumentos e as Ressonâncias.</t>
  </si>
  <si>
    <t>Energia usada (0 a 100)</t>
  </si>
  <si>
    <t>6. Em Jogo: na mesa, use só esta aba — PV, Energia, PH, condições, usos e a calculadora de dano.</t>
  </si>
  <si>
    <t>Legenda de cores (a cor nunca é o único sinal: o texto diz)</t>
  </si>
  <si>
    <t>Fundo amarelo com borda: é você quem preenche. Toda entrada sai vazia no arquivo.</t>
  </si>
  <si>
    <t>Traços (texto inteiro do livro)</t>
  </si>
  <si>
    <t>Fundo azul-claro: fórmula. Não edite (veja a proteção abaixo).</t>
  </si>
  <si>
    <t>Texto vermelho em fundo rosa: alguma regra do livro não fechou. O texto diz o quê.</t>
  </si>
  <si>
    <t>Pilotagem</t>
  </si>
  <si>
    <t>Faixa azul-escura: começo de um bloco, com o capítulo do livro.</t>
  </si>
  <si>
    <t>Cinza: não vale para o seu personagem (ou é coluna auxiliar).</t>
  </si>
  <si>
    <t>Como importar no Google Planilhas</t>
  </si>
  <si>
    <t>1. Envie o arquivo .xlsx para o seu Google Drive.</t>
  </si>
  <si>
    <t>2. Clique com o botão direito no arquivo → Abrir com → Planilhas Google.</t>
  </si>
  <si>
    <t>3. No Planilhas: Arquivo → Salvar como Planilhas Google. Use essa cópia (a original continua .xlsx).</t>
  </si>
  <si>
    <t>Passo 3 — Caminho (capítulo 06)</t>
  </si>
  <si>
    <t>4. Confira o Painel de avisos acima: com a ficha em branco ele mostra zero avisos.</t>
  </si>
  <si>
    <t>5. Para esconder a aba Dados: clique com o botão direito na aba Dados → Ocultar página. Não apague a aba Dados: as fórmulas leem dela.</t>
  </si>
  <si>
    <t>Como proteger as fórmulas (proteção nativa do Google, sem senha)</t>
  </si>
  <si>
    <t>1. Dados → Proteger páginas e intervalos → Adicionar uma página ou um intervalo.</t>
  </si>
  <si>
    <t>2. Escolha a aba (ou os intervalos calculados) e marque Exceto certas células para deixar as amarelas livres.</t>
  </si>
  <si>
    <t>3. Definir permissões → Mostrar um aviso ao editar este intervalo → Concluído.</t>
  </si>
  <si>
    <t>Assim ninguém apaga uma fórmula sem querer: o Google avisa antes de editar.</t>
  </si>
  <si>
    <t>O que a ficha não faz (de propósito)</t>
  </si>
  <si>
    <t>Não rola dados: ela entrega a rolagem pronta, como d20+6 ou 6d6+4 · média 25, e a mesa rola os dados físicos. Não tem macro nem script: tudo é fórmula, e cada fórmula lê o livro v1.1 pela aba Dados.</t>
  </si>
  <si>
    <t>Aeon</t>
  </si>
  <si>
    <t>PV atual é entrada direta: use a calculadora de dano da aba Em Jogo e copie o PV novo. A variante de PV rolado não é calculada (veja Regras Rápidas).</t>
  </si>
  <si>
    <t>A ideia, em uma frase</t>
  </si>
  <si>
    <t>Defesa · Esquiva</t>
  </si>
  <si>
    <t>Esforço</t>
  </si>
  <si>
    <t>Índice de vitalidade N (entra no PV)</t>
  </si>
  <si>
    <t>Absorvido</t>
  </si>
  <si>
    <t>Bônus de Velocidade do Caminho</t>
  </si>
  <si>
    <t>pelos temporários</t>
  </si>
  <si>
    <t>As 3 Perícias do Caminho (Eficiência de graça)</t>
  </si>
  <si>
    <t>Memoespírito ativo (só A Recordação)</t>
  </si>
  <si>
    <t>Atributo de Habilidade que o Caminho permite</t>
  </si>
  <si>
    <t>Resistência</t>
  </si>
  <si>
    <t>Recurso próprio (detalhes na aba Caminho)</t>
  </si>
  <si>
    <t>Passo 4 — Atributos (teto 15 antes da Raça; teto 20 sempre)</t>
  </si>
  <si>
    <t>Distribuído (preencha)</t>
  </si>
  <si>
    <t>Raça (automático)</t>
  </si>
  <si>
    <t>Aumentos (aba Progressão)</t>
  </si>
  <si>
    <t>Valor atual</t>
  </si>
  <si>
    <t>Bônus atual</t>
  </si>
  <si>
    <t>Valor na criação (com Raça)</t>
  </si>
  <si>
    <t>Bônus na criação</t>
  </si>
  <si>
    <t>Custo na Compra de Pontos</t>
  </si>
  <si>
    <t>Valor usado (8 a 20)</t>
  </si>
  <si>
    <t>RD · Velocidade</t>
  </si>
  <si>
    <t>Memoespírito</t>
  </si>
  <si>
    <t>PV perdidos</t>
  </si>
  <si>
    <t>Fúria (Sacrifício Desesperado, máx. 2)</t>
  </si>
  <si>
    <t>Tecnologia</t>
  </si>
  <si>
    <t>Perícia (Sincronia e Discernimento)</t>
  </si>
  <si>
    <t>DT das Habilidades</t>
  </si>
  <si>
    <t>Acúmulos</t>
  </si>
  <si>
    <t>Vigor</t>
  </si>
  <si>
    <t>PV novo</t>
  </si>
  <si>
    <t>Pesquisa</t>
  </si>
  <si>
    <t>Florescimento (máx. 5)</t>
  </si>
  <si>
    <t>Sincronia</t>
  </si>
  <si>
    <t>Habilidades — Explorando Galáxias v1.1</t>
  </si>
  <si>
    <t>As suas Habilidades (até 8) e a Ultimate.</t>
  </si>
  <si>
    <t>Seus números de Habilidade (automático) — 16.3, 16.6 e 26.2</t>
  </si>
  <si>
    <t>Ciência</t>
  </si>
  <si>
    <t>Teste de Ataque (Habilidades e Ultimate)</t>
  </si>
  <si>
    <t>Nível máximo</t>
  </si>
  <si>
    <t>Habilidades preenchidas / conhecidas</t>
  </si>
  <si>
    <t>Discernimento</t>
  </si>
  <si>
    <t>Melhor ataque</t>
  </si>
  <si>
    <t>Marcas</t>
  </si>
  <si>
    <t>Ressonância III (26.7)</t>
  </si>
  <si>
    <t>Mecânica</t>
  </si>
  <si>
    <t>Suas Habilidades (preencha) — até 8; escreva pelos sete passos de 16.7</t>
  </si>
  <si>
    <t>Nº</t>
  </si>
  <si>
    <t>Nome (preencha)</t>
  </si>
  <si>
    <t>Tipo</t>
  </si>
  <si>
    <t>Nível (1 a 7)</t>
  </si>
  <si>
    <t>Em área?</t>
  </si>
  <si>
    <t>Resolução</t>
  </si>
  <si>
    <t>Alcance</t>
  </si>
  <si>
    <t>Ressonância III aqui?</t>
  </si>
  <si>
    <t>preenchida</t>
  </si>
  <si>
    <t>Ress. III vale</t>
  </si>
  <si>
    <t>Nível efetivo</t>
  </si>
  <si>
    <t>dados (tabela)</t>
  </si>
  <si>
    <t>nº de dados</t>
  </si>
  <si>
    <t>face</t>
  </si>
  <si>
    <t>fixo</t>
  </si>
  <si>
    <t>Fragmentos de Memória (máx. 5)</t>
  </si>
  <si>
    <t>Presença</t>
  </si>
  <si>
    <t>Percepção</t>
  </si>
  <si>
    <t>Vantagens raciais</t>
  </si>
  <si>
    <t>Conferência do array oficial</t>
  </si>
  <si>
    <t>Cura recebida</t>
  </si>
  <si>
    <t>Acúmulos de Cálculo (máx. 5 ou 7)</t>
  </si>
  <si>
    <t>Sobrevivência</t>
  </si>
  <si>
    <t>Compra de Pontos: gastos de 28</t>
  </si>
  <si>
    <t>Sobram:</t>
  </si>
  <si>
    <t>Condições ativas</t>
  </si>
  <si>
    <t>Passo 5 — Atributo de Habilidade (fixo pela campanha)</t>
  </si>
  <si>
    <t>Atributo de Habilidade</t>
  </si>
  <si>
    <t>Descanso Curto</t>
  </si>
  <si>
    <t>Usado:</t>
  </si>
  <si>
    <t>Marcas da Ruína (máx. 5)</t>
  </si>
  <si>
    <t>Intuição</t>
  </si>
  <si>
    <t>Bônus do Atributo de Habilidade</t>
  </si>
  <si>
    <t>DT das suas Habilidades (8 + Bônus + Eficiência)</t>
  </si>
  <si>
    <t>Teste de Ataque das Habilidades e da Ultimate</t>
  </si>
  <si>
    <t>Pode ser Executado?</t>
  </si>
  <si>
    <t>Bônus + Eficiência + Especialização + equipamento (aba Equipamento)</t>
  </si>
  <si>
    <t>Passo 6 — Elemento (capítulo 20)</t>
  </si>
  <si>
    <t>Suas Habilidades e a Ultimate causam dano deste Elemento.</t>
  </si>
  <si>
    <t>Efeito de Quebra</t>
  </si>
  <si>
    <t>Investigação</t>
  </si>
  <si>
    <t>Dano de Quebra (20.5)</t>
  </si>
  <si>
    <t>Instinto de Sobrevivência ligado (PV ≤ 1/3)</t>
  </si>
  <si>
    <t>média</t>
  </si>
  <si>
    <t>Passo 7 — Perícias (3 do Caminho + 2 + Bônus de Sincronia escolhidas, mínimo 2)</t>
  </si>
  <si>
    <t>Sintonia usa (fixo na criação)</t>
  </si>
  <si>
    <t>Perícias escolhidas permitidas (Sincronia da criação)</t>
  </si>
  <si>
    <t>Perícia (Presença e Sintonia)</t>
  </si>
  <si>
    <t>Escolhidas / com Eficiência no total</t>
  </si>
  <si>
    <t>Persuasão</t>
  </si>
  <si>
    <t>com Eficiência:</t>
  </si>
  <si>
    <t>Do Caminho?</t>
  </si>
  <si>
    <t>Escolhida (preencha Sim)</t>
  </si>
  <si>
    <t>Eficiência (automático)</t>
  </si>
  <si>
    <t>Origem</t>
  </si>
  <si>
    <t>Intimidação</t>
  </si>
  <si>
    <t>Bônus temporário no Teste de Ataque (antes do teto)</t>
  </si>
  <si>
    <t>Ações — Ataque Básico (18), Habilidades (16) e Ultimate (17)</t>
  </si>
  <si>
    <t>Enganação</t>
  </si>
  <si>
    <t>Bônus temporário no Teste de Ataque (no teto)</t>
  </si>
  <si>
    <t>Ataque Básico</t>
  </si>
  <si>
    <t>Ataque</t>
  </si>
  <si>
    <t>Dano</t>
  </si>
  <si>
    <t>Média</t>
  </si>
  <si>
    <t>Do atributo</t>
  </si>
  <si>
    <t>Contra Fraqueza</t>
  </si>
  <si>
    <t>Crítico</t>
  </si>
  <si>
    <t>RT</t>
  </si>
  <si>
    <t>Alcance · Elemento</t>
  </si>
  <si>
    <t>Defesa temporária (Florescimento, Memória da Guarda)</t>
  </si>
  <si>
    <t>Liderança</t>
  </si>
  <si>
    <t>Defesa com temporários</t>
  </si>
  <si>
    <t>Sintonia</t>
  </si>
  <si>
    <t>Slots de Eficácia em Perícias: marcados / permitidos</t>
  </si>
  <si>
    <t>Teto de Barreira (Preservação)</t>
  </si>
  <si>
    <t>Perícias com Eficiência:</t>
  </si>
  <si>
    <t>Habilidade</t>
  </si>
  <si>
    <t>Testes de Resistência — 04.6 e 22 (Eficiência em todos desde o nível 1; sem crítico, sempre rolado)</t>
  </si>
  <si>
    <t>Dano · média</t>
  </si>
  <si>
    <t>Nível · PH · RT · alvos</t>
  </si>
  <si>
    <t>Teste de Resistência</t>
  </si>
  <si>
    <t>Extra (Bênçãos)</t>
  </si>
  <si>
    <t>Silenciado</t>
  </si>
  <si>
    <t>Potência Física</t>
  </si>
  <si>
    <t>Reflexos</t>
  </si>
  <si>
    <t>Passo 8 — As cinco estatísticas: PV, Defesa, Esquiva, RD e Velocidade</t>
  </si>
  <si>
    <t>Armadura ou Vestimenta</t>
  </si>
  <si>
    <t>Controlado</t>
  </si>
  <si>
    <t>Números da armadura</t>
  </si>
  <si>
    <t>Defesa</t>
  </si>
  <si>
    <t>Velocidade</t>
  </si>
  <si>
    <t>RD</t>
  </si>
  <si>
    <t>Penalidade em Reflexos e Perícias de Agilidade</t>
  </si>
  <si>
    <t>Esquiva</t>
  </si>
  <si>
    <t>(automático, 24.1)</t>
  </si>
  <si>
    <t>Estatística</t>
  </si>
  <si>
    <t>Base</t>
  </si>
  <si>
    <t>Extra (equipamento e Bênçãos)</t>
  </si>
  <si>
    <t>Como se calcula</t>
  </si>
  <si>
    <t>PV máximos</t>
  </si>
  <si>
    <t>Resistência Física</t>
  </si>
  <si>
    <t>25 + 5 × N + 3 × Bônus de Vigor + (nível - 1) × (5 + N + Bônus de Vigor) — 06.4</t>
  </si>
  <si>
    <t>10 + Bônus de Agilidade + armadura — 18.4</t>
  </si>
  <si>
    <t>Esquiva (Reação)</t>
  </si>
  <si>
    <t>Defesa + Eficiência; proibida com Armadura Pesada</t>
  </si>
  <si>
    <t>Lentidão (condição ou carga)</t>
  </si>
  <si>
    <t>Velocidade (VEL)</t>
  </si>
  <si>
    <t>Resistência Mental</t>
  </si>
  <si>
    <t>Efeito de cada Habilidade (preencha) — o que ela faz, em uma ou duas frases</t>
  </si>
  <si>
    <t>Nome (automático)</t>
  </si>
  <si>
    <t>Efeito (preencha)</t>
  </si>
  <si>
    <t>10 + Bônus de Agilidade + Bônus do Caminho + armadura — 19.1</t>
  </si>
  <si>
    <t>Passos 9 a 11 — Habilidade, Ultimate e Bênção</t>
  </si>
  <si>
    <t>Passo 9 — Sua primeira Habilidade</t>
  </si>
  <si>
    <t>Passo 10 — Sua Ultimate</t>
  </si>
  <si>
    <t>Passo 11 — Sua primeira Bênção</t>
  </si>
  <si>
    <t>Passo 12 — Equipamento, nome e acabamento</t>
  </si>
  <si>
    <t>Surpreso</t>
  </si>
  <si>
    <t>Arma: nome e descrição</t>
  </si>
  <si>
    <t>Categoria da arma (capítulo 18)</t>
  </si>
  <si>
    <t>Percepção Mental</t>
  </si>
  <si>
    <t>Atributo (só arma Média: Poder ou Agilidade)</t>
  </si>
  <si>
    <t>Atributo de ataque:</t>
  </si>
  <si>
    <t>Números das Habilidades (automático) — 16.3, 16.4 e 16.5</t>
  </si>
  <si>
    <t>Dano ou cura</t>
  </si>
  <si>
    <t>Rolagem ou DT</t>
  </si>
  <si>
    <t>PH</t>
  </si>
  <si>
    <t>Redução de Tenacidade</t>
  </si>
  <si>
    <t>Alcance máximo</t>
  </si>
  <si>
    <t>Alvos</t>
  </si>
  <si>
    <t>Dados da tabela</t>
  </si>
  <si>
    <t>Média dos dados</t>
  </si>
  <si>
    <t>Elemento próprio da arma (vazio = Físico)</t>
  </si>
  <si>
    <t>Elemento do Ataque Básico:</t>
  </si>
  <si>
    <t>Propriedade especial (no máximo 1)</t>
  </si>
  <si>
    <t>Força de Vontade</t>
  </si>
  <si>
    <t>Espaço da arma no inventário</t>
  </si>
  <si>
    <t>Técnica (24.6): nome</t>
  </si>
  <si>
    <t>Técnica: o que ela faz</t>
  </si>
  <si>
    <t>Ultimate pronta</t>
  </si>
  <si>
    <t>Técnica: usos</t>
  </si>
  <si>
    <t>2 usos por Descanso Longo, fora de combate (24.6)</t>
  </si>
  <si>
    <t>Aparência e de onde você veio</t>
  </si>
  <si>
    <t>Uma coisa que você carrega e não serve para nada</t>
  </si>
  <si>
    <t>Ligações com outras abas (automático; não editar)</t>
  </si>
  <si>
    <t>PV extra (Relíquia Cabeça, Cone de Luz, Corpo Imortal, Forma Sincronizada)</t>
  </si>
  <si>
    <t>Defesa extra (Relíquia Tronco, Cone de Luz, Forma Sincronizada)</t>
  </si>
  <si>
    <t>RD extra (Cone de Luz, Conjunto, Pele de Pedra, Corpo Imortal)</t>
  </si>
  <si>
    <t>Teste de Morrendo (sem Eficiência, DT 10)</t>
  </si>
  <si>
    <t>Não usa</t>
  </si>
  <si>
    <t>Velocidade extra (Botas, Cone de Luz, Conjunto, Ressonância I, Avatar da Caça)</t>
  </si>
  <si>
    <t>Condições ativas (texto inteiro)</t>
  </si>
  <si>
    <t>Teste de Ataque extra (Cone de Luz + bônus temporários no teto, aba Em Jogo)</t>
  </si>
  <si>
    <t>Nome da Habilidade 1 (aba Habilidades)</t>
  </si>
  <si>
    <t>3 sucessos: 1 PV · 3 falhas: morre (23.4)</t>
  </si>
  <si>
    <t>Slots de Eficácia em Testes de Resistência: marcados / permitidos</t>
  </si>
  <si>
    <t>Nome da Ultimate (aba Habilidades)</t>
  </si>
  <si>
    <t>Condições ativas (quantas)</t>
  </si>
  <si>
    <t>Condições ativas (a primeira)</t>
  </si>
  <si>
    <t>Testes de Resistência (d20 + Bônus + Eficiência)</t>
  </si>
  <si>
    <t>Perícias com Eficiência (rolagem pronta)</t>
  </si>
  <si>
    <t>Caminho — Explorando Galáxias v1.1</t>
  </si>
  <si>
    <t>O seu Caminho, as Bênçãos adquiridas e o Memoespírito.</t>
  </si>
  <si>
    <t>Ficha do Caminho (escolha o Caminho na aba Criação, Passo 3)</t>
  </si>
  <si>
    <t>Equipamento — Explorando Galáxias v1.1</t>
  </si>
  <si>
    <t>Atributo de Habilidade usado</t>
  </si>
  <si>
    <t>A ideia</t>
  </si>
  <si>
    <t>N (PV)</t>
  </si>
  <si>
    <t>Bônus de Velocidade</t>
  </si>
  <si>
    <t>Perícias do Caminho</t>
  </si>
  <si>
    <t>Arma, armadura, Cone de Luz, Relíquias, inventário e Créditos.</t>
  </si>
  <si>
    <t>Armas e armadura — a arma principal e a armadura vêm da aba Criação (Passos 8 e 12)</t>
  </si>
  <si>
    <t>Arma</t>
  </si>
  <si>
    <t>Categoria</t>
  </si>
  <si>
    <t>Recurso próprio</t>
  </si>
  <si>
    <t>Usos por combate e descanso (preencha os usados)</t>
  </si>
  <si>
    <t>Atributo (só arma Média)</t>
  </si>
  <si>
    <t>Elemento próprio</t>
  </si>
  <si>
    <t>Propriedade especial</t>
  </si>
  <si>
    <t>Espaço</t>
  </si>
  <si>
    <t>Dados base</t>
  </si>
  <si>
    <t>Atributo de ataque</t>
  </si>
  <si>
    <t>Morrendo (DT 10)</t>
  </si>
  <si>
    <t>Elemento do Ataque Básico</t>
  </si>
  <si>
    <t>Recurso próprio do Caminho (capítulos 07 a 15)</t>
  </si>
  <si>
    <t>Principal (edite na aba Criação)</t>
  </si>
  <si>
    <t>Sucessos</t>
  </si>
  <si>
    <t>Falhas</t>
  </si>
  <si>
    <t>Morrendo agora</t>
  </si>
  <si>
    <t>Secundária (preencha)</t>
  </si>
  <si>
    <t>Condições ativas (21.5) — Quebrado é só de inimigos</t>
  </si>
  <si>
    <t>Condição (preencha)</t>
  </si>
  <si>
    <t>Turnos</t>
  </si>
  <si>
    <t>Ef. aplicador</t>
  </si>
  <si>
    <t>Efeito (tique por turno)</t>
  </si>
  <si>
    <t>Bônus fixo</t>
  </si>
  <si>
    <t>Guia de 16.5 (o que o efeito pode fazer)</t>
  </si>
  <si>
    <t>Bênçãos com número na ficha</t>
  </si>
  <si>
    <t>Bênção</t>
  </si>
  <si>
    <t>Custo em PV</t>
  </si>
  <si>
    <t>Bônus de dano</t>
  </si>
  <si>
    <t>Bônus ferido</t>
  </si>
  <si>
    <t>Ferido com PV até</t>
  </si>
  <si>
    <t>Como funciona</t>
  </si>
  <si>
    <t>Pacto da Ruína (7.3, nº 1)</t>
  </si>
  <si>
    <t>Bênçãos adquiridas — uma por nível ímpar (06.7); o Tier I cabe em qualquer slot</t>
  </si>
  <si>
    <t>Possuídas / permitidas no nível</t>
  </si>
  <si>
    <t>Armadura (edite na aba Criação)</t>
  </si>
  <si>
    <t>Slot</t>
  </si>
  <si>
    <t>Nível do slot</t>
  </si>
  <si>
    <t>Bênção (preencha)</t>
  </si>
  <si>
    <t>Tier</t>
  </si>
  <si>
    <t>Requisito (nível)</t>
  </si>
  <si>
    <t>Liberado?</t>
  </si>
  <si>
    <t>Em uma linha</t>
  </si>
  <si>
    <t>Frequência</t>
  </si>
  <si>
    <t>Conta na ficha</t>
  </si>
  <si>
    <t>Lista auxiliar: Bênçãos do Caminho</t>
  </si>
  <si>
    <t>Slot 1</t>
  </si>
  <si>
    <t>Ataque Básico — 18.2 e 18.5 (dano = dados + atributo + equipamento: Mãos, Cone e Conjuntos, 25.3)</t>
  </si>
  <si>
    <t>Teste de Ataque</t>
  </si>
  <si>
    <t>Fixo do atributo</t>
  </si>
  <si>
    <t>Fixo do equipamento</t>
  </si>
  <si>
    <t>Contra Fraqueza (+2 dados)</t>
  </si>
  <si>
    <t>dano fixo</t>
  </si>
  <si>
    <t>equipamento</t>
  </si>
  <si>
    <t>ataque</t>
  </si>
  <si>
    <t>Principal</t>
  </si>
  <si>
    <t>Slot 2</t>
  </si>
  <si>
    <t>Slot 3</t>
  </si>
  <si>
    <t>Em Jogo — Explorando Galáxias v1.1</t>
  </si>
  <si>
    <t>Secundária</t>
  </si>
  <si>
    <t>Tudo que se usa na mesa, numa tela só.</t>
  </si>
  <si>
    <t>Slot 4</t>
  </si>
  <si>
    <t>Ultimate — 17 (100 de Energia, não gasta ação, 1 por Ciclo; potência pela faixa)</t>
  </si>
  <si>
    <t>Nome (diga em voz alta)</t>
  </si>
  <si>
    <t>A frase que você diz</t>
  </si>
  <si>
    <t>Slot 5</t>
  </si>
  <si>
    <t>Efeito (o que ela faz)</t>
  </si>
  <si>
    <t>Ultimate</t>
  </si>
  <si>
    <t>Nível equivalente</t>
  </si>
  <si>
    <t>Custo (Energia)</t>
  </si>
  <si>
    <t>nº tabela</t>
  </si>
  <si>
    <t>Números da Ultimate</t>
  </si>
  <si>
    <t>Slot 6</t>
  </si>
  <si>
    <t>Mãos (Relíquia) soma no Ataque Básico; a Esfera Planar nunca (25.3). Fraqueza: +2 dados que não critam; o crítico dobra só os dados base (18.3).</t>
  </si>
  <si>
    <t>Cone de Luz — 25.2 (Bônus Maior permanente, fora do teto; Efeito Condicional temporário)</t>
  </si>
  <si>
    <t>Nome do Cone de Luz</t>
  </si>
  <si>
    <t>Nível do Cone (1 a 5)</t>
  </si>
  <si>
    <t>Alvo do Bônus Maior (escolha um)</t>
  </si>
  <si>
    <t>Slot 7</t>
  </si>
  <si>
    <t>Lista: Teste de Resistência ou Perícia do Cone</t>
  </si>
  <si>
    <t>Qual Teste de Resistência ou Perícia (se o alvo pedir)</t>
  </si>
  <si>
    <t>Guia de 16.5 (efeito)</t>
  </si>
  <si>
    <t>Numérico ou PV (só nos Níveis 1, 3 e 5)</t>
  </si>
  <si>
    <t>Slot 8</t>
  </si>
  <si>
    <t>A Ultimate sobe sozinha ao mudar de faixa (níveis 5, 9, 13 e 17). Ressonância II: efeito extra; Ressonância IV: pode custar 80 de Energia (26.7).</t>
  </si>
  <si>
    <t>Sobreposições (cópias extras do mesmo Cone)</t>
  </si>
  <si>
    <t>Slot 9</t>
  </si>
  <si>
    <t>Efeito Condicional (escreva com o Mestre)</t>
  </si>
  <si>
    <t>Frequência do Efeito Condicional</t>
  </si>
  <si>
    <t>Energia do Cone (17.2)</t>
  </si>
  <si>
    <t>Slot 10</t>
  </si>
  <si>
    <t>Numérico que vale</t>
  </si>
  <si>
    <t>PV que vale</t>
  </si>
  <si>
    <t>Resumo do Bônus Maior</t>
  </si>
  <si>
    <t>nível</t>
  </si>
  <si>
    <t>e/ou</t>
  </si>
  <si>
    <t>cópias</t>
  </si>
  <si>
    <t>numérico</t>
  </si>
  <si>
    <t>Numérico / PV que valem</t>
  </si>
  <si>
    <t>Catálogo das 12 Bênçãos do seu Caminho</t>
  </si>
  <si>
    <t>Pode escolher agora?</t>
  </si>
  <si>
    <t>Onde o Bônus Maior entra (automático)</t>
  </si>
  <si>
    <t>Dano de Ataque Básico</t>
  </si>
  <si>
    <t>Dano de Habilidade</t>
  </si>
  <si>
    <t>Dano de Ultimate</t>
  </si>
  <si>
    <t>Qual Teste de Resistência</t>
  </si>
  <si>
    <t>Perícia</t>
  </si>
  <si>
    <t>Qual Perícia</t>
  </si>
  <si>
    <t>Progressão — Explorando Galáxias v1.1</t>
  </si>
  <si>
    <t>A tabela mestra do nível 1 ao 20, aumentos de Atributo e Ressonâncias.</t>
  </si>
  <si>
    <t>Nível atual</t>
  </si>
  <si>
    <t>Jogadores</t>
  </si>
  <si>
    <t>A linha do seu nível fica destacada em amarelo e negrito.</t>
  </si>
  <si>
    <t>Tabela mestra, nível 1 a 20 — 26.2: Eficiência, Eficácia, Bênçãos e Habilidades</t>
  </si>
  <si>
    <t>Nível (1 a 10)</t>
  </si>
  <si>
    <t>Eficácia: slots em Perícias</t>
  </si>
  <si>
    <t>Eficácia: slots em Testes de Resistência</t>
  </si>
  <si>
    <t>Bênçãos</t>
  </si>
  <si>
    <t>Reescreve 1 por nível</t>
  </si>
  <si>
    <t>Aumento de Atributo</t>
  </si>
  <si>
    <t>Relíquias — 25.3 (6 slots; o Tier sobe sozinho com o nível; bônus de slot fora do teto)</t>
  </si>
  <si>
    <t>Tier da sua faixa</t>
  </si>
  <si>
    <t>Tier I (níveis 1-6) · II (7-12) · III (13-17) · IV (18-20) — recompensa de marco (25.1)</t>
  </si>
  <si>
    <t>Regras Rápidas — Explorando Galáxias v1.1</t>
  </si>
  <si>
    <t>Possui? (Sim)</t>
  </si>
  <si>
    <t>Nome da peça</t>
  </si>
  <si>
    <t>Conjunto (A, B, C ou —)</t>
  </si>
  <si>
    <t>O que dá</t>
  </si>
  <si>
    <t>Elemento (só Esfera Planar)</t>
  </si>
  <si>
    <t>Vale no seu dano?</t>
  </si>
  <si>
    <t>Referência de uma página (29.12), condições, Quebra, Energia e tetos.</t>
  </si>
  <si>
    <t>A rolagem única — 29.12 e 02</t>
  </si>
  <si>
    <t>Cabeça</t>
  </si>
  <si>
    <t>d20 + Bônus de Atributo + Eficiência (se treinado) ≥ DT. Arredonde para baixo. Toda instância de dano causa no mínimo 1. A Eficácia (2 × Eficiência) nunca entra em Teste de Ataque; a Esquiva soma sempre a Eficiência. Vantagem: 2d20, fica o maior; Desvantagem: o menor; não acumulam (02.4).</t>
  </si>
  <si>
    <t>Eficiência e Eficácia por nível — 26.4</t>
  </si>
  <si>
    <t>Níveis</t>
  </si>
  <si>
    <t>1-3</t>
  </si>
  <si>
    <t>—</t>
  </si>
  <si>
    <t>4-6</t>
  </si>
  <si>
    <t>7-9</t>
  </si>
  <si>
    <t>10-12</t>
  </si>
  <si>
    <t>13-15</t>
  </si>
  <si>
    <t>Mãos</t>
  </si>
  <si>
    <t>16-18</t>
  </si>
  <si>
    <t>19-20</t>
  </si>
  <si>
    <t>Bônus de Atributo — 04.2</t>
  </si>
  <si>
    <t>Valor</t>
  </si>
  <si>
    <t>8-9</t>
  </si>
  <si>
    <t>10-11</t>
  </si>
  <si>
    <t>12-13</t>
  </si>
  <si>
    <t>14</t>
  </si>
  <si>
    <t>15-16</t>
  </si>
  <si>
    <t>17-18</t>
  </si>
  <si>
    <t>Tronco</t>
  </si>
  <si>
    <t>Só para A Recordação?</t>
  </si>
  <si>
    <t>Fora da Recordação o bloco fica cinza e as contas ficam vazias.</t>
  </si>
  <si>
    <t>DT por faixa — 27.2</t>
  </si>
  <si>
    <t>Nome do Memoespírito</t>
  </si>
  <si>
    <t>Conceito (11.3 Passo 2)</t>
  </si>
  <si>
    <t>Botas</t>
  </si>
  <si>
    <t>1-4</t>
  </si>
  <si>
    <t>5-8</t>
  </si>
  <si>
    <t>9-12</t>
  </si>
  <si>
    <t>13-16</t>
  </si>
  <si>
    <t>17-20</t>
  </si>
  <si>
    <t>Função (11.3 Passo 3)</t>
  </si>
  <si>
    <t>Elemento dele</t>
  </si>
  <si>
    <t>Pontos (preencha, máx. 5)</t>
  </si>
  <si>
    <t>Pontos usados</t>
  </si>
  <si>
    <t>Teste de Resistência dele</t>
  </si>
  <si>
    <t>Esfera Planar</t>
  </si>
  <si>
    <t>Corda de Ligação</t>
  </si>
  <si>
    <t>Nível (11 a 20)</t>
  </si>
  <si>
    <t>Pontos totais (12 + metade do nível) / gastos</t>
  </si>
  <si>
    <t>Atributo de ataque dele (vazio = Poder)</t>
  </si>
  <si>
    <t>As cinco DTs de subsistema — 27.3 (vencem a tabela acima e não escalam)</t>
  </si>
  <si>
    <t>Bônus menor (11.3 Passo 4)</t>
  </si>
  <si>
    <t>Escolha (preencha)</t>
  </si>
  <si>
    <t>Efeito</t>
  </si>
  <si>
    <t>Bônus menor 1</t>
  </si>
  <si>
    <t>Teste</t>
  </si>
  <si>
    <t>Capítulo</t>
  </si>
  <si>
    <t>Conjuntos de Relíquias — 25.3 (2 peças: bônus pequeno; 4 peças: efeito por Ciclo; teto +3, dentro do teto global)</t>
  </si>
  <si>
    <t>Bônus menor 2</t>
  </si>
  <si>
    <t>Conjunto</t>
  </si>
  <si>
    <t>Nome do Conjunto (preencha)</t>
  </si>
  <si>
    <t>Bônus de 2 peças (preencha)</t>
  </si>
  <si>
    <t>Qual rolagem (só no +1 em um tipo de rolagem)</t>
  </si>
  <si>
    <t>Peças</t>
  </si>
  <si>
    <t>Ativo</t>
  </si>
  <si>
    <t>rolagem</t>
  </si>
  <si>
    <t>VEL</t>
  </si>
  <si>
    <t>dano</t>
  </si>
  <si>
    <t>Lista: rolagens do Conjunto</t>
  </si>
  <si>
    <t>A</t>
  </si>
  <si>
    <t>Bônus menor 3</t>
  </si>
  <si>
    <t>Técnica Principal: nome</t>
  </si>
  <si>
    <t>o que faz</t>
  </si>
  <si>
    <t>Técnica Auxiliar: nome</t>
  </si>
  <si>
    <t>Evolução (11.3)</t>
  </si>
  <si>
    <t>Nível</t>
  </si>
  <si>
    <t>Evolução 1</t>
  </si>
  <si>
    <t>Evolução 2</t>
  </si>
  <si>
    <t>O turno, as Distâncias e o Teste de Ataque — 18 e 29.12</t>
  </si>
  <si>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</si>
  <si>
    <t>Distâncias: Pessoal → Curta → Média → Longa → Extrema. Um passo por Ação de Movimento.</t>
  </si>
  <si>
    <t>Teste de Ataque: d20 + Atributo de Ataque + Eficiência + Especialização + equipamento ± temporários ≥ Defesa. 20 natural é crítico (dobra só os dados base); 1 natural erra e não gera Energia. A faixa 19-20 é exclusiva da Caça (Olho de Lan).</t>
  </si>
  <si>
    <t>Habilidades por Nível — 16.3</t>
  </si>
  <si>
    <t>Evolução 3</t>
  </si>
  <si>
    <t>Média do dano</t>
  </si>
  <si>
    <t>Cura</t>
  </si>
  <si>
    <t>Média da cura</t>
  </si>
  <si>
    <t>Custo (PH)</t>
  </si>
  <si>
    <t>Alcance (cumulativo)</t>
  </si>
  <si>
    <t>Memória Desperta: +2 em</t>
  </si>
  <si>
    <t>Estatísticas do Memoespírito (11.4, com Função, Bônus menores, Evoluções e Bênçãos)</t>
  </si>
  <si>
    <t>B</t>
  </si>
  <si>
    <t>Teste de Ataque (número)</t>
  </si>
  <si>
    <t>Dados de dano (d6)</t>
  </si>
  <si>
    <t>Dano fixo</t>
  </si>
  <si>
    <t>C</t>
  </si>
  <si>
    <t>Dano do ataque</t>
  </si>
  <si>
    <t>Média contra Fraqueza (+2 dados)</t>
  </si>
  <si>
    <t>Função Predador</t>
  </si>
  <si>
    <t>Escolhas permanentes de Bênção (só vale com a Bênção adquirida)</t>
  </si>
  <si>
    <t>Fragmentos do Eu Perdido: Memória escolhida</t>
  </si>
  <si>
    <t>Bônus de Conjunto somados</t>
  </si>
  <si>
    <t>Dano do Ataque Básico (teto +3)</t>
  </si>
  <si>
    <t>Avatar da Recordação: Forma escolhida</t>
  </si>
  <si>
    <t>Rolagens com +1:</t>
  </si>
  <si>
    <t>Efeito de 4 peças (escreva)</t>
  </si>
  <si>
    <t>Mais o Bônus do Atributo de Habilidade, uma vez. Em área: metade dos dados (mínimo 1), até 3 alvos (4 nos Níveis 6 e 7), teto absoluto 6, mesmo custo (16.4). Passiva não custa PH e conta no teto de 8.</t>
  </si>
  <si>
    <t>Ultimate por faixa — 17.3 (100 de Energia, 1 por Ciclo)</t>
  </si>
  <si>
    <t>Faixa de nível</t>
  </si>
  <si>
    <t>Inventário e Espaço — 24.4 (capacidade = 10 + 2 × Bônus de Poder; vestido e empunhado contam)</t>
  </si>
  <si>
    <t>Capacidade (Espaço)</t>
  </si>
  <si>
    <t>Tabela mestra (continuação) — 26.2, PH do grupo 16.2, Ultimate 17.3, Cone de Luz e Relíquias 25.1</t>
  </si>
  <si>
    <t>10 + 2 × Bônus de Poder (+2 com a Bênção Peso do Juramento)</t>
  </si>
  <si>
    <t>Catálogo (24.1 a 24.3)</t>
  </si>
  <si>
    <t>Ocupado (itens + armas + armadura)</t>
  </si>
  <si>
    <t>Cone de Luz máximo</t>
  </si>
  <si>
    <t>Tier de Relíquia</t>
  </si>
  <si>
    <t>Estado</t>
  </si>
  <si>
    <t>Item 1 a 10 (escolha do catálogo ou escreva)</t>
  </si>
  <si>
    <t>Espaço (só fora do catálogo)</t>
  </si>
  <si>
    <t>Espaço por unidade</t>
  </si>
  <si>
    <t>Quantidade (vazio = 1)</t>
  </si>
  <si>
    <t>Espaço total</t>
  </si>
  <si>
    <t>Do catálogo?</t>
  </si>
  <si>
    <t>Energia — 17.2</t>
  </si>
  <si>
    <t>Fonte</t>
  </si>
  <si>
    <t>Limite</t>
  </si>
  <si>
    <t>Fraqueza e Resistência — 20.2 (Redução de Tenacidade só se o ataque acertar)</t>
  </si>
  <si>
    <t>Situação</t>
  </si>
  <si>
    <t>Dados — Explorando Galáxias v1.1</t>
  </si>
  <si>
    <t>Tabelas do livro usadas pelas fórmulas. Não edite: o gerador reescreve esta aba.</t>
  </si>
  <si>
    <t>Listas de validação (uma por coluna; a fonte está no título)</t>
  </si>
  <si>
    <t>Raças — capítulo 05 (tabela de consulta rápida e traços)</t>
  </si>
  <si>
    <t>Raças — cap. 05</t>
  </si>
  <si>
    <t>Caminhos — cap. 06.3</t>
  </si>
  <si>
    <t>Atributos — cap. 04.1</t>
  </si>
  <si>
    <t>Elementos — cap. 20.1</t>
  </si>
  <si>
    <t>Armaduras — cap. 24.1</t>
  </si>
  <si>
    <t>Categorias de arma — cap. 24.2</t>
  </si>
  <si>
    <t>Atributo da arma Média — cap. 24.2</t>
  </si>
  <si>
    <t>Propriedade especial — cap. 24.2</t>
  </si>
  <si>
    <t>Tipos de Habilidade — cap. 16.1</t>
  </si>
  <si>
    <t>Alcances — cap. 18</t>
  </si>
  <si>
    <t>Condições do personagem — cap. 21.5</t>
  </si>
  <si>
    <t>Perícias — cap. 04.4</t>
  </si>
  <si>
    <t>Testes de Resistência — cap. 04.6</t>
  </si>
  <si>
    <t>Slots de Relíquia — cap. 25.3</t>
  </si>
  <si>
    <t>Conceitos do Memoespírito — cap. 11.3</t>
  </si>
  <si>
    <t>Funções do Memoespírito — cap. 11.3</t>
  </si>
  <si>
    <t>Bônus menores do Memoespírito — cap. 11.3</t>
  </si>
  <si>
    <t>Evoluções do Memoespírito — cap. 11.3</t>
  </si>
  <si>
    <t>Sim/Não — convenção da planilha</t>
  </si>
  <si>
    <t>Método de atributos — cap. 03</t>
  </si>
  <si>
    <t>Bônus do Humano — cap. 05</t>
  </si>
  <si>
    <t>Aumento de Atributo — cap. 04</t>
  </si>
  <si>
    <t>Resolução — cap. 16</t>
  </si>
  <si>
    <t>Atributo da Sintonia — cap. 04</t>
  </si>
  <si>
    <t>Alvo do Bônus Maior — cap. 25</t>
  </si>
  <si>
    <t>Cone: numérico ou PV — cap. 25</t>
  </si>
  <si>
    <t>Conjunto — cap. 25</t>
  </si>
  <si>
    <t>Bônus de 2 peças — cap. 25</t>
  </si>
  <si>
    <t>Ressonância I — cap. 26</t>
  </si>
  <si>
    <t>Ressonância II — cap. 26</t>
  </si>
  <si>
    <t>Ressonância III — cap. 26</t>
  </si>
  <si>
    <t>Ressonância IV — cap. 26</t>
  </si>
  <si>
    <t>Bônus de atributo</t>
  </si>
  <si>
    <t>Bônus livre (+2 em um ou +1 em dois)</t>
  </si>
  <si>
    <t>Opção 1 do +2</t>
  </si>
  <si>
    <t>Opção 2 do +2</t>
  </si>
  <si>
    <t>Traços (texto do livro)</t>
  </si>
  <si>
    <t>A Destruição</t>
  </si>
  <si>
    <t>Físico</t>
  </si>
  <si>
    <t>Leve</t>
  </si>
  <si>
    <t>Nenhuma</t>
  </si>
  <si>
    <t>Pessoal</t>
  </si>
  <si>
    <t>Sangramento</t>
  </si>
  <si>
    <t>Memória de Guerra</t>
  </si>
  <si>
    <t>Predador</t>
  </si>
  <si>
    <t>Força Espiritual</t>
  </si>
  <si>
    <t>Forma Completa</t>
  </si>
  <si>
    <t>Sim</t>
  </si>
  <si>
    <t>Array oficial</t>
  </si>
  <si>
    <t>+2 em um</t>
  </si>
  <si>
    <t>Numérico</t>
  </si>
  <si>
    <t>+1 em um tipo de rolagem</t>
  </si>
  <si>
    <t>Habilidade de Nível 3 ou menor sem PH (1 por combate)</t>
  </si>
  <si>
    <t>Ultimate com efeito extra</t>
  </si>
  <si>
    <t>Uma Habilidade sobe 1 Nível de efeito</t>
  </si>
  <si>
    <t>Ultimate com 80 de Energia</t>
  </si>
  <si>
    <t>+2 em um, ou +1 em dois</t>
  </si>
  <si>
    <t>Força de Vontade (Esforço: 1 ponto, re-rola um dado)</t>
  </si>
  <si>
    <t>Dano de Quebra — 20.5 (Quebra: dano + efeito + Atrasa 1 casa + Quebrado + 10 de Energia)</t>
  </si>
  <si>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t>
  </si>
  <si>
    <t>Xianzhouíta</t>
  </si>
  <si>
    <t>A Inexistência</t>
  </si>
  <si>
    <t>Fogo</t>
  </si>
  <si>
    <t>Recarga</t>
  </si>
  <si>
    <t>Curta</t>
  </si>
  <si>
    <t>Queimadura</t>
  </si>
  <si>
    <t>Memória Perdida</t>
  </si>
  <si>
    <t>Guardião</t>
  </si>
  <si>
    <t>Resistência Espiritual</t>
  </si>
  <si>
    <t>Fusão de Memórias</t>
  </si>
  <si>
    <t>Não</t>
  </si>
  <si>
    <t>+1 em dois</t>
  </si>
  <si>
    <t>Dano de Quebra</t>
  </si>
  <si>
    <t>+1 de Velocidade</t>
  </si>
  <si>
    <t>Avatar afeta um alvo adicional</t>
  </si>
  <si>
    <t>+2 Vigor ou Sincronia</t>
  </si>
  <si>
    <t>Ad Vitam Aeternam (não pode ser Executado; Vantagem em todo Teste de Resistência)</t>
  </si>
  <si>
    <t>Ad Vitam Aeternam: • Você não pode ser Executado por ninguém. A Execução (capítulo 23) simplesmente não funciona em você: um inimigo racial a Distância Pessoal que gaste o Ataque Básico dele para isso perde a ação. • Você tem Vantagem em qualquer Teste de Resistência. Vantagem permanente nos seis Testes de Resistência é o traço mais forte da lista, e está certo que seja: é a Raça da longevidade, e ela paga por isso não tendo nenhum traço ativo para usar em cena.</t>
  </si>
  <si>
    <t>Vidyadhara</t>
  </si>
  <si>
    <t>A Harmonia</t>
  </si>
  <si>
    <t>Gelo</t>
  </si>
  <si>
    <t>Pesada</t>
  </si>
  <si>
    <t>Arremessável</t>
  </si>
  <si>
    <t>Buff</t>
  </si>
  <si>
    <t>Choque</t>
  </si>
  <si>
    <t>Memória Animal</t>
  </si>
  <si>
    <t>Catalisador</t>
  </si>
  <si>
    <t>Velocidade Espiritual</t>
  </si>
  <si>
    <t>Memória Desperta</t>
  </si>
  <si>
    <t>+2 de dano</t>
  </si>
  <si>
    <t>+2 Vigor</t>
  </si>
  <si>
    <t>Corpo das Marés (Vantagem contra água, frio e afogamento) · Reencarnação Ancestral</t>
  </si>
  <si>
    <t>Corpo das Marés: Você tem Vantagem em Testes de Resistência Física contra afogamento, frio e efeitos de água.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</si>
  <si>
    <t>Vulpes</t>
  </si>
  <si>
    <t>A Abundância</t>
  </si>
  <si>
    <t>Raio</t>
  </si>
  <si>
    <t>Disparo curto</t>
  </si>
  <si>
    <t>Alcance estendido</t>
  </si>
  <si>
    <t>Debuff</t>
  </si>
  <si>
    <t>Longa</t>
  </si>
  <si>
    <t>Cisalhamento de Vento</t>
  </si>
  <si>
    <t>Memória Artificial</t>
  </si>
  <si>
    <t>Controlador</t>
  </si>
  <si>
    <t>Memória Afiada</t>
  </si>
  <si>
    <t>+1 RD</t>
  </si>
  <si>
    <t>+2 Discernimento ou Presença</t>
  </si>
  <si>
    <t>Língua de Prata (Vantagem em Testes de Presença) · Raposa Astuta (segunda chance contra Surpresa, DT 10)</t>
  </si>
  <si>
    <t>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</si>
  <si>
    <t>Haloviano</t>
  </si>
  <si>
    <t>A Recordação</t>
  </si>
  <si>
    <t>Vento</t>
  </si>
  <si>
    <t>Disparo longo</t>
  </si>
  <si>
    <t>Peso de impacto</t>
  </si>
  <si>
    <t>Passiva</t>
  </si>
  <si>
    <t>Extrema</t>
  </si>
  <si>
    <t>Embaraço</t>
  </si>
  <si>
    <t>Memória Celestial</t>
  </si>
  <si>
    <t>Vínculo Profundo</t>
  </si>
  <si>
    <t>+2 Sincronia ou Presença</t>
  </si>
  <si>
    <t>To na sua mente (2 vezes por dia, deixa o alvo Controlado)</t>
  </si>
  <si>
    <t>To na sua mente: 2 vezes por dia. Gaste a sua Ação Complementar. 1. Ativação. Se você segue o Caminho da Harmonia, não há teste de ativação. Caso contrário, faça um Teste de Sintonia contra DT 13; se falhar, você não pode usar este traço até o próximo Descanso Longo. 2. Resistência do alvo. Em ambos os casos,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t>
  </si>
  <si>
    <t>Avginiano</t>
  </si>
  <si>
    <t>A Erudição</t>
  </si>
  <si>
    <t>Quântico</t>
  </si>
  <si>
    <t>Dissimulada</t>
  </si>
  <si>
    <t>Aprisionamento</t>
  </si>
  <si>
    <t>Forma Mutável</t>
  </si>
  <si>
    <t>+2 Discernimento</t>
  </si>
  <si>
    <t>Mente de Ferro (Vantagem em Resistência Mental, Percepção Mental e Força de Vontade)</t>
  </si>
  <si>
    <t>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</si>
  <si>
    <t>Intellitron</t>
  </si>
  <si>
    <t>A Euforia</t>
  </si>
  <si>
    <t>Imaginário</t>
  </si>
  <si>
    <t>Lentidão</t>
  </si>
  <si>
    <t>+2 Sincronia</t>
  </si>
  <si>
    <t>Sabedoria de Intellitron (Vantagem em Tecnologia e Mecânica; Fraqueza com Vantagem e duas por sucesso)</t>
  </si>
  <si>
    <t>Sabedoria de Intellitron: • Você tem Vantagem em Testes de Tecnologia e de Mecânica. • Quando você faz o teste para descobrir uma Fraqueza de inimigo (capítulo 20), você rola com Vantagem e, em um sucesso, descobre duas Fraquezas em vez de uma. • Fora de combate, o mesmo tipo de teste — Pesquisa, Ciência ou Sintonia contra a DT da cena — serve para arrancar uma pista sobre algo que você queira saber, a critério do Mestre.</t>
  </si>
  <si>
    <t>A Caça</t>
  </si>
  <si>
    <t>Marcado</t>
  </si>
  <si>
    <t>A Preservação</t>
  </si>
  <si>
    <t>Um Teste de Resistência</t>
  </si>
  <si>
    <t>Vantagens e traços automáticos por Raça — capítulo 05 (transcrito)</t>
  </si>
  <si>
    <t>Vulnerável</t>
  </si>
  <si>
    <t>Uma Perícia</t>
  </si>
  <si>
    <t>Onde vale</t>
  </si>
  <si>
    <t>todos os 6 Testes de Resistência (inclusive Morrendo)</t>
  </si>
  <si>
    <t>Corrupção</t>
  </si>
  <si>
    <t>não pode ser Executado</t>
  </si>
  <si>
    <t>Resistência Física contra afogamento, frio e efeitos de água (condicional)</t>
  </si>
  <si>
    <t>Persuasão, Intimidação, Enganação, Liderança e Força de Vontade</t>
  </si>
  <si>
    <t>Resistência Mental, Percepção Mental e Força de Vontade</t>
  </si>
  <si>
    <t>Tecnologia, Mecânica e teste de descobrir Fraqueza</t>
  </si>
  <si>
    <t>Esforço (máximo 1 ponto)</t>
  </si>
  <si>
    <t>Compra de Pontos — 03 Passo 4 (Método B)</t>
  </si>
  <si>
    <t>Custo acumulado</t>
  </si>
  <si>
    <t>Tetos que a mesa esquece — 26.6, 18.4 e 23.3</t>
  </si>
  <si>
    <t>Perícias — 04.4</t>
  </si>
  <si>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</si>
  <si>
    <t>O que resolve</t>
  </si>
  <si>
    <t>Escalar, nadar, saltar, empurrar, quebrar objetos e feitos de força</t>
  </si>
  <si>
    <t>Equilíbrio, rolamentos, parkour e escapar de agarrões</t>
  </si>
  <si>
    <t>Condições — 21.5 (no máximo 5 instâncias; cura não remove; Descanso Longo remove todas)</t>
  </si>
  <si>
    <t>Passar despercebido</t>
  </si>
  <si>
    <t>Conduzir naves, mechas, motos voadoras ou outros veículos</t>
  </si>
  <si>
    <t>Condição</t>
  </si>
  <si>
    <t>Suportar venenos, frio, calor, fadiga, fome e longas marchas</t>
  </si>
  <si>
    <t>Duração</t>
  </si>
  <si>
    <t>Invadir sistemas, consertar máquinas, usar computadores e dispositivos</t>
  </si>
  <si>
    <t>Acúmulo</t>
  </si>
  <si>
    <t>Só inimigos</t>
  </si>
  <si>
    <t>Encontrar informações, consultar arquivos e lembrar conhecimentos</t>
  </si>
  <si>
    <t>Física, química, medicina, astronomia e biologia, entre outras</t>
  </si>
  <si>
    <t>Construir, modificar ou reparar armas, robôs e veículos</t>
  </si>
  <si>
    <t>Notar armadilhas, inimigos escondidos e detalhes</t>
  </si>
  <si>
    <t>Rastrear, encontrar recursos e orientar-se em ambientes hostis</t>
  </si>
  <si>
    <t>Perceber mentiras, intenções e emoções</t>
  </si>
  <si>
    <t>Reconstruir cenas, encontrar pistas e resolver mistérios</t>
  </si>
  <si>
    <t>Convencer e negociar</t>
  </si>
  <si>
    <t>Ameaçar e impor respeito</t>
  </si>
  <si>
    <t>Mentir, blefar e criar disfarces</t>
  </si>
  <si>
    <t>Coordenar aliados, motivar equipes e comandar grupos</t>
  </si>
  <si>
    <t>Discernimento ou Sincronia</t>
  </si>
  <si>
    <t>Usar ou compreender fenômenos ligados aos Caminhos, ao Stellaron, ao Fragmentum e a outras energias sobrenaturais</t>
  </si>
  <si>
    <t>Testes de Resistência — 04.6</t>
  </si>
  <si>
    <t>Caminhos — 06.2 e 06.3 (recurso próprio: capítulos 07 a 15)</t>
  </si>
  <si>
    <t>Opção 1</t>
  </si>
  <si>
    <t>Opção 2</t>
  </si>
  <si>
    <t>Perícia 1</t>
  </si>
  <si>
    <t>Perícia 2</t>
  </si>
  <si>
    <t>Perícia 3</t>
  </si>
  <si>
    <t>N</t>
  </si>
  <si>
    <t>Bônus de VEL</t>
  </si>
  <si>
    <t>Nanook</t>
  </si>
  <si>
    <t>Tudo que foi construído pode cair, e cair abre espaço.</t>
  </si>
  <si>
    <t>Poder ou Vigor</t>
  </si>
  <si>
    <t>Os seus PV, gastos como moeda: 2 × nível por ativação; 5 × nível por dado base do Avatar</t>
  </si>
  <si>
    <t>Ix</t>
  </si>
  <si>
    <t>Nada precisava existir, e o que existe pode ser negado.</t>
  </si>
  <si>
    <t>Nenhum além dos acúmulos das Bênçãos: Marca do Vazio (até 3) e Corrupção (até 5)</t>
  </si>
  <si>
    <t>Xipe</t>
  </si>
  <si>
    <t>Nenhuma voz sozinha chega onde um coro chega.</t>
  </si>
  <si>
    <t>Nenhum além dos acúmulos das Bênçãos: Eco da Vitória (até 3)</t>
  </si>
  <si>
    <t>Yaoshi</t>
  </si>
  <si>
    <t>Nenhuma vida deveria terminar enquanto houver energia para sustentá-la.</t>
  </si>
  <si>
    <t>Presença ou Sincronia</t>
  </si>
  <si>
    <t>Nenhum além dos acúmulos das Bênçãos: Florescimento (até 5)</t>
  </si>
  <si>
    <t>Fuli</t>
  </si>
  <si>
    <t>Enquanto algo for lembrado, não está perdido.</t>
  </si>
  <si>
    <t>Sincronia ou Discernimento</t>
  </si>
  <si>
    <t>Memoespírito (11.3 a 11.5)</t>
  </si>
  <si>
    <t>Nous</t>
  </si>
  <si>
    <t>Entender é a única forma honesta de poder.</t>
  </si>
  <si>
    <t>Acúmulos de Cálculo (máximo 5)</t>
  </si>
  <si>
    <t>Aha</t>
  </si>
  <si>
    <t>O universo é uma piada boa, e levar a sério é perder a graça.</t>
  </si>
  <si>
    <t>Presença ou Discernimento</t>
  </si>
  <si>
    <t>Tabela do Riso (1d6)</t>
  </si>
  <si>
    <t>Lan</t>
  </si>
  <si>
    <t>Existe uma presa, existe um tiro, e o resto é ruído.</t>
  </si>
  <si>
    <t>Marcação de Presa (1 alvo) + faixa de crítico 19-20 com Olho de Lan</t>
  </si>
  <si>
    <t>Qlipoth</t>
  </si>
  <si>
    <t>Enquanto a muralha estiver de pé, o que está atrás dela vive.</t>
  </si>
  <si>
    <t>Vigor ou Poder</t>
  </si>
  <si>
    <t>Barreira (teto 3 × Eficiência)</t>
  </si>
  <si>
    <t>PV com Bônus de Vigor +2 — 06.4</t>
  </si>
  <si>
    <t>N=6 Destruição</t>
  </si>
  <si>
    <t>N=5 Preservação / Abundância</t>
  </si>
  <si>
    <t>N=4 Inexistência</t>
  </si>
  <si>
    <t>N=3 Harmonia / Erudição / Euforia / Recordação</t>
  </si>
  <si>
    <t>N=2 Caça</t>
  </si>
  <si>
    <t>Bênçãos — capítulos 07 a 15 (12 por Caminho)</t>
  </si>
  <si>
    <t>Nova da v1.0</t>
  </si>
  <si>
    <t>Pacto da Ruína</t>
  </si>
  <si>
    <t>I</t>
  </si>
  <si>
    <t>Gaste 2 × nível PV por +Eficiência de dano; dobra abaixo da metade dos PV</t>
  </si>
  <si>
    <t>Uma vez por turno</t>
  </si>
  <si>
    <t>Corpo Forjado na Dor</t>
  </si>
  <si>
    <t>Resistência a um Elemento abaixo da metade dos PV; 1 vez por combate, fica com 1 PV</t>
  </si>
  <si>
    <t>Uma vez por combate</t>
  </si>
  <si>
    <t>Quebrador de Mundos</t>
  </si>
  <si>
    <t>Dados cheios contra Resistência, ignora 2 de RD, ignora Defesa contra quem tem Fraqueza</t>
  </si>
  <si>
    <t>Sem limite declarado</t>
  </si>
  <si>
    <t>Sacrifício Desesperado</t>
  </si>
  <si>
    <t>Até 2 acúmulos de +1d6, pagos com 2 × nível PV cada</t>
  </si>
  <si>
    <t>Instinto de Sobrevivência</t>
  </si>
  <si>
    <t>Com um terço dos PV ou menos: +2 em ataques e +1 Distância</t>
  </si>
  <si>
    <t>Impacto Devastador</t>
  </si>
  <si>
    <t>Crítico ou abate concede Ação Extra (teto de 1 por Ciclo)</t>
  </si>
  <si>
    <t>Cicatriz da Destruição</t>
  </si>
  <si>
    <t>II</t>
  </si>
  <si>
    <t>Marcas da Ruína: +1 de dano e +1 em dois Testes, até 5, dentro do teto</t>
  </si>
  <si>
    <t>Aniquilador de Resistências</t>
  </si>
  <si>
    <t>Dois acertos seguidos forçam Teste de Resistência Física; dobra a Redução de Tenacidade</t>
  </si>
  <si>
    <t>Último Fragmento de Vida</t>
  </si>
  <si>
    <t>A 0 PV, 1 turno de pé com Vantagem, +1d6 e ignorando Resistência</t>
  </si>
  <si>
    <t>Uma vez por Descanso Longo</t>
  </si>
  <si>
    <t>Juramento de Cinzas</t>
  </si>
  <si>
    <t>2 × nível PV por +1 de Tenacidade por acerto e +2 RD</t>
  </si>
  <si>
    <t>Uma vez por Ciclo</t>
  </si>
  <si>
    <t>Avatar da Destruição</t>
  </si>
  <si>
    <t>III</t>
  </si>
  <si>
    <t>5 × nível PV por dado (máx. +2 por Ciclo), área ferido, dobro de Tenacidade</t>
  </si>
  <si>
    <t>Fim de Toda Muralha</t>
  </si>
  <si>
    <t>1 vez por combate: Ataque Básico em 3 alvos, dados cheios por 5 × nível PV</t>
  </si>
  <si>
    <t>Marca do Vazio</t>
  </si>
  <si>
    <t>Marcado por 3 turnos: +1 no seu ataque, -1 em Resistência, Lentidão e 1d6 + Eficiência por turno</t>
  </si>
  <si>
    <t>Corrupção Progressiva</t>
  </si>
  <si>
    <t>Acúmulos de Corrupção até 5; no quinto, Ruptura com dados e total dobrados</t>
  </si>
  <si>
    <t>Uma vez por combate por alvo</t>
  </si>
  <si>
    <t>Olhar da Ausência</t>
  </si>
  <si>
    <t>Um alvo por vez: -2 de Defesa, Desvantagem no primeiro ataque, metade da cura</t>
  </si>
  <si>
    <t>Veneno do Nada</t>
  </si>
  <si>
    <t>Dano Contínuo de qualquer Elemento, crescendo até +3</t>
  </si>
  <si>
    <t>Silêncio da Existência</t>
  </si>
  <si>
    <t>-1 em ataques acumulando até o teto da faixa, e Silenciado</t>
  </si>
  <si>
    <t>Mestre das Aflições</t>
  </si>
  <si>
    <t>Efeito novo sobre efeito antigo: +1 turno e +1 dado; transfere Dano Contínuo</t>
  </si>
  <si>
    <t>Erosão Mental</t>
  </si>
  <si>
    <t>Teste de Força de Vontade no tique: sem Reação, -1 em ataques e Vulnerável</t>
  </si>
  <si>
    <t>Névoa da Inexistência</t>
  </si>
  <si>
    <t>Zona em 3 inimigos: Dano Contínuo, -2 de Defesa, metade da cura</t>
  </si>
  <si>
    <t>Colapso das Defesas</t>
  </si>
  <si>
    <t>Com 3 efeitos seus: ignora Defesa, +1 dado no Dano Contínuo, Desvantagem em Resistência</t>
  </si>
  <si>
    <t>Implante de Fraqueza</t>
  </si>
  <si>
    <t>Ação Complementar + 1 PH: o alvo ganha uma Fraqueza nova por 1 Ciclo</t>
  </si>
  <si>
    <t>Avatar do Vazio</t>
  </si>
  <si>
    <t>Efeitos quase irremovíveis, contágio, -1 dado inimigo, Ruptura de 5 × nível</t>
  </si>
  <si>
    <t>Sentença do Vazio</t>
  </si>
  <si>
    <t>Com 5 de Corrupção: tique extra e Atraso de 3 casas (2 com Firmeza)</t>
  </si>
  <si>
    <t>Melodia da União</t>
  </si>
  <si>
    <t>3 aliados ganham +1 em ataque, +1 em Resistência e +1 Distância</t>
  </si>
  <si>
    <t>Harmonia Interior</t>
  </si>
  <si>
    <t>+2 em um tipo de rolagem, Vantagem mental, metade do que você concede</t>
  </si>
  <si>
    <t>Cântico Inspirador</t>
  </si>
  <si>
    <t>Ação Complementar: Vantagem, dano extra e 2 × Eficiência de PV temporários</t>
  </si>
  <si>
    <t>Ressonância Perfeita</t>
  </si>
  <si>
    <t>Bônus seu respinga metade em outro aliado; crítico vira Vantagem</t>
  </si>
  <si>
    <t>Sinfonia de Poder</t>
  </si>
  <si>
    <t>Com 2+ aliados perto: +1 de dano e +1 de Defesa para todos; +2 com 4</t>
  </si>
  <si>
    <t>Bênção da Harmonia (Reação)</t>
  </si>
  <si>
    <t>Absorve metade do golpe mortal de um aliado e dá +Eficiência de Defesa</t>
  </si>
  <si>
    <t>Ritmo Acelerado</t>
  </si>
  <si>
    <t>Concede Ação Extra a um aliado, com -1 dado no ataque seguinte dele</t>
  </si>
  <si>
    <t>Eco da Vitória</t>
  </si>
  <si>
    <t>Abate, crítico ou Quebra dão +1 de dano e +1 de ataque ao grupo, até 3 vezes</t>
  </si>
  <si>
    <t>Campo da Harmonia Universal</t>
  </si>
  <si>
    <t>Zona de 3 turnos: cura, RD = Eficiência, +1 Distância e +2 em ataques</t>
  </si>
  <si>
    <t>Dueto Inevitável</t>
  </si>
  <si>
    <t>Par escolhido: +1 no primeiro ataque e Avançar 1 casa por Ciclo</t>
  </si>
  <si>
    <t>Avatar da Harmonia</t>
  </si>
  <si>
    <t>Bônus alcançam todos e são dobrados até o teto; salva um aliado a 0 PV</t>
  </si>
  <si>
    <t>Coral das Mil Vozes</t>
  </si>
  <si>
    <t>1 vez por combate: cada aliado escolhe Avançar 2, PV temporários ou +1 dado</t>
  </si>
  <si>
    <t>Fonte da Vida Eterna</t>
  </si>
  <si>
    <t>Cura também dá 1 × Eficiência de PV temporários; você recupera Eficiência</t>
  </si>
  <si>
    <t>Regeneração Celestial</t>
  </si>
  <si>
    <t>1d8 por turno, 2d8 abaixo da metade dos PV, Vantagem contra veneno</t>
  </si>
  <si>
    <t>Bênção Revitalizante</t>
  </si>
  <si>
    <t>5 × nível de cura, remove 1 condição, RD = Eficiência, tira de Morrendo</t>
  </si>
  <si>
    <t>Vitalidade Compartilhada</t>
  </si>
  <si>
    <t>Reação: absorve metade do dano do aliado e cura metade do absorvido</t>
  </si>
  <si>
    <t>Florescimento da Alma</t>
  </si>
  <si>
    <t>Acúmulos de Florescimento: +1 em Resistência e Defesa, até 5, e 1d4 por turno</t>
  </si>
  <si>
    <t>Excesso de Vida</t>
  </si>
  <si>
    <t>Cura excedente vira PV temporários; +2 RD, +1 dado de cura, +Eficiência de dano</t>
  </si>
  <si>
    <t>Corpo Imortal</t>
  </si>
  <si>
    <t>+2 × nível de PV máximo, RD = Eficiência, +2 RD quando muito ferido</t>
  </si>
  <si>
    <t>Raízes da Abundância</t>
  </si>
  <si>
    <t>Zona de 3 turnos: cura 1d6 + Eficiência, Vantagem e RD = Eficiência</t>
  </si>
  <si>
    <t>Renascimento Natural</t>
  </si>
  <si>
    <t>Aliado a 0 PV fica com 1 PV e recupera 5 × nível</t>
  </si>
  <si>
    <t>Jardim de Yaoshi</t>
  </si>
  <si>
    <t>A primeira cura do turno pega um segundo aliado pela metade</t>
  </si>
  <si>
    <t>Avatar da Abundância</t>
  </si>
  <si>
    <t>Toda cura pega +1 alvo; explosão de cura e limpeza quando alguém cai</t>
  </si>
  <si>
    <t>Ciclo Interminável</t>
  </si>
  <si>
    <t>Cura excedente vira PV temporários no aliado; Reação remove condição</t>
  </si>
  <si>
    <t>Ecos do Passado</t>
  </si>
  <si>
    <t>+4 × nível de PV ao Memoespírito, seu atributo no dano dele, Vantagem em Resistência</t>
  </si>
  <si>
    <t>Laço Inquebrável</t>
  </si>
  <si>
    <t>Passa metade do seu dano a ele; Vantagem quando ele é ferido; Vantagem mental</t>
  </si>
  <si>
    <t>Memória Devastadora</t>
  </si>
  <si>
    <t>Fragmentos de Memória até 5; no quinto, ataque em 3 alvos</t>
  </si>
  <si>
    <t>Sincronia de Memórias</t>
  </si>
  <si>
    <t>Ele ataca de Reação quando você acerta; dois acertos dão +2 dados e +1</t>
  </si>
  <si>
    <t>Fragmentos do Eu Perdido</t>
  </si>
  <si>
    <t>Fúria (+1d8 nos dois), Guarda (+Eficiência de Defesa e RD) ou Sabedoria (+Eficácia)</t>
  </si>
  <si>
    <t>Duas vezes por dia</t>
  </si>
  <si>
    <t>Memória Compartilhada</t>
  </si>
  <si>
    <t>Com ele em campo: +1 em ataques, +1d6 de dano, +1 Distância</t>
  </si>
  <si>
    <t>Persistência da Memória</t>
  </si>
  <si>
    <t>A 0 PV ele fica mais um turno, com +2 dados e imune a controle</t>
  </si>
  <si>
    <t>Ataque Espiritual</t>
  </si>
  <si>
    <t>Ignora Defesa, alcança incorpóreos e aplica Lembranças Passadas</t>
  </si>
  <si>
    <t>Recordação Absoluta</t>
  </si>
  <si>
    <t>3 turnos de +1 dado, +1 Distância e Vulnerável; depois, 1 turno enfraquecido</t>
  </si>
  <si>
    <t>Elo de Duas Memórias</t>
  </si>
  <si>
    <t>Atraso em um vira Avanço no outro; 1 invocação sem PH por combate</t>
  </si>
  <si>
    <t>Avatar da Recordação</t>
  </si>
  <si>
    <t>Forma Manifestada (+2 dados, +1 Distância) ou Sincronizada (PV, Defesa, dado, Ação Extra)</t>
  </si>
  <si>
    <t>Eternidade Recordada</t>
  </si>
  <si>
    <t>Reinvocação imediata com 4 × nível de PV; +1 de Redução de Tenacidade</t>
  </si>
  <si>
    <t>Teorema da Dispersão</t>
  </si>
  <si>
    <t>Ataque de alvo único pega um segundo inimigo com metade dos dados</t>
  </si>
  <si>
    <t>Leitura Rápida</t>
  </si>
  <si>
    <t>Descobrir Fraqueza sem gastar ação, 1 vez por Ciclo, e +1 para o aliado</t>
  </si>
  <si>
    <t>Equação Compartilhada</t>
  </si>
  <si>
    <t>Atingir 2+ inimigos dá 1 acúmulo extra</t>
  </si>
  <si>
    <t>Vetor Corrigido</t>
  </si>
  <si>
    <t>1 acúmulo rerrola um dado de dano, 1 vez por turno</t>
  </si>
  <si>
    <t>Memória de Trabalho</t>
  </si>
  <si>
    <t>Alvos de área não precisam estar agrupados</t>
  </si>
  <si>
    <t>Princípio de Nous</t>
  </si>
  <si>
    <t>Eficácia grátis em Ciência, Pesquisa ou Tecnologia; 1 informação por sessão</t>
  </si>
  <si>
    <t>Uma vez por sessão</t>
  </si>
  <si>
    <t>Cadeia de Inferência</t>
  </si>
  <si>
    <t>Atingir 3+ inimigos deixa todos Vulnerável para o grupo</t>
  </si>
  <si>
    <t>Cálculo Preditivo</t>
  </si>
  <si>
    <t>Você vê a Fila inteira e Avança 1 casa antes do Ciclo 1</t>
  </si>
  <si>
    <t>Teto Rompido</t>
  </si>
  <si>
    <t>Máximo de 7 acúmulos; 2 acúmulos compram 2 alvos no Nível 4+</t>
  </si>
  <si>
    <t>Aumentos de Atributo — níveis 3, 6, 9, 12, 15 e 18 (04.3): +2 em um ou +1 em dois diferentes, teto 20</t>
  </si>
  <si>
    <t>Dissertação Armada</t>
  </si>
  <si>
    <t>1 vez por combate: +1 alvo em área, de graça</t>
  </si>
  <si>
    <t>Avatar da Erudição</t>
  </si>
  <si>
    <t>Acúmulos persistem, 1 gasto grátis por Ciclo, base de 5 alvos</t>
  </si>
  <si>
    <t>Horizonte de Eventos</t>
  </si>
  <si>
    <t>1 vez por combate: 6d6 + atributo em até 6 inimigos, com Teste de Reflexos</t>
  </si>
  <si>
    <t>Modo (preencha)</t>
  </si>
  <si>
    <t>Atributo 1 (preencha)</t>
  </si>
  <si>
    <t>Atributo 2 (só +1 em dois)</t>
  </si>
  <si>
    <t>Piada de Entrada</t>
  </si>
  <si>
    <t>Soma no Atributo 1</t>
  </si>
  <si>
    <t>Soma no Atributo 2</t>
  </si>
  <si>
    <t>Role a Tabela do Riso 1 vez por Ciclo, de graça</t>
  </si>
  <si>
    <t>Timing Impecável</t>
  </si>
  <si>
    <t>Troque o resultado da tabela pelo vizinho, 1 vez por Ciclo</t>
  </si>
  <si>
    <t>Troca de Papéis</t>
  </si>
  <si>
    <t>Ação Complementar: troca de casa na Fila com um aliado</t>
  </si>
  <si>
    <t>Risada Contagiante</t>
  </si>
  <si>
    <t>Crítico ou 1 natural rolam a Tabela do Riso</t>
  </si>
  <si>
    <t>Acrobata do Caos</t>
  </si>
  <si>
    <t>Vantagem em Reflexos; Esquiva bem-sucedida Atrasa o atacante</t>
  </si>
  <si>
    <t>Sorte Escandalosa</t>
  </si>
  <si>
    <t>Reação: +2 na falha de um aliado, declarado depois do dado</t>
  </si>
  <si>
    <t>Comédia de Erros</t>
  </si>
  <si>
    <t>Inimigo que erra em você faz você rolar a tabela</t>
  </si>
  <si>
    <t>Maestro do Riso</t>
  </si>
  <si>
    <t>Ataque Básico: dois resultados da tabela de uma vez</t>
  </si>
  <si>
    <t>Palhaçada Letal</t>
  </si>
  <si>
    <t>+1 dado base contra quem a tabela já pegou neste Ciclo</t>
  </si>
  <si>
    <t>Entra em Cena</t>
  </si>
  <si>
    <t>Ação Complementar + 1 PH: um aliado Avança 2 casas</t>
  </si>
  <si>
    <t>Avatar da Euforia</t>
  </si>
  <si>
    <t>Tabela no início de todo turno; escolhe o resultado 1 vez por Ciclo</t>
  </si>
  <si>
    <t>A Piada Final</t>
  </si>
  <si>
    <t>1 vez por combate: até 3 inimigos Atrasados e Vulnerável</t>
  </si>
  <si>
    <t>Olho de Lan</t>
  </si>
  <si>
    <t>Faixa de crítico 19-20, o teto do jogo</t>
  </si>
  <si>
    <t>Presa Escolhida</t>
  </si>
  <si>
    <t>Marcar não gasta ação nenhuma</t>
  </si>
  <si>
    <t>Tiro Certeiro</t>
  </si>
  <si>
    <t>Ignora Eficiência pontos de Defesa do alvo marcado</t>
  </si>
  <si>
    <t>Caçador Incansável</t>
  </si>
  <si>
    <t>Abate do marcado dá +1 no próximo ataque e Avança 1 casa</t>
  </si>
  <si>
    <t>Passos de Sombra</t>
  </si>
  <si>
    <t>Vantagem em Furtividade e no primeiro ataque sem ser notado</t>
  </si>
  <si>
    <t>Reflexo de Presa</t>
  </si>
  <si>
    <t>Ganha todo empate de Velocidade; sofre 1 casa menos de Atraso</t>
  </si>
  <si>
    <t>Dois Alvos, Uma Flecha</t>
  </si>
  <si>
    <t>Dois marcados; o dado vale no primeiro que você atacar no turno</t>
  </si>
  <si>
    <t>Golpe no Ponto Cego</t>
  </si>
  <si>
    <t>Segundo acerto no marcado no mesmo Ciclo: +1 dado base</t>
  </si>
  <si>
    <t>Perseguição</t>
  </si>
  <si>
    <t>Marcado Atrasado, Congelado ou Quebrado faz você Avançar 1 casa</t>
  </si>
  <si>
    <t>Instinto de Predador</t>
  </si>
  <si>
    <t>Reação: contra-ataque quando o marcado erra em você</t>
  </si>
  <si>
    <t>Avatar da Caça</t>
  </si>
  <si>
    <t>Crítico no marcado ganha +1 dado base; +2 de Velocidade; Ação Extra no abate</t>
  </si>
  <si>
    <t>A Última Flecha</t>
  </si>
  <si>
    <t>1 vez por combate: Vantagem, +2 dados base e +30 de Energia no abate</t>
  </si>
  <si>
    <t>Muralha de Qlipoth</t>
  </si>
  <si>
    <t>Ação Complementar: 2 × Eficiência de Barreira em você ou num aliado</t>
  </si>
  <si>
    <t>Chamado da Muralha</t>
  </si>
  <si>
    <t>Teste de Força de Vontade: o inimigo só pode atacar você</t>
  </si>
  <si>
    <t>Escudo Vivo</t>
  </si>
  <si>
    <t>Intervir de graça, 1 vez por Ciclo</t>
  </si>
  <si>
    <t>Pele de Pedra</t>
  </si>
  <si>
    <t>+2 RD, e +2 RD a mais enquanto tiver Barreira</t>
  </si>
  <si>
    <t>Firmeza de Fundação</t>
  </si>
  <si>
    <t>No máximo 1 casa de Atraso por Ciclo; ignora Lentidão</t>
  </si>
  <si>
    <t>Peso do Juramento</t>
  </si>
  <si>
    <t>Vantagem em Potência e Resistência Física; +2 Espaços de carga</t>
  </si>
  <si>
    <t>Barreira Compartilhada</t>
  </si>
  <si>
    <t>A Barreira pega um segundo aliado pela metade</t>
  </si>
  <si>
    <t>Contragolpe</t>
  </si>
  <si>
    <t>Dano absorvido devolve 1d6 + Eficiência ao atacante</t>
  </si>
  <si>
    <t>Sentinela</t>
  </si>
  <si>
    <t>1 vez por Ciclo: Esquiva ou Intervir mesmo com a Reação gasta</t>
  </si>
  <si>
    <t>Último Bastião</t>
  </si>
  <si>
    <t>Barreira destruída dá RD = Eficiência ao grupo perto</t>
  </si>
  <si>
    <t>Avatar da Preservação</t>
  </si>
  <si>
    <t>Barreira no teto, +1 de Defesa e +2 RD aos aliados, salva um a 0 PV</t>
  </si>
  <si>
    <t>A Muralha Não Cai</t>
  </si>
  <si>
    <t>Morrendo, Descanso e variantes — 23.4, 23.6 e 06.4</t>
  </si>
  <si>
    <t>1 vez por combate: ninguém perto cai abaixo de 1 PV por um turno</t>
  </si>
  <si>
    <t>Acúmulos das Bênçãos — capítulos 07 a 15 (transcrito)</t>
  </si>
  <si>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</si>
  <si>
    <t>Máximo</t>
  </si>
  <si>
    <t>Fúria</t>
  </si>
  <si>
    <t>Marcas da Ruína</t>
  </si>
  <si>
    <t>Variante oficial — PV rolado (06.4): role 1d20 no lugar do valor fixo de cada nível, com piso no valor fixo menos 3 e teto no valor fixo mais 5. A ficha calcula só o valor fixo: com a variante, o Mestre ajusta os PV à mão.</t>
  </si>
  <si>
    <t>Falhe para frente: uma falha em Teste de Perícia nunca trava a cena. A cena avança com custo.</t>
  </si>
  <si>
    <t>Florescimento</t>
  </si>
  <si>
    <t>Fragmentos de Memória</t>
  </si>
  <si>
    <t>Lembranças Passadas</t>
  </si>
  <si>
    <t>Efeitos aplicados nos números — decisão 2 do plano (transcrito)</t>
  </si>
  <si>
    <t>Bênção ou escolha</t>
  </si>
  <si>
    <t>PV máximo +2 × nível</t>
  </si>
  <si>
    <t>RD = Eficiência (teto de RD)</t>
  </si>
  <si>
    <t>RD +2 permanente</t>
  </si>
  <si>
    <t>faixa de crítico 19-20</t>
  </si>
  <si>
    <t>Velocidade +2 permanente</t>
  </si>
  <si>
    <t>Forma Sincronizada: PV máximo +2 × nível, Defesa +1, +1 dado base</t>
  </si>
  <si>
    <t>+2 em Testes de Ataque com PV ≤ 1/3 do máximo (teto de bônus)</t>
  </si>
  <si>
    <t>+1d6 de dano por acúmulo de Fúria (teto de dados adicionais)</t>
  </si>
  <si>
    <t>+1 dano, +1 Força de Vontade e Resistência Mental por Marca (teto de bônus)</t>
  </si>
  <si>
    <t>+1 em Testes de Resistência e +1 de Defesa por acúmulo (teto de bônus)</t>
  </si>
  <si>
    <t>com o Memoespírito ativo: +1 em ataques e +1d6 de dano</t>
  </si>
  <si>
    <t>Memória da Guarda: +Eficiência de Defesa com o Memoespírito ativo</t>
  </si>
  <si>
    <t>Memoespírito: PV máximo +4 × nível e +Bônus do Atributo de Habilidade no dano</t>
  </si>
  <si>
    <t>Função Catalisador</t>
  </si>
  <si>
    <t>você ganha +1 em Testes de Ataque com o Memoespírito ativo</t>
  </si>
  <si>
    <t>Evolução Fusão de Memórias</t>
  </si>
  <si>
    <t>Tabela mestra, nível 1 a 20 — 26.2</t>
  </si>
  <si>
    <t>Item 11 a 20 (escolha do catálogo ou escreva)</t>
  </si>
  <si>
    <t>Eficácia: Perícias</t>
  </si>
  <si>
    <t>Eficácia: Testes de Resistência</t>
  </si>
  <si>
    <t>Especialização</t>
  </si>
  <si>
    <t>Recursos do grupo e equipamento por faixa (mesa de 4) — 26.3</t>
  </si>
  <si>
    <t>Faixa</t>
  </si>
  <si>
    <t>PH (máx. / início / geração)</t>
  </si>
  <si>
    <t>Ultimate (Nível equiv. / média)</t>
  </si>
  <si>
    <t>Cone de Luz máx.</t>
  </si>
  <si>
    <t>Relíquias</t>
  </si>
  <si>
    <t>Ressonância</t>
  </si>
  <si>
    <t>5 / 3 / +1</t>
  </si>
  <si>
    <t>2 / 27</t>
  </si>
  <si>
    <t>Nível 1</t>
  </si>
  <si>
    <t>Tier I</t>
  </si>
  <si>
    <t>12-14</t>
  </si>
  <si>
    <t>+3</t>
  </si>
  <si>
    <t>3 / 39</t>
  </si>
  <si>
    <t>Nível 2</t>
  </si>
  <si>
    <t>Tier I → II (7)</t>
  </si>
  <si>
    <t>I (nível 5)</t>
  </si>
  <si>
    <t>14-16</t>
  </si>
  <si>
    <t>6 / 4 / +2</t>
  </si>
  <si>
    <t>4 / 63</t>
  </si>
  <si>
    <t>Nível 3</t>
  </si>
  <si>
    <t>Tier II</t>
  </si>
  <si>
    <t>II (nível 10)</t>
  </si>
  <si>
    <t>+3 → +4 (10)</t>
  </si>
  <si>
    <t>5 / 105</t>
  </si>
  <si>
    <t>Nível 4</t>
  </si>
  <si>
    <t>Tier III</t>
  </si>
  <si>
    <t>III (nível 15)</t>
  </si>
  <si>
    <t>18-20</t>
  </si>
  <si>
    <t>+4 → +5 (16)</t>
  </si>
  <si>
    <t>7 / 5 / +2</t>
  </si>
  <si>
    <t>6 / 147</t>
  </si>
  <si>
    <t>Nível 5</t>
  </si>
  <si>
    <t>Tier III → IV (18)</t>
  </si>
  <si>
    <t>IV (nível 20)</t>
  </si>
  <si>
    <t>20-22</t>
  </si>
  <si>
    <t>+5</t>
  </si>
  <si>
    <t>Ressonâncias — 26.7</t>
  </si>
  <si>
    <t>Escolha uma opção</t>
  </si>
  <si>
    <t>1 uso por combate de uma Habilidade de Nível 3 ou menor sem custo de PH; ou +1 de Velocidade permanente</t>
  </si>
  <si>
    <t>Sua Ultimate ganha um efeito extra, dentro dos limites de buff e debuff lidos no Nível equivalente da sua faixa (capítulo 17)</t>
  </si>
  <si>
    <t>Uma Habilidade sua sobe 1 Nível de efeito e passa a custar o PH do Nível novo, sem passar do seu Nível máximo</t>
  </si>
  <si>
    <t>IV</t>
  </si>
  <si>
    <t>Sua Ultimate ativa com 80 de Energia e consome 80 (o teto do medidor continua 100); ou sua Bênção Avatar afeta um alvo adicional</t>
  </si>
  <si>
    <t>Níveis de Habilidade — 16.3</t>
  </si>
  <si>
    <t>Dados de dano</t>
  </si>
  <si>
    <t>Face do dano</t>
  </si>
  <si>
    <t>Dados de cura</t>
  </si>
  <si>
    <t>Face da cura</t>
  </si>
  <si>
    <t>6d6</t>
  </si>
  <si>
    <t>5d8</t>
  </si>
  <si>
    <t>Pessoal, Curta</t>
  </si>
  <si>
    <t>5d10</t>
  </si>
  <si>
    <t>6d10</t>
  </si>
  <si>
    <t>+ Média</t>
  </si>
  <si>
    <t>6d12</t>
  </si>
  <si>
    <t>8d12</t>
  </si>
  <si>
    <t>+ Longa</t>
  </si>
  <si>
    <t>6d20</t>
  </si>
  <si>
    <t>7d20</t>
  </si>
  <si>
    <t>+ Extrema</t>
  </si>
  <si>
    <t>10d20</t>
  </si>
  <si>
    <t>14d20</t>
  </si>
  <si>
    <t>18d20</t>
  </si>
  <si>
    <t>Buff e Debuff — 16.5</t>
  </si>
  <si>
    <t>O que você pode escrever</t>
  </si>
  <si>
    <t>+1 ou -1 em um tipo de rolagem, ou PV temporários = 1 × Eficiência</t>
  </si>
  <si>
    <t>1 turno</t>
  </si>
  <si>
    <t>1</t>
  </si>
  <si>
    <t>+1/-1 e um efeito menor, ou +2/-2 em um tipo</t>
  </si>
  <si>
    <t>2 turnos</t>
  </si>
  <si>
    <t>+2/-2, ou +1/-1 em dois tipos; PV temporários = 2 × Eficiência; aplica 1 condição da lista do capítulo 21</t>
  </si>
  <si>
    <t>2</t>
  </si>
  <si>
    <t>+3/-3; aplica ou remove 1 condição; PV temporários = 3 × Eficiência; Implante de Fraqueza</t>
  </si>
  <si>
    <t>3 ou área</t>
  </si>
  <si>
    <t>+3/-3 e um efeito maior (Avanço Total, Ação Extra, imunidade a 1 condição)</t>
  </si>
  <si>
    <t>3 turnos</t>
  </si>
  <si>
    <t>Buff: todos os aliados (até 6) · Debuff: 3 alvos</t>
  </si>
  <si>
    <t>+4/-4 e um efeito maior</t>
  </si>
  <si>
    <t>Buff: todos os aliados (até 6) · Debuff: 4 alvos</t>
  </si>
  <si>
    <t>+5/-5 e dois efeitos maiores</t>
  </si>
  <si>
    <t>Passivas — 16.5</t>
  </si>
  <si>
    <t>+1 fixo pequeno, ou um gatilho de +1 dado do seu Elemento 1 vez por turno</t>
  </si>
  <si>
    <t>+1 fixo e uma condição de gatilho (ex.: "quando você Quebra um inimigo")</t>
  </si>
  <si>
    <t>+2 fixo, ou 1 RD, ou +1 de Velocidade</t>
  </si>
  <si>
    <t>+2 e um gatilho que concede dado extra; ou 2 RD</t>
  </si>
  <si>
    <t>Um gatilho forte 1 vez por combate (ex.: "ao cair a 0 PV, fique com 1 PV")</t>
  </si>
  <si>
    <t>+3 fixo e um gatilho forte</t>
  </si>
  <si>
    <t>Um gatilho que altera uma regra sua, 1 vez por Ciclo (ex.: "seus Ataques Básicos reduzem 2 de Tenacidade em vez de 1")</t>
  </si>
  <si>
    <t>Ultimate: Nível equivalente por faixa — 17.3</t>
  </si>
  <si>
    <t>Bônus de Vigor subiu? Os PV sobem na hora: nível + 2 =</t>
  </si>
  <si>
    <t>PV (04.3; a aba Criação já soma tudo)</t>
  </si>
  <si>
    <t>Pontos de Habilidade do grupo — 16.2</t>
  </si>
  <si>
    <t>Ressonâncias — 26.7 (níveis 5, 10, 15 e 20)</t>
  </si>
  <si>
    <t>Nº de jogadores</t>
  </si>
  <si>
    <t>Máximo 1-8</t>
  </si>
  <si>
    <t>Máximo 9-16</t>
  </si>
  <si>
    <t>Máximo 17-20</t>
  </si>
  <si>
    <t>Início 1-8</t>
  </si>
  <si>
    <t>Início 9-16</t>
  </si>
  <si>
    <t>Início 17-20</t>
  </si>
  <si>
    <t>Opção (preencha)</t>
  </si>
  <si>
    <t>O que o livro diz</t>
  </si>
  <si>
    <t>Custo em PH por Nível de Habilidade — 16.2</t>
  </si>
  <si>
    <t>Nível da Habilidade</t>
  </si>
  <si>
    <t>Ataque Básico (acerte ou não)</t>
  </si>
  <si>
    <t>+20</t>
  </si>
  <si>
    <t>nenhum, salvo o 1 natural</t>
  </si>
  <si>
    <t>Habilidade (acerte ou não)</t>
  </si>
  <si>
    <t>+30</t>
  </si>
  <si>
    <t>Sofrer dano</t>
  </si>
  <si>
    <t>+10</t>
  </si>
  <si>
    <t>1 vez por Ciclo</t>
  </si>
  <si>
    <t>Derrotar um inimigo</t>
  </si>
  <si>
    <t>para quem desferiu o golpe</t>
  </si>
  <si>
    <t>Quebrar a Tenacidade de um inimigo</t>
  </si>
  <si>
    <t>Ativar a Ultimate</t>
  </si>
  <si>
    <t>-100</t>
  </si>
  <si>
    <t>Ação do Memoespírito</t>
  </si>
  <si>
    <t>metade do valor da ação, arredondando para baixo, para o dono</t>
  </si>
  <si>
    <t>Corda de Ligação: +10 a +25 pelo tier, ao entrar na Fila · Cone de Luz de Nível 3 ou maior: +5 pelo Efeito Condicional</t>
  </si>
  <si>
    <t>1 vez por combate · 1 vez por Ciclo</t>
  </si>
  <si>
    <t>Redução de Tenacidade — 20.3</t>
  </si>
  <si>
    <t>Habilidade de Nível 1-2</t>
  </si>
  <si>
    <t>Habilidade de Nível 3</t>
  </si>
  <si>
    <t>3</t>
  </si>
  <si>
    <t>Habilidade de Nível 4</t>
  </si>
  <si>
    <t>4</t>
  </si>
  <si>
    <t>Habilidade de Nível 5</t>
  </si>
  <si>
    <t>5</t>
  </si>
  <si>
    <t>Habilidade de Nível 6</t>
  </si>
  <si>
    <t>6</t>
  </si>
  <si>
    <t>Habilidade de Nível 7</t>
  </si>
  <si>
    <t>7</t>
  </si>
  <si>
    <t>5, em todas as faixas</t>
  </si>
  <si>
    <t>Dano Contínuo</t>
  </si>
  <si>
    <t>0 — só ataque reduz Tenacidade</t>
  </si>
  <si>
    <t>Elementos e Dano de Quebra — 20.1 e 20.5</t>
  </si>
  <si>
    <t>Temática</t>
  </si>
  <si>
    <t>O que ele entrega na Quebra</t>
  </si>
  <si>
    <t>Dados do Dano de Quebra</t>
  </si>
  <si>
    <t>Face</t>
  </si>
  <si>
    <t>Multiplicador da Eficiência</t>
  </si>
  <si>
    <t>Impacto, lâmina, calibre, pancada</t>
  </si>
  <si>
    <t>Sangramento — o maior Dano de Quebra do jogo</t>
  </si>
  <si>
    <t>2d6 + (2 × Eficiência)</t>
  </si>
  <si>
    <t>Combustão, forja, fúria</t>
  </si>
  <si>
    <t>Queimadura — empatado como maior Dano de Quebra</t>
  </si>
  <si>
    <t>Frio, paralisia, silêncio branco</t>
  </si>
  <si>
    <t>Congelamento — tira o turno de um Comum</t>
  </si>
  <si>
    <t>Congelamento</t>
  </si>
  <si>
    <t>Descarga, sobrecarga, nervo</t>
  </si>
  <si>
    <t>Choque — dano contínuo confiável</t>
  </si>
  <si>
    <t>1d6 + Eficiência</t>
  </si>
  <si>
    <t>Corte, pressão, erosão</t>
  </si>
  <si>
    <t>Cisalhamento de Vento — acumula até 5 vezes</t>
  </si>
  <si>
    <t>Probabilidade, emaranhado, peso</t>
  </si>
  <si>
    <t>Embaraço — dano acumulável e Atrasa 1 casa</t>
  </si>
  <si>
    <t>Significado, selo, prisão de ideias</t>
  </si>
  <si>
    <t>Aprisionamento — Atrasa 2 casas</t>
  </si>
  <si>
    <t>Fraqueza e Resistência — 20.2</t>
  </si>
  <si>
    <t>É Fraqueza do alvo</t>
  </si>
  <si>
    <t>+2 dados do mesmo tipo do ataque</t>
  </si>
  <si>
    <t>total</t>
  </si>
  <si>
    <t>Neutro (nem Fraqueza, nem Resistência)</t>
  </si>
  <si>
    <t>dano normal</t>
  </si>
  <si>
    <t>metade (arredonda para baixo, mínimo 1)</t>
  </si>
  <si>
    <t>O alvo tem Resistência</t>
  </si>
  <si>
    <t>-2 dados, conservando sempre no mínimo 1 dado</t>
  </si>
  <si>
    <t>1 ponto, fixo</t>
  </si>
  <si>
    <t>DT para descobrir uma Fraqueza — 20.2</t>
  </si>
  <si>
    <t>Faixa de nível do inimigo</t>
  </si>
  <si>
    <t>Condições — 21.5</t>
  </si>
  <si>
    <t>Dano Contínuo = 5% dos PV máximos, teto 3 × Eficiência</t>
  </si>
  <si>
    <t>até 5</t>
  </si>
  <si>
    <t>Dano Contínuo 2d6 + Eficiência (Fogo)</t>
  </si>
  <si>
    <t>Dano Contínuo 1d6 + Eficiência (Raio)</t>
  </si>
  <si>
    <t>Dano Contínuo 1d6 por acúmulo (Vento)</t>
  </si>
  <si>
    <t>1d6 por acúmulo (só por ataques) e Atrasa 1 casa</t>
  </si>
  <si>
    <t>1d6 + Eficiência e Atrasa 2 casas</t>
  </si>
  <si>
    <t>Congelado</t>
  </si>
  <si>
    <t>Só inimigos. Comum perde o turno; Elite e Boss são Atrasados 2 casas e perdem a ação especial</t>
  </si>
  <si>
    <t>não repete em Ciclos seguidos pela mesma fonte</t>
  </si>
  <si>
    <t>Ação de Movimento não muda a Distância; só sai do lugar com Esforço Total</t>
  </si>
  <si>
    <t>fonte</t>
  </si>
  <si>
    <t>não acumula</t>
  </si>
  <si>
    <t>+1 em Testes de Ataque de quem marcou</t>
  </si>
  <si>
    <t>3, sem somar entre fontes</t>
  </si>
  <si>
    <t>não pode usar Habilidade de Nível 4 ou maior</t>
  </si>
  <si>
    <t>+1 dado de dano da fonte indicada</t>
  </si>
  <si>
    <t>quem aplicou decide as ações do alvo, sem Habilidade, Ultimate nem recursos</t>
  </si>
  <si>
    <t>+1 no dano de cada Dano Contínuo seu no alvo</t>
  </si>
  <si>
    <t>fim do combate</t>
  </si>
  <si>
    <t>Quebrado</t>
  </si>
  <si>
    <t>-2 de Defesa e +1 dado de dano de qualquer fonte</t>
  </si>
  <si>
    <t>até o fim do próximo turno dele</t>
  </si>
  <si>
    <t>casa pulada no primeiro Ciclo</t>
  </si>
  <si>
    <t>1 Ciclo</t>
  </si>
  <si>
    <t>Morrendo</t>
  </si>
  <si>
    <t>0 PV, inconsciente, mantém a casa, Teste de Força de Vontade DT 10 no turno</t>
  </si>
  <si>
    <t>até estabilizar ou morrer</t>
  </si>
  <si>
    <t>No próximo nível você ganha</t>
  </si>
  <si>
    <t>Próximo nível:</t>
  </si>
  <si>
    <t>Trivial</t>
  </si>
  <si>
    <t>Fácil</t>
  </si>
  <si>
    <t>Difícil</t>
  </si>
  <si>
    <t>Muito Difícil</t>
  </si>
  <si>
    <t>Heroica</t>
  </si>
  <si>
    <t>As cinco DTs de subsistema — 27.3</t>
  </si>
  <si>
    <t>Descobrir uma Fraqueza de inimigo</t>
  </si>
  <si>
    <t>13 / 14 / 15 / 16 / 17, pela faixa do inimigo</t>
  </si>
  <si>
    <t>20</t>
  </si>
  <si>
    <t>Surpresa (Teste de Percepção Mental)</t>
  </si>
  <si>
    <t>13, fixa em todas as faixas</t>
  </si>
  <si>
    <t>19</t>
  </si>
  <si>
    <t>Morrendo (Teste de Força de Vontade, sem Eficiência)</t>
  </si>
  <si>
    <t>10</t>
  </si>
  <si>
    <t>23</t>
  </si>
  <si>
    <t>Traço Raposa Astuta do Vulpes</t>
  </si>
  <si>
    <t>05</t>
  </si>
  <si>
    <t>Traço To na sua mente do Haloviano</t>
  </si>
  <si>
    <t>13</t>
  </si>
  <si>
    <t>Contra qual DT você rola — 22.3</t>
  </si>
  <si>
    <t>A fonte é...</t>
  </si>
  <si>
    <t>A DT é...</t>
  </si>
  <si>
    <t>Uma Habilidade, Ultimate ou traço de personagem</t>
  </si>
  <si>
    <t>8 + Bônus do Atributo de Habilidade + Eficiência de quem usou</t>
  </si>
  <si>
    <t>Um efeito de inimigo</t>
  </si>
  <si>
    <t>a DT dos efeitos da ficha dele (tabela abaixo)</t>
  </si>
  <si>
    <t>O ambiente ou a cena</t>
  </si>
  <si>
    <t>a tabela de DT por faixa do capítulo 27</t>
  </si>
  <si>
    <t>DT 10, fixa (capítulo 23)</t>
  </si>
  <si>
    <t>DT dos efeitos de inimigo — 22.3</t>
  </si>
  <si>
    <t>Faixa do inimigo</t>
  </si>
  <si>
    <t>Comum</t>
  </si>
  <si>
    <t>Elite</t>
  </si>
  <si>
    <t>Boss</t>
  </si>
  <si>
    <t>Teste de Resistência do inimigo — 22.3</t>
  </si>
  <si>
    <t>Armas — 24.2</t>
  </si>
  <si>
    <t>Nº de dados</t>
  </si>
  <si>
    <t>Atributo de Ataque</t>
  </si>
  <si>
    <t>Preço (Cr)</t>
  </si>
  <si>
    <t>Duas mãos</t>
  </si>
  <si>
    <t>1d8</t>
  </si>
  <si>
    <t>1d10</t>
  </si>
  <si>
    <t>Poder ou Agilidade (fixo na criação)</t>
  </si>
  <si>
    <t>1d12</t>
  </si>
  <si>
    <t>2d8</t>
  </si>
  <si>
    <t>Propriedade especial de arma — 24.2</t>
  </si>
  <si>
    <t>Propriedade</t>
  </si>
  <si>
    <t>O que faz</t>
  </si>
  <si>
    <t>Precisa de uma Ação Complementar para recarregar depois de um número de disparos definido na criação</t>
  </si>
  <si>
    <t>Pode ser lançada a um alcance acima do normal da categoria; depois disso, você está sem ela</t>
  </si>
  <si>
    <t>Um passo acima do alcance normal da categoria</t>
  </si>
  <si>
    <t>+1 de Redução de Tenacidade. Numa arma Leve ou Média, ela passa a exigir as duas mãos</t>
  </si>
  <si>
    <t>Ocupa 0,5 de Espaço e passa por busca superficial</t>
  </si>
  <si>
    <t>Armaduras — 24.1</t>
  </si>
  <si>
    <t>Outros efeitos</t>
  </si>
  <si>
    <t>Permitida</t>
  </si>
  <si>
    <t>2 RD, -2 em Reflexos e nas Perícias de Agilidade, -2 de Velocidade</t>
  </si>
  <si>
    <t>Proibida</t>
  </si>
  <si>
    <t>Poções de Vida — 24.3</t>
  </si>
  <si>
    <t>Poção</t>
  </si>
  <si>
    <t>Pequena</t>
  </si>
  <si>
    <t>Grande</t>
  </si>
  <si>
    <t>Itens comuns — 24.3</t>
  </si>
  <si>
    <t>Item</t>
  </si>
  <si>
    <t>Para quê</t>
  </si>
  <si>
    <t>Kit de primeiros socorros (3 usos)</t>
  </si>
  <si>
    <t>Cura 10 fora de combate, por uso</t>
  </si>
  <si>
    <t>Kit de ferramentas</t>
  </si>
  <si>
    <t>Permite Testes de Tecnologia que exigem equipamento</t>
  </si>
  <si>
    <t>Kit de pesquisa de campo</t>
  </si>
  <si>
    <t>Idem, para Ciência e Pesquisa</t>
  </si>
  <si>
    <t>Lanterna de plasma</t>
  </si>
  <si>
    <t>Luz, 8 horas de carga</t>
  </si>
  <si>
    <t>Corda de fibra, 20 m</t>
  </si>
  <si>
    <t>Corda</t>
  </si>
  <si>
    <t>Gancho de escalada</t>
  </si>
  <si>
    <t>Sobe o que não tem escada</t>
  </si>
  <si>
    <t>Ração de viagem (3 dias)</t>
  </si>
  <si>
    <t>Descanso Longo fora de abrigo</t>
  </si>
  <si>
    <t>Comunicador de curto alcance</t>
  </si>
  <si>
    <t>Fala com o grupo entre cenas</t>
  </si>
  <si>
    <t>Scanner portátil</t>
  </si>
  <si>
    <t>Vantagem em um Teste de Pesquisa por cena, fora de combate</t>
  </si>
  <si>
    <t>Traje de vedação</t>
  </si>
  <si>
    <t>Sobrevive a vácuo e atmosfera hostil por uma cena</t>
  </si>
  <si>
    <t>Munição ou célula de reserva</t>
  </si>
  <si>
    <t>Recarrega uma arma com a propriedade Recarga</t>
  </si>
  <si>
    <t>Inventário e Espaço — 24.4</t>
  </si>
  <si>
    <t>Até a sua capacidade</t>
  </si>
  <si>
    <t>Nada</t>
  </si>
  <si>
    <t>Acima da capacidade</t>
  </si>
  <si>
    <t>Você fica com Lentidão (capítulo 21): a sua Ação de Movimento não muda a sua Distância, e só Esforço Total move você um passo</t>
  </si>
  <si>
    <t>Acima do dobro da capacidade</t>
  </si>
  <si>
    <t>Você não consegue se mover. Nem com Esforço Total</t>
  </si>
  <si>
    <t>Verba de marco do grupo — 24.5</t>
  </si>
  <si>
    <t>Verba de marco (Cr)</t>
  </si>
  <si>
    <t>O que ela compra</t>
  </si>
  <si>
    <t>reposição de poções, uma arma, um kit</t>
  </si>
  <si>
    <t>trocar uma armadura, equipar o grupo com poções Médias</t>
  </si>
  <si>
    <t>equipamento de cena, suborno, passagem, transporte</t>
  </si>
  <si>
    <t>contratar gente, comprar silêncio, abrir porta fechada</t>
  </si>
  <si>
    <t>o custo não é mais dinheiro, e a tabela está aqui para o Mestre ter um teto</t>
  </si>
  <si>
    <t>Cone de Luz e Relíquias por faixa — 25.1</t>
  </si>
  <si>
    <t>Tier I, virando Tier II no nível 7</t>
  </si>
  <si>
    <t>Tier III, virando Tier IV no nível 18</t>
  </si>
  <si>
    <t>Cone de Luz — 25.2</t>
  </si>
  <si>
    <t>Nível do Cone</t>
  </si>
  <si>
    <t>Nível do personagem</t>
  </si>
  <si>
    <t>Bônus Maior</t>
  </si>
  <si>
    <t>Bônus numérico</t>
  </si>
  <si>
    <t>Bônus de PV</t>
  </si>
  <si>
    <t>Efeito Condicional</t>
  </si>
  <si>
    <t>+1 ou +10 PV</t>
  </si>
  <si>
    <t>ou</t>
  </si>
  <si>
    <t>1 efeito simples, 1 vez por combate</t>
  </si>
  <si>
    <t>+1 e +10 PV</t>
  </si>
  <si>
    <t>e</t>
  </si>
  <si>
    <t>1 efeito, 1 vez por Ciclo</t>
  </si>
  <si>
    <t>+2 ou +25 PV</t>
  </si>
  <si>
    <t>1 efeito + pequeno ganho de Energia</t>
  </si>
  <si>
    <t>+2 e +25 PV</t>
  </si>
  <si>
    <t>2 efeitos</t>
  </si>
  <si>
    <t>+3 ou +50 PV</t>
  </si>
  <si>
    <t>2 efeitos, um deles podendo conceder Avanço</t>
  </si>
  <si>
    <t>Relíquias — 25.3</t>
  </si>
  <si>
    <t>Tier IV</t>
  </si>
  <si>
    <t>Dano de um Elemento escolhido</t>
  </si>
  <si>
    <t>Energia, 1 vez por combate</t>
  </si>
  <si>
    <t>Conjuntos de Relíquias — 25.3</t>
  </si>
  <si>
    <t>Peças do mesmo Conjunto</t>
  </si>
  <si>
    <t>O que você ganha</t>
  </si>
  <si>
    <t>2 peças</t>
  </si>
  <si>
    <t>Um bônus pequeno e fixo: +1 em um tipo de rolagem, +1 de Velocidade, +2 de dano ou +1 RD</t>
  </si>
  <si>
    <t>4 peças</t>
  </si>
  <si>
    <t>Um efeito condicional por Ciclo. Exemplos: "ao Quebrar um inimigo, o seu próximo ataque ganha +1 dado"; "ao usar a Ultimate, o grupo recebe +1 de Defesa por 1 Ciclo"</t>
  </si>
  <si>
    <t>Memoespírito: Conceito — 11.3 Passo 2</t>
  </si>
  <si>
    <t>Conceito</t>
  </si>
  <si>
    <t>O que é</t>
  </si>
  <si>
    <t>Um espírito nascido de batalhas passadas, feito de força e de combate</t>
  </si>
  <si>
    <t>Uma pessoa ou um momento esquecido que voltou como manifestação</t>
  </si>
  <si>
    <t>Uma criatura ligada a uma lembrança de infância ou a um vínculo profundo</t>
  </si>
  <si>
    <t>Uma consciência criada por tecnologia ou por conhecimento acumulado</t>
  </si>
  <si>
    <t>Um fragmento de uma entidade antiga ou de uma força cósmica</t>
  </si>
  <si>
    <t>Memoespírito: Função — 11.3 Passo 3</t>
  </si>
  <si>
    <t>Função</t>
  </si>
  <si>
    <t>Os ataques dele causam +1d8 de dano</t>
  </si>
  <si>
    <t>+PV máximo igual a 3 × seu nível; ele pode gastar a Reação dele, ou o turno dele, para dar RD igual à sua Eficiência a um aliado a até Distância Curta, até o fim do próximo turno daquele aliado</t>
  </si>
  <si>
    <t>Você ganha +1 em Testes de Ataque enquanto ele estiver ativo; e uma vez por Ciclo, uma Habilidade sua causa +1 dado base</t>
  </si>
  <si>
    <t>Uma vez por turno, o ataque dele aplica Vulnerável, Marcado ou Lentidão (capítulo 21), à sua escolha, e o alvo sofre -1 em Testes de Ataque até o fim do próximo turno dele</t>
  </si>
  <si>
    <t>Memoespírito: Bônus menores — 11.3 Passo 4</t>
  </si>
  <si>
    <t>Bônus menor</t>
  </si>
  <si>
    <t>+2 de dano nos ataques dele</t>
  </si>
  <si>
    <t>+PV máximo igual a 2 × seu nível e +1 RD</t>
  </si>
  <si>
    <t>+2 de Velocidade e +1 Distância na Ação de Movimento dele</t>
  </si>
  <si>
    <t>+1 no Teste de Ataque das duas Habilidades dele</t>
  </si>
  <si>
    <t>Uma vez por Ciclo, quando você e ele atacam o mesmo alvo no mesmo Ciclo, o segundo dos dois ataques causa +1 dado base</t>
  </si>
  <si>
    <t>Uma vez por Descanso Longo você pode remanejar 3 pontos de atributo dele; e uma vez por combate ele pode trocar o Elemento do ataque dele por outro Elemento usado pelo grupo</t>
  </si>
  <si>
    <t>Memoespírito: Técnica Principal — 11.3 Passo 5</t>
  </si>
  <si>
    <t>Modelo da v0.1</t>
  </si>
  <si>
    <t>Acréscimo</t>
  </si>
  <si>
    <t>Golpe Ancestral</t>
  </si>
  <si>
    <t>+1 dado base contra alvo único</t>
  </si>
  <si>
    <t>Explosão de Memória</t>
  </si>
  <si>
    <t>Atinge até 3 alvos a até uma Distância um do outro, com metade dos dados (mínimo 1)</t>
  </si>
  <si>
    <t>Marca do Passado</t>
  </si>
  <si>
    <t>Ao acertar, aplica Marcado ou Vulnerável até o fim do próximo turno do alvo</t>
  </si>
  <si>
    <t>Ataque Evolutivo</t>
  </si>
  <si>
    <t>+1 de dano acumulativo a cada uso no mesmo combate, até +5</t>
  </si>
  <si>
    <t>Memoespírito: Técnica Auxiliar — 11.3 Passo 5</t>
  </si>
  <si>
    <t>Proteção da Memória</t>
  </si>
  <si>
    <t>PV temporários = 1 × Eficiência a um aliado, ou +1 RD até o fim do próximo turno dele</t>
  </si>
  <si>
    <t>Eco Inspirador</t>
  </si>
  <si>
    <t>+1 na próxima rolagem de um aliado, ou +1 de Velocidade até o fim do Ciclo</t>
  </si>
  <si>
    <t>Fragmento Restaurador</t>
  </si>
  <si>
    <t>Cura 1d6 + Eficiência PV, ou remove 1 condição de um aliado</t>
  </si>
  <si>
    <t>Presença Assombrosa</t>
  </si>
  <si>
    <t>-1 na próxima rolagem de um inimigo, ou aplica Lentidão até o fim do próximo turno dele</t>
  </si>
  <si>
    <t>Memoespírito: Evoluções (níveis 8, 14 e 20) — 11.3</t>
  </si>
  <si>
    <t>Evolução</t>
  </si>
  <si>
    <t>+1 dado base nos ataques dele, e a Técnica Principal ganha um segundo acréscimo da tabela acima</t>
  </si>
  <si>
    <t>Você ganha +1 em Testes de Ataque enquanto ele estiver ativo, e a Técnica Auxiliar passa a alcançar 2 alvos</t>
  </si>
  <si>
    <t>Ele ganha uma terceira Habilidade (pela mesma régua), +2 de Defesa ou de Velocidade à sua escolha, e uma característica única — aparência, voz, um detalhe que a mesa vai lembrar</t>
  </si>
  <si>
    <t>Ficha do Memoespírito — 11.4</t>
  </si>
  <si>
    <t>Fórmula</t>
  </si>
  <si>
    <t>8 × seu nível + (3 × pontos em Vigor)</t>
  </si>
  <si>
    <t>10 + pontos em Agilidade + sua Eficiência</t>
  </si>
  <si>
    <t>10 + pontos em Agilidade + Bônus de Velocidade do seu Caminho</t>
  </si>
  <si>
    <t>d20 + Bônus do seu Atributo de Habilidade + pontos no Atributo de ataque dele + sua Eficiência</t>
  </si>
  <si>
    <t>(seus dados de Ataque Básico) d6 + pontos no Atributo de ataque dele, no Elemento escolhido na criação</t>
  </si>
  <si>
    <t>1 · 2 a partir do seu nível 11</t>
  </si>
  <si>
    <t>Testes de Resistência</t>
  </si>
  <si>
    <t>d20 + pontos no Atributo + sua Eficiência</t>
  </si>
  <si>
    <t>0, salvo Função Guardião, Bônus menor ou Bênção</t>
  </si>
  <si>
    <t>Soma dos itens</t>
  </si>
  <si>
    <t>Créditos — 24.5 (não ocupam Espaço; os preços não escalam)</t>
  </si>
  <si>
    <t>Saldo inicial (Cr)</t>
  </si>
  <si>
    <t>Lançamento</t>
  </si>
  <si>
    <t>Descrição (preencha)</t>
  </si>
  <si>
    <t>Valor (+ ganho, - gasto)</t>
  </si>
  <si>
    <t>Saldo atual (Cr)</t>
  </si>
  <si>
    <t>Verba de marco do grupo (sua faixa)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</si>
</sst>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6.0"/>
      <color rgb="FFFFFFFF"/>
      <name val="Arial"/>
    </font>
    <font/>
    <font>
      <b/>
      <sz val="10.0"/>
      <color rgb="FF000000"/>
      <name val="Arial"/>
    </font>
    <font>
      <b/>
      <sz val="12.0"/>
      <color rgb="FFFFFFFF"/>
      <name val="Arial"/>
    </font>
    <font>
      <sz val="10.0"/>
      <color rgb="FF000000"/>
      <name val="Arial"/>
    </font>
    <font>
      <sz val="10.0"/>
      <color rgb="FF1F1F1F"/>
      <name val="Arial"/>
    </font>
    <font>
      <b/>
      <sz val="9.0"/>
      <color rgb="FF000000"/>
      <name val="Arial"/>
    </font>
    <font>
      <b/>
      <sz val="10.0"/>
      <color rgb="FF9C0006"/>
      <name val="Arial"/>
    </font>
    <font>
      <sz val="9.0"/>
      <color rgb="FF1F1F1F"/>
      <name val="Arial"/>
    </font>
    <font>
      <b/>
      <sz val="10.0"/>
      <color rgb="FFFFFFFF"/>
      <name val="Arial"/>
    </font>
    <font>
      <b/>
      <sz val="10.0"/>
      <color rgb="FF1F3864"/>
      <name val="Arial"/>
    </font>
    <font>
      <sz val="10.0"/>
      <color rgb="FF595959"/>
      <name val="Arial"/>
    </font>
    <font>
      <i/>
      <sz val="10.0"/>
      <color rgb="FF000000"/>
      <name val="Arial"/>
    </font>
    <font>
      <sz val="9.0"/>
      <color rgb="FF000000"/>
      <name val="Arial"/>
    </font>
    <font>
      <b/>
      <sz val="10.0"/>
      <color rgb="FF1F1F1F"/>
      <name val="Arial"/>
    </font>
    <font>
      <sz val="10.0"/>
      <color theme="1"/>
      <name val="Arial"/>
    </font>
    <font>
      <b/>
      <sz val="9.0"/>
      <color rgb="FF1F1F1F"/>
      <name val="Arial"/>
    </font>
    <font>
      <sz val="9.0"/>
      <color theme="1"/>
      <name val="Arial"/>
    </font>
    <font>
      <b/>
      <sz val="9.0"/>
      <color rgb="FF9C0006"/>
      <name val="Arial"/>
    </font>
    <font>
      <b/>
      <sz val="9.0"/>
      <color rgb="FF1F3864"/>
      <name val="Arial"/>
    </font>
    <font>
      <color theme="1"/>
      <name val="Arial"/>
      <scheme val="minor"/>
    </font>
  </fonts>
  <fills count="11">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8EEF7"/>
        <bgColor rgb="FFE8EEF7"/>
      </patternFill>
    </fill>
    <fill>
      <patternFill patternType="solid">
        <fgColor rgb="FFFFC7CE"/>
        <bgColor rgb="FFFFC7CE"/>
      </patternFill>
    </fill>
    <fill>
      <patternFill patternType="solid">
        <fgColor rgb="FFB4C6E7"/>
        <bgColor rgb="FFB4C6E7"/>
      </patternFill>
    </fill>
    <fill>
      <patternFill patternType="solid">
        <fgColor rgb="FFD6E0F0"/>
        <bgColor rgb="FFD6E0F0"/>
      </patternFill>
    </fill>
    <fill>
      <patternFill patternType="solid">
        <fgColor rgb="FFD9D9D9"/>
        <bgColor rgb="FFD9D9D9"/>
      </patternFill>
    </fill>
    <fill>
      <patternFill patternType="solid">
        <fgColor rgb="FFF2F2F2"/>
        <bgColor rgb="FFF2F2F2"/>
      </patternFill>
    </fill>
    <fill>
      <patternFill patternType="solid">
        <fgColor rgb="FFFFE9B0"/>
        <bgColor rgb="FFFFE9B0"/>
      </patternFill>
    </fill>
  </fills>
  <borders count="14">
    <border/>
    <border>
      <left/>
      <top/>
      <bottom/>
    </border>
    <border>
      <top/>
      <bottom/>
    </border>
    <border>
      <right/>
      <top/>
      <bottom/>
    </border>
    <border>
      <left style="thin">
        <color rgb="FFBF9000"/>
      </left>
      <right style="thin">
        <color rgb="FFBF9000"/>
      </right>
      <top style="thin">
        <color rgb="FFBF9000"/>
      </top>
      <bottom style="thin">
        <color rgb="FFBF9000"/>
      </bottom>
    </border>
    <border>
      <left/>
      <right/>
      <top/>
      <bottom/>
    </border>
    <border>
      <bottom style="medium">
        <color rgb="FF1F3864"/>
      </bottom>
    </border>
    <border>
      <right style="medium">
        <color rgb="FF1F3864"/>
      </right>
    </border>
    <border>
      <right/>
      <bottom style="medium">
        <color rgb="FF1F3864"/>
      </bottom>
    </border>
    <border>
      <left style="thin">
        <color rgb="FFBF9000"/>
      </left>
      <top style="thin">
        <color rgb="FFBF9000"/>
      </top>
      <bottom style="thin">
        <color rgb="FFBF9000"/>
      </bottom>
    </border>
    <border>
      <top style="thin">
        <color rgb="FFBF9000"/>
      </top>
      <bottom style="thin">
        <color rgb="FFBF9000"/>
      </bottom>
    </border>
    <border>
      <left/>
      <right style="medium">
        <color rgb="FF1F3864"/>
      </right>
      <top/>
      <bottom/>
    </border>
    <border>
      <right style="thin">
        <color rgb="FFBF9000"/>
      </right>
      <top style="thin">
        <color rgb="FFBF9000"/>
      </top>
      <bottom style="thin">
        <color rgb="FFBF9000"/>
      </bottom>
    </border>
    <border>
      <right style="medium">
        <color rgb="FF1F3864"/>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0" fillId="0" fontId="3" numFmtId="0" xfId="0" applyAlignment="1" applyFont="1">
      <alignment vertical="center"/>
    </xf>
    <xf borderId="1" fillId="2" fontId="4" numFmtId="0" xfId="0" applyAlignment="1" applyBorder="1" applyFill="1" applyFont="1">
      <alignment vertical="center"/>
    </xf>
    <xf borderId="4" fillId="3" fontId="5" numFmtId="0" xfId="0" applyAlignment="1" applyBorder="1" applyFill="1" applyFont="1">
      <alignment shrinkToFit="0" vertical="center" wrapText="1"/>
    </xf>
    <xf borderId="1" fillId="4" fontId="6" numFmtId="0" xfId="0" applyAlignment="1" applyBorder="1" applyFill="1" applyFont="1">
      <alignment shrinkToFit="0" vertical="center" wrapText="1"/>
    </xf>
    <xf borderId="0" fillId="0" fontId="7" numFmtId="0" xfId="0" applyAlignment="1" applyFont="1">
      <alignment shrinkToFit="0" vertical="center" wrapText="1"/>
    </xf>
    <xf borderId="5" fillId="4" fontId="6" numFmtId="0" xfId="0" applyAlignment="1" applyBorder="1" applyFill="1" applyFont="1">
      <alignment shrinkToFit="0" vertical="center" wrapText="1"/>
    </xf>
    <xf borderId="5" fillId="5" fontId="8" numFmtId="0" xfId="0" applyAlignment="1" applyBorder="1" applyFill="1" applyFont="1">
      <alignment shrinkToFit="0" vertical="center" wrapText="1"/>
    </xf>
    <xf borderId="1" fillId="5" fontId="8" numFmtId="0" xfId="0" applyAlignment="1" applyBorder="1" applyFill="1" applyFont="1">
      <alignment shrinkToFit="0" vertical="center" wrapText="1"/>
    </xf>
    <xf borderId="1" fillId="4" fontId="9" numFmtId="0" xfId="0" applyAlignment="1" applyBorder="1" applyFill="1" applyFont="1">
      <alignment vertical="center"/>
    </xf>
    <xf borderId="5" fillId="2" fontId="10" numFmtId="0" xfId="0" applyAlignment="1" applyBorder="1" applyFill="1" applyFont="1">
      <alignment shrinkToFit="0" vertical="center" wrapText="1"/>
    </xf>
    <xf borderId="6" fillId="6" fontId="11" numFmtId="0" xfId="0" applyAlignment="1" applyBorder="1" applyFill="1" applyFont="1">
      <alignment shrinkToFit="0" vertical="center" wrapText="1"/>
    </xf>
    <xf borderId="7" fillId="0" fontId="3" numFmtId="0" xfId="0" applyAlignment="1" applyBorder="1" applyFont="1">
      <alignment shrinkToFit="0" vertical="center" wrapText="1"/>
    </xf>
    <xf borderId="5" fillId="7" fontId="6" numFmtId="0" xfId="0" applyAlignment="1" applyBorder="1" applyFill="1" applyFont="1">
      <alignment shrinkToFit="0" vertical="center" wrapText="1"/>
    </xf>
    <xf borderId="5" fillId="8" fontId="12" numFmtId="0" xfId="0" applyAlignment="1" applyBorder="1" applyFill="1" applyFont="1">
      <alignment shrinkToFit="0" vertical="center" wrapText="1"/>
    </xf>
    <xf borderId="0" fillId="0" fontId="13" numFmtId="0" xfId="0" applyAlignment="1" applyFont="1">
      <alignment shrinkToFit="0" vertical="center" wrapText="1"/>
    </xf>
    <xf borderId="0" fillId="0" fontId="5" numFmtId="0" xfId="0" applyAlignment="1" applyFont="1">
      <alignment shrinkToFit="0" vertical="center" wrapText="1"/>
    </xf>
    <xf borderId="0" fillId="0" fontId="14" numFmtId="0" xfId="0" applyAlignment="1" applyFont="1">
      <alignment shrinkToFit="0" vertical="center" wrapText="1"/>
    </xf>
    <xf borderId="1" fillId="7" fontId="6" numFmtId="0" xfId="0" applyAlignment="1" applyBorder="1" applyFill="1" applyFont="1">
      <alignment shrinkToFit="0" vertical="center" wrapText="1"/>
    </xf>
    <xf borderId="4" fillId="3" fontId="14" numFmtId="0" xfId="0" applyAlignment="1" applyBorder="1" applyFill="1" applyFont="1">
      <alignment vertical="center"/>
    </xf>
    <xf borderId="8" fillId="0" fontId="2" numFmtId="0" xfId="0" applyBorder="1" applyFont="1"/>
    <xf borderId="6" fillId="0" fontId="2" numFmtId="0" xfId="0" applyBorder="1" applyFont="1"/>
    <xf borderId="0" fillId="0" fontId="3" numFmtId="0" xfId="0" applyAlignment="1" applyFont="1">
      <alignment shrinkToFit="0" vertical="center" wrapText="1"/>
    </xf>
    <xf borderId="7" fillId="0" fontId="3" numFmtId="0" xfId="0" applyAlignment="1" applyBorder="1" applyFont="1">
      <alignment vertical="center"/>
    </xf>
    <xf borderId="5" fillId="4" fontId="15" numFmtId="0" xfId="0" applyAlignment="1" applyBorder="1" applyFill="1" applyFont="1">
      <alignment vertical="center"/>
    </xf>
    <xf borderId="9" fillId="3" fontId="5" numFmtId="0" xfId="0" applyAlignment="1" applyBorder="1" applyFill="1" applyFont="1">
      <alignment readingOrder="0" shrinkToFit="0" vertical="top" wrapText="1"/>
    </xf>
    <xf borderId="10" fillId="0" fontId="2" numFmtId="0" xfId="0" applyBorder="1" applyFont="1"/>
    <xf borderId="0" fillId="0" fontId="8" numFmtId="0" xfId="0" applyAlignment="1" applyFont="1">
      <alignment shrinkToFit="0" vertical="center" wrapText="1"/>
    </xf>
    <xf borderId="11" fillId="4" fontId="15" numFmtId="0" xfId="0" applyAlignment="1" applyBorder="1" applyFill="1" applyFont="1">
      <alignment vertical="center"/>
    </xf>
    <xf borderId="12" fillId="0" fontId="2" numFmtId="0" xfId="0" applyBorder="1" applyFont="1"/>
    <xf borderId="0" fillId="0" fontId="5" numFmtId="0" xfId="0" applyAlignment="1" applyFont="1">
      <alignment vertical="center"/>
    </xf>
    <xf borderId="4" fillId="3" fontId="5" numFmtId="0" xfId="0" applyAlignment="1" applyBorder="1" applyFill="1" applyFont="1">
      <alignment vertical="center"/>
    </xf>
    <xf borderId="5" fillId="8" fontId="12" numFmtId="0" xfId="0" applyAlignment="1" applyBorder="1" applyFill="1" applyFont="1">
      <alignment vertical="center"/>
    </xf>
    <xf borderId="11" fillId="7" fontId="15" numFmtId="0" xfId="0" applyAlignment="1" applyBorder="1" applyFill="1" applyFont="1">
      <alignment vertical="center"/>
    </xf>
    <xf borderId="1" fillId="4" fontId="6" numFmtId="0" xfId="0" applyAlignment="1" applyBorder="1" applyFill="1" applyFont="1">
      <alignment vertical="center"/>
    </xf>
    <xf borderId="5" fillId="7" fontId="15" numFmtId="0" xfId="0" applyAlignment="1" applyBorder="1" applyFill="1" applyFont="1">
      <alignment vertical="center"/>
    </xf>
    <xf borderId="4" fillId="3" fontId="5" numFmtId="0" xfId="0" applyAlignment="1" applyBorder="1" applyFill="1" applyFont="1">
      <alignment readingOrder="0" vertical="center"/>
    </xf>
    <xf borderId="11" fillId="9" fontId="3" numFmtId="0" xfId="0" applyAlignment="1" applyBorder="1" applyFill="1" applyFont="1">
      <alignment vertical="center"/>
    </xf>
    <xf borderId="5" fillId="4" fontId="6" numFmtId="0" xfId="0" applyAlignment="1" applyBorder="1" applyFill="1" applyFont="1">
      <alignment vertical="center"/>
    </xf>
    <xf borderId="6" fillId="6" fontId="11" numFmtId="0" xfId="0" applyAlignment="1" applyBorder="1" applyFill="1" applyFont="1">
      <alignment horizontal="center" shrinkToFit="0" vertical="center" wrapText="1"/>
    </xf>
    <xf borderId="1" fillId="9" fontId="8" numFmtId="0" xfId="0" applyAlignment="1" applyBorder="1" applyFill="1" applyFont="1">
      <alignment shrinkToFit="0" vertical="center" wrapText="1"/>
    </xf>
    <xf borderId="11" fillId="4" fontId="15" numFmtId="0" xfId="0" applyAlignment="1" applyBorder="1" applyFill="1" applyFont="1">
      <alignment horizontal="center" vertical="center"/>
    </xf>
    <xf borderId="5" fillId="4" fontId="15" numFmtId="0" xfId="0" applyAlignment="1" applyBorder="1" applyFill="1" applyFont="1">
      <alignment horizontal="center" vertical="center"/>
    </xf>
    <xf borderId="11" fillId="9" fontId="3" numFmtId="0" xfId="0" applyAlignment="1" applyBorder="1" applyFill="1" applyFont="1">
      <alignment shrinkToFit="0" vertical="center" wrapText="1"/>
    </xf>
    <xf borderId="5" fillId="7" fontId="6" numFmtId="0" xfId="0" applyAlignment="1" applyBorder="1" applyFill="1" applyFont="1">
      <alignment vertical="center"/>
    </xf>
    <xf borderId="1" fillId="9" fontId="5" numFmtId="0" xfId="0" applyAlignment="1" applyBorder="1" applyFill="1" applyFont="1">
      <alignment shrinkToFit="0" vertical="center" wrapText="1"/>
    </xf>
    <xf borderId="5" fillId="9" fontId="16" numFmtId="0" xfId="0" applyBorder="1" applyFill="1" applyFont="1"/>
    <xf borderId="4" fillId="10" fontId="5" numFmtId="0" xfId="0" applyAlignment="1" applyBorder="1" applyFill="1" applyFont="1">
      <alignment vertical="center"/>
    </xf>
    <xf borderId="9" fillId="3" fontId="5" numFmtId="0" xfId="0" applyAlignment="1" applyBorder="1" applyFill="1" applyFont="1">
      <alignment shrinkToFit="0" vertical="top" wrapText="1"/>
    </xf>
    <xf borderId="7" fillId="0" fontId="7" numFmtId="0" xfId="0" applyAlignment="1" applyBorder="1" applyFont="1">
      <alignment shrinkToFit="0" vertical="center" wrapText="1"/>
    </xf>
    <xf borderId="5" fillId="4" fontId="17" numFmtId="0" xfId="0" applyAlignment="1" applyBorder="1" applyFill="1" applyFont="1">
      <alignment vertical="center"/>
    </xf>
    <xf borderId="0" fillId="0" fontId="18" numFmtId="0" xfId="0" applyFont="1"/>
    <xf borderId="5" fillId="9" fontId="8" numFmtId="0" xfId="0" applyAlignment="1" applyBorder="1" applyFill="1" applyFont="1">
      <alignment shrinkToFit="0" vertical="center" wrapText="1"/>
    </xf>
    <xf borderId="1" fillId="7" fontId="6" numFmtId="0" xfId="0" applyAlignment="1" applyBorder="1" applyFill="1" applyFont="1">
      <alignment vertical="center"/>
    </xf>
    <xf borderId="5" fillId="2" fontId="10" numFmtId="0" xfId="0" applyAlignment="1" applyBorder="1" applyFill="1" applyFont="1">
      <alignment vertical="center"/>
    </xf>
    <xf borderId="5" fillId="4" fontId="9" numFmtId="0" xfId="0" applyAlignment="1" applyBorder="1" applyFill="1" applyFont="1">
      <alignment vertical="center"/>
    </xf>
    <xf borderId="7" fillId="0" fontId="2" numFmtId="0" xfId="0" applyBorder="1" applyFont="1"/>
    <xf borderId="4" fillId="3" fontId="5" numFmtId="0" xfId="0" applyAlignment="1" applyBorder="1" applyFill="1" applyFont="1">
      <alignment shrinkToFit="0" vertical="top" wrapText="1"/>
    </xf>
    <xf borderId="4" fillId="10" fontId="5" numFmtId="0" xfId="0" applyAlignment="1" applyBorder="1" applyFill="1" applyFont="1">
      <alignment shrinkToFit="0" vertical="top" wrapText="1"/>
    </xf>
    <xf borderId="5" fillId="9" fontId="5" numFmtId="0" xfId="0" applyAlignment="1" applyBorder="1" applyFill="1" applyFont="1">
      <alignment shrinkToFit="0" vertical="center" wrapText="1"/>
    </xf>
    <xf borderId="1" fillId="4" fontId="15" numFmtId="0" xfId="0" applyAlignment="1" applyBorder="1" applyFill="1" applyFont="1">
      <alignment vertical="center"/>
    </xf>
    <xf borderId="1" fillId="4" fontId="19" numFmtId="0" xfId="0" applyAlignment="1" applyBorder="1" applyFill="1" applyFont="1">
      <alignment shrinkToFit="0" vertical="center" wrapText="1"/>
    </xf>
    <xf borderId="6" fillId="6" fontId="20" numFmtId="0" xfId="0" applyAlignment="1" applyBorder="1" applyFill="1" applyFont="1">
      <alignment shrinkToFit="0" vertical="center" wrapText="1"/>
    </xf>
    <xf borderId="1" fillId="4" fontId="17" numFmtId="0" xfId="0" applyAlignment="1" applyBorder="1" applyFill="1" applyFont="1">
      <alignment vertical="center"/>
    </xf>
    <xf borderId="13" fillId="0" fontId="2" numFmtId="0" xfId="0" applyBorder="1" applyFont="1"/>
    <xf borderId="1" fillId="7" fontId="17" numFmtId="0" xfId="0" applyAlignment="1" applyBorder="1" applyFill="1" applyFont="1">
      <alignment vertical="center"/>
    </xf>
    <xf borderId="5" fillId="7" fontId="17" numFmtId="0" xfId="0" applyAlignment="1" applyBorder="1" applyFill="1" applyFont="1">
      <alignment vertical="center"/>
    </xf>
    <xf borderId="5" fillId="7" fontId="9" numFmtId="0" xfId="0" applyAlignment="1" applyBorder="1" applyFill="1" applyFont="1">
      <alignment vertical="center"/>
    </xf>
    <xf borderId="1" fillId="7" fontId="9" numFmtId="0" xfId="0" applyAlignment="1" applyBorder="1" applyFill="1" applyFont="1">
      <alignment vertical="center"/>
    </xf>
    <xf borderId="5" fillId="4" fontId="15" numFmtId="0" xfId="0" applyAlignment="1" applyBorder="1" applyFill="1" applyFont="1">
      <alignment shrinkToFit="0" vertical="center" wrapText="1"/>
    </xf>
    <xf borderId="9" fillId="10" fontId="5" numFmtId="0" xfId="0" applyAlignment="1" applyBorder="1" applyFill="1" applyFont="1">
      <alignment shrinkToFit="0" vertical="top" wrapText="1"/>
    </xf>
    <xf borderId="1" fillId="4" fontId="15" numFmtId="0" xfId="0" applyAlignment="1" applyBorder="1" applyFill="1" applyFont="1">
      <alignment shrinkToFit="0" vertical="center" wrapText="1"/>
    </xf>
    <xf borderId="1" fillId="8" fontId="12" numFmtId="0" xfId="0" applyAlignment="1" applyBorder="1" applyFill="1" applyFont="1">
      <alignment shrinkToFit="0" vertical="center" wrapText="1"/>
    </xf>
    <xf borderId="9" fillId="3" fontId="7" numFmtId="0" xfId="0" applyAlignment="1" applyBorder="1" applyFill="1" applyFont="1">
      <alignment vertical="center"/>
    </xf>
    <xf borderId="9" fillId="10" fontId="7" numFmtId="0" xfId="0" applyAlignment="1" applyBorder="1" applyFill="1" applyFont="1">
      <alignment vertical="center"/>
    </xf>
    <xf borderId="4" fillId="10" fontId="14" numFmtId="0" xfId="0" applyAlignment="1" applyBorder="1" applyFill="1" applyFont="1">
      <alignment vertical="center"/>
    </xf>
    <xf borderId="9" fillId="3" fontId="5" numFmtId="0" xfId="0" applyAlignment="1" applyBorder="1" applyFill="1" applyFont="1">
      <alignment vertical="center"/>
    </xf>
    <xf borderId="1" fillId="9" fontId="3" numFmtId="0" xfId="0" applyAlignment="1" applyBorder="1" applyFill="1" applyFont="1">
      <alignment shrinkToFit="0" vertical="center" wrapText="1"/>
    </xf>
    <xf borderId="5" fillId="4" fontId="6" numFmtId="0" xfId="0" applyAlignment="1" applyBorder="1" applyFill="1" applyFont="1">
      <alignment horizontal="center" vertical="center"/>
    </xf>
    <xf borderId="11" fillId="7" fontId="15" numFmtId="0" xfId="0" applyAlignment="1" applyBorder="1" applyFill="1" applyFont="1">
      <alignment horizontal="center" vertical="center"/>
    </xf>
    <xf borderId="5" fillId="7" fontId="6" numFmtId="0" xfId="0" applyAlignment="1" applyBorder="1" applyFill="1" applyFont="1">
      <alignment horizontal="center" vertical="center"/>
    </xf>
    <xf borderId="5" fillId="7" fontId="15" numFmtId="0" xfId="0" applyAlignment="1" applyBorder="1" applyFill="1" applyFont="1">
      <alignment shrinkToFit="0" vertical="center" wrapText="1"/>
    </xf>
    <xf borderId="0" fillId="0" fontId="21" numFmtId="0" xfId="0" applyFont="1"/>
    <xf borderId="6" fillId="6" fontId="11" numFmtId="0" xfId="0" applyAlignment="1" applyBorder="1" applyFill="1" applyFont="1">
      <alignment horizontal="left" shrinkToFit="0" vertical="center" wrapText="1"/>
    </xf>
    <xf borderId="11" fillId="4" fontId="15" numFmtId="0" xfId="0" applyAlignment="1" applyBorder="1" applyFill="1" applyFont="1">
      <alignment horizontal="left" shrinkToFit="0" vertical="center" wrapText="1"/>
    </xf>
    <xf borderId="5" fillId="4" fontId="6" numFmtId="0" xfId="0" applyAlignment="1" applyBorder="1" applyFill="1" applyFont="1">
      <alignment horizontal="center" shrinkToFit="0" vertical="center" wrapText="1"/>
    </xf>
    <xf borderId="11" fillId="7" fontId="15" numFmtId="0" xfId="0" applyAlignment="1" applyBorder="1" applyFill="1" applyFont="1">
      <alignment horizontal="left" shrinkToFit="0" vertical="center" wrapText="1"/>
    </xf>
    <xf borderId="5" fillId="7" fontId="6" numFmtId="0" xfId="0" applyAlignment="1" applyBorder="1" applyFill="1" applyFont="1">
      <alignment horizontal="center" shrinkToFit="0" vertical="center" wrapText="1"/>
    </xf>
    <xf borderId="9" fillId="10" fontId="5" numFmtId="0" xfId="0" applyAlignment="1" applyBorder="1" applyFill="1" applyFont="1">
      <alignment vertical="center"/>
    </xf>
    <xf borderId="1" fillId="4" fontId="15" numFmtId="0" xfId="0" applyAlignment="1" applyBorder="1" applyFill="1" applyFont="1">
      <alignment horizontal="left" shrinkToFit="0" vertical="center" wrapText="1"/>
    </xf>
    <xf borderId="1" fillId="4" fontId="6" numFmtId="0" xfId="0" applyAlignment="1" applyBorder="1" applyFill="1" applyFont="1">
      <alignment horizontal="left" shrinkToFit="0" vertical="center" wrapText="1"/>
    </xf>
    <xf borderId="1" fillId="7" fontId="15" numFmtId="0" xfId="0" applyAlignment="1" applyBorder="1" applyFill="1" applyFont="1">
      <alignment horizontal="left" shrinkToFit="0" vertical="center" wrapText="1"/>
    </xf>
    <xf borderId="1" fillId="7" fontId="6" numFmtId="0" xfId="0" applyAlignment="1" applyBorder="1" applyFill="1" applyFont="1">
      <alignment horizontal="left" shrinkToFit="0" vertical="center" wrapText="1"/>
    </xf>
    <xf borderId="9" fillId="3" fontId="3" numFmtId="0" xfId="0" applyAlignment="1" applyBorder="1" applyFill="1" applyFont="1">
      <alignment shrinkToFit="0" vertical="top" wrapText="1"/>
    </xf>
    <xf borderId="9" fillId="10" fontId="3" numFmtId="0" xfId="0" applyAlignment="1" applyBorder="1" applyFill="1" applyFont="1">
      <alignment shrinkToFit="0" vertical="top" wrapText="1"/>
    </xf>
    <xf borderId="11" fillId="4" fontId="15" numFmtId="0" xfId="0" applyAlignment="1" applyBorder="1" applyFill="1" applyFont="1">
      <alignment shrinkToFit="0" vertical="center" wrapText="1"/>
    </xf>
    <xf borderId="11" fillId="7" fontId="15" numFmtId="0" xfId="0" applyAlignment="1" applyBorder="1" applyFill="1" applyFont="1">
      <alignment shrinkToFit="0" vertical="center" wrapText="1"/>
    </xf>
  </cellXfs>
  <cellStyles count="1">
    <cellStyle xfId="0" name="Normal" builtinId="0"/>
  </cellStyles>
  <dxfs count="3">
    <dxf>
      <font/>
      <fill>
        <patternFill patternType="solid">
          <fgColor rgb="FFFFC7CE"/>
          <bgColor rgb="FFFFC7CE"/>
        </patternFill>
      </fill>
      <border/>
    </dxf>
    <dxf>
      <font>
        <color rgb="FF595959"/>
      </font>
      <fill>
        <patternFill patternType="solid">
          <fgColor rgb="FFD9D9D9"/>
          <bgColor rgb="FFD9D9D9"/>
        </patternFill>
      </fill>
      <border/>
    </dxf>
    <dxf>
      <font>
        <b/>
        <color rgb="FF000000"/>
      </font>
      <fill>
        <patternFill patternType="solid">
          <fgColor rgb="FFFFE699"/>
          <bgColor rgb="FFFFE6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12.0"/>
    <col customWidth="1" min="3" max="12" width="13.0"/>
    <col customWidth="1" min="13" max="26" width="8.63"/>
  </cols>
  <sheetData>
    <row r="1" ht="24.0" customHeight="1">
      <c r="A1" s="1" t="s">
        <v>0</v>
      </c>
      <c r="B1" s="2"/>
      <c r="C1" s="2"/>
      <c r="D1" s="2"/>
      <c r="E1" s="2"/>
      <c r="F1" s="2"/>
      <c r="G1" s="2"/>
      <c r="H1" s="2"/>
      <c r="I1" s="2"/>
      <c r="J1" s="2"/>
      <c r="K1" s="2"/>
      <c r="L1" s="3"/>
    </row>
    <row r="2" ht="36.75" customHeight="1">
      <c r="A2" s="4" t="s">
        <v>3</v>
      </c>
      <c r="B2" s="6" t="s">
        <v>5</v>
      </c>
      <c r="C2" s="9" t="s">
        <v>13</v>
      </c>
      <c r="D2" s="10" t="s">
        <v>18</v>
      </c>
      <c r="E2" s="13" t="s">
        <v>19</v>
      </c>
      <c r="F2" s="14" t="s">
        <v>21</v>
      </c>
      <c r="G2" s="15" t="s">
        <v>22</v>
      </c>
      <c r="H2" s="16" t="s">
        <v>23</v>
      </c>
      <c r="I2" s="17" t="s">
        <v>24</v>
      </c>
    </row>
    <row r="3">
      <c r="A3" s="18" t="s">
        <v>25</v>
      </c>
    </row>
    <row r="5" ht="24.0" customHeight="1">
      <c r="A5" s="1" t="s">
        <v>26</v>
      </c>
      <c r="B5" s="2"/>
      <c r="C5" s="2"/>
      <c r="D5" s="2"/>
      <c r="E5" s="2"/>
      <c r="F5" s="2"/>
      <c r="G5" s="2"/>
      <c r="H5" s="2"/>
      <c r="I5" s="2"/>
      <c r="J5" s="2"/>
      <c r="K5" s="2"/>
      <c r="L5" s="3"/>
    </row>
    <row r="6" ht="30.0" customHeight="1">
      <c r="A6" s="19" t="s">
        <v>27</v>
      </c>
    </row>
    <row r="8">
      <c r="A8" s="5" t="s">
        <v>28</v>
      </c>
      <c r="B8" s="2"/>
      <c r="C8" s="2"/>
      <c r="D8" s="2"/>
      <c r="E8" s="2"/>
      <c r="F8" s="2"/>
      <c r="G8" s="2"/>
      <c r="H8" s="2"/>
      <c r="I8" s="2"/>
      <c r="J8" s="2"/>
      <c r="K8" s="2"/>
      <c r="L8" s="3"/>
    </row>
    <row r="9">
      <c r="A9" s="14" t="s">
        <v>29</v>
      </c>
      <c r="B9" s="14" t="s">
        <v>30</v>
      </c>
      <c r="C9" s="14" t="s">
        <v>31</v>
      </c>
      <c r="D9" s="24"/>
      <c r="E9" s="24"/>
      <c r="F9" s="24"/>
      <c r="G9" s="24"/>
      <c r="H9" s="24"/>
      <c r="I9" s="24"/>
      <c r="J9" s="24"/>
      <c r="K9" s="24"/>
      <c r="L9" s="24"/>
    </row>
    <row r="10" ht="30.0" customHeight="1">
      <c r="A10" s="26" t="s">
        <v>36</v>
      </c>
      <c r="B10" s="27" t="str">
        <f>SUMPRODUCT((LEN('Criação'!$K$8:$K$10)&gt;0)*1)+(LEN('Criação'!$K$22)&gt;0)*1+SUMPRODUCT((LEN('Criação'!$K$25:$K$28)&gt;0)*1)+(LEN('Criação'!$K$33)&gt;0)*1+SUMPRODUCT((LEN('Criação'!$K$44:$K$51)&gt;0)*1)+(LEN('Criação'!$K$54)&gt;0)*1+(LEN('Criação'!$K$60)&gt;0)*1+(LEN('Criação'!$K$67)&gt;0)*1+SUMPRODUCT((LEN('Criação'!$K$69:$K$73)&gt;0)*1)+SUMPRODUCT((LEN('Criação'!$K$75:$K$82)&gt;0)*1)+SUMPRODUCT((LEN('Criação'!$K$84:$K$88)&gt;0)*1)+(LEN('Criação'!$K$91)&gt;0)*1+SUMPRODUCT((LEN('Criação'!$K$97:$K$99)&gt;0)*1)+SUMPRODUCT((LEN('Criação'!$K$108:$K$111)&gt;0)*1)</f>
        <v>#ERROR!</v>
      </c>
      <c r="C10" s="30" t="str">
        <f t="array" ref="C10">IFERROR(INDEX('Criação'!$K$8:$K$10,MATCH("?*",'Criação'!$K$8:$K$10,0)),IFERROR(INDEX('Criação'!$K$22,MATCH("?*",'Criação'!$K$22,0)),IFERROR(INDEX('Criação'!$K$25:$K$28,MATCH("?*",'Criação'!$K$25:$K$28,0)),IFERROR(INDEX('Criação'!$K$33,MATCH("?*",'Criação'!$K$33,0)),IFERROR(INDEX('Criação'!$K$44:$K$51,MATCH("?*",'Criação'!$K$44:$K$51,0)),IFERROR(INDEX('Criação'!$K$54,MATCH("?*",'Criação'!$K$54,0)),IFERROR(INDEX('Criação'!$K$60,MATCH("?*",'Criação'!$K$60,0)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$108:$K$111,MATCH("?*",'Criação'!$K$108:$K$111,0)),""))))))))))))))</f>
        <v/>
      </c>
    </row>
    <row r="11" ht="30.0" customHeight="1">
      <c r="A11" s="40" t="s">
        <v>55</v>
      </c>
      <c r="B11" s="38" t="str">
        <f>SUMPRODUCT((LEN('Em Jogo'!$N$2:$N$20)&gt;0)*1)</f>
        <v>#ERROR!</v>
      </c>
      <c r="C11" s="43" t="str">
        <f t="array" ref="C11">IFERROR(INDEX('Em Jogo'!$N$2:$N$20,MATCH("?*",'Em Jogo'!$N$2:$N$20,0)),"")</f>
        <v/>
      </c>
      <c r="D11" s="2"/>
      <c r="E11" s="2"/>
      <c r="F11" s="2"/>
      <c r="G11" s="2"/>
      <c r="H11" s="2"/>
      <c r="I11" s="2"/>
      <c r="J11" s="2"/>
      <c r="K11" s="2"/>
      <c r="L11" s="3"/>
    </row>
    <row r="12" ht="30.0" customHeight="1">
      <c r="A12" s="26" t="s">
        <v>82</v>
      </c>
      <c r="B12" s="27">
        <f>SUMPRODUCT((LEN(Testes!$K$40:$K$45)&gt;0)*1)+SUMPRODUCT((LEN(Testes!$L$16:$L$20)&gt;0)*1)+SUMPRODUCT((LEN(Testes!$L$22:$L$29)&gt;0)*1)+SUMPRODUCT((LEN(Testes!$L$31:$L$35)&gt;0)*1)</f>
        <v>0</v>
      </c>
      <c r="C12" s="30" t="str">
        <f t="array" ref="C12">IFERROR(INDEX(Testes!$K$40:$K$45,MATCH("?*",Testes!$K$40:$K$45,0)),IFERROR(INDEX(Testes!$L$16:$L$20,MATCH("?*",Testes!$L$16:$L$20,0)),IFERROR(INDEX(Testes!$L$22:$L$29,MATCH("?*",Testes!$L$22:$L$29,0)),IFERROR(INDEX(Testes!$L$31:$L$35,MATCH("?*",Testes!$L$31:$L$35,0)),""))))</f>
        <v/>
      </c>
    </row>
    <row r="13" ht="30.0" customHeight="1">
      <c r="A13" s="40" t="s">
        <v>87</v>
      </c>
      <c r="B13" s="38">
        <f>SUMPRODUCT((LEN(Habilidades!$I$12:$I$19)&gt;0)*1)+SUMPRODUCT((LEN(Habilidades!$L$7:$L$8)&gt;0)*1)+(LEN(Habilidades!$L$56)&gt;0)*1</f>
        <v>0</v>
      </c>
      <c r="C13" s="43" t="str">
        <f t="array" ref="C13">IFERROR(INDEX(Habilidades!$I$12:$I$19,MATCH("?*",Habilidades!$I$12:$I$19,0)),IFERROR(INDEX(Habilidades!$L$7:$L$8,MATCH("?*",Habilidades!$L$7:$L$8,0)),IFERROR(INDEX(Habilidades!$L$56,MATCH("?*",Habilidades!$L$56,0)),"")))</f>
        <v/>
      </c>
      <c r="D13" s="2"/>
      <c r="E13" s="2"/>
      <c r="F13" s="2"/>
      <c r="G13" s="2"/>
      <c r="H13" s="2"/>
      <c r="I13" s="2"/>
      <c r="J13" s="2"/>
      <c r="K13" s="2"/>
      <c r="L13" s="3"/>
    </row>
    <row r="14" ht="30.0" customHeight="1">
      <c r="A14" s="26" t="s">
        <v>101</v>
      </c>
      <c r="B14" s="27">
        <f>SUMPRODUCT((LEN(Caminho!$K$27:$K$36)&gt;0)*1)+(LEN(Caminho!$K$54)&gt;0)*1+SUMPRODUCT((LEN(Caminho!$K$60:$K$66)&gt;0)*1)+SUMPRODUCT((LEN(Caminho!$K$69:$K$71)&gt;0)*1)+SUMPRODUCT((LEN(Caminho!$K$75:$K$77)&gt;0)*1)+SUMPRODUCT((LEN(Caminho!$K$95:$K$96)&gt;0)*1)</f>
        <v>0</v>
      </c>
      <c r="C14" s="30" t="str">
        <f t="array" ref="C14">IFERROR(INDEX(Caminho!$K$27:$K$36,MATCH("?*",Caminho!$K$27:$K$36,0)),IFERROR(INDEX(Caminho!$K$54,MATCH("?*",Caminho!$K$54,0)),IFERROR(INDEX(Caminho!$K$60:$K$66,MATCH("?*",Caminho!$K$60:$K$66,0)),IFERROR(INDEX(Caminho!$K$69:$K$71,MATCH("?*",Caminho!$K$69:$K$71,0)),IFERROR(INDEX(Caminho!$K$75:$K$77,MATCH("?*",Caminho!$K$75:$K$77,0)),IFERROR(INDEX(Caminho!$K$95:$K$96,MATCH("?*",Caminho!$K$95:$K$96,0)),""))))))</f>
        <v/>
      </c>
    </row>
    <row r="15" ht="36.75" customHeight="1">
      <c r="A15" s="40" t="s">
        <v>107</v>
      </c>
      <c r="B15" s="38" t="str">
        <f>SUMPRODUCT((LEN(Equipamento!$I$45:$I$47)&gt;0)*1)+(LEN(Equipamento!$K$8)&gt;0)*1+(LEN(Equipamento!$K$21)&gt;0)*1+(LEN(Equipamento!$K$58)&gt;0)*1+SUMPRODUCT((LEN(Equipamento!$K$60:$K$69)&gt;0)*1)+SUMPRODUCT((LEN(Equipamento!$K$71:$K$80)&gt;0)*1)+(LEN(Equipamento!$K$84)&gt;0)*1+SUMPRODUCT((LEN(Equipamento!$K$86:$K$96)&gt;0)*1)+SUMPRODUCT((LEN(Equipamento!$L$19:$L$20)&gt;0)*1)+SUMPRODUCT((LEN(Equipamento!$L$22:$L$23)&gt;0)*1)+SUMPRODUCT((LEN(Equipamento!$L$36:$L$41)&gt;0)*1)+(LEN(Equipamento!$L$48)&gt;0)*1</f>
        <v>#ERROR!</v>
      </c>
      <c r="C15" s="43" t="str">
        <f t="array" ref="C15">IFERROR(INDEX(Equipamento!$I$45:$I$47,MATCH("?*",Equipamento!$I$45:$I$47,0)),IFERROR(INDEX(Equipamento!$K$8,MATCH("?*",Equipamento!$K$8,0)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$23,MATCH("?*",Equipamento!$L$22:$L$23,0)),IFERROR(INDEX(Equipamento!$L$36:$L$41,MATCH("?*",Equipamento!$L$36:$L$41,0)),IFERROR(INDEX(Equipamento!$L$48,MATCH("?*",Equipamento!$L$48,0)),""))))))))))))</f>
        <v/>
      </c>
      <c r="D15" s="2"/>
      <c r="E15" s="2"/>
      <c r="F15" s="2"/>
      <c r="G15" s="2"/>
      <c r="H15" s="2"/>
      <c r="I15" s="2"/>
      <c r="J15" s="2"/>
      <c r="K15" s="2"/>
      <c r="L15" s="3"/>
    </row>
    <row r="16" ht="30.0" customHeight="1">
      <c r="A16" s="26" t="s">
        <v>119</v>
      </c>
      <c r="B16" s="27">
        <f>SUMPRODUCT((LEN('Progressão'!$H$57:$H$62)&gt;0)*1)+SUMPRODUCT((LEN('Progressão'!$I$67:$I$70)&gt;0)*1)</f>
        <v>0</v>
      </c>
      <c r="C16" s="30" t="str">
        <f t="array" ref="C16">IFERROR(INDEX('Progressão'!$H$57:$H$62,MATCH("?*",'Progressão'!$H$57:$H$62,0)),IFERROR(INDEX('Progressão'!$I$67:$I$70,MATCH("?*",'Progressão'!$I$67:$I$70,0)),""))</f>
        <v/>
      </c>
    </row>
    <row r="17">
      <c r="A17" s="40" t="s">
        <v>63</v>
      </c>
      <c r="B17" s="38" t="str">
        <f>SUM(B10:B16)</f>
        <v>#ERROR!</v>
      </c>
      <c r="C17" s="56" t="str">
        <f>IF(B17=0,"Nenhum aviso: a ficha está conferida.","Abra a aba indicada e leia a coluna Aviso (na Em Jogo, a linha 13).")</f>
        <v>#ERROR!</v>
      </c>
      <c r="D17" s="2"/>
      <c r="E17" s="2"/>
      <c r="F17" s="2"/>
      <c r="G17" s="2"/>
      <c r="H17" s="2"/>
      <c r="I17" s="2"/>
      <c r="J17" s="2"/>
      <c r="K17" s="2"/>
      <c r="L17" s="3"/>
    </row>
    <row r="19">
      <c r="A19" s="5" t="s">
        <v>128</v>
      </c>
      <c r="B19" s="2"/>
      <c r="C19" s="2"/>
      <c r="D19" s="2"/>
      <c r="E19" s="2"/>
      <c r="F19" s="2"/>
      <c r="G19" s="2"/>
      <c r="H19" s="2"/>
      <c r="I19" s="2"/>
      <c r="J19" s="2"/>
      <c r="K19" s="2"/>
      <c r="L19" s="3"/>
    </row>
    <row r="20">
      <c r="A20" s="19" t="s">
        <v>131</v>
      </c>
    </row>
    <row r="21" ht="15.75" customHeight="1">
      <c r="A21" s="19" t="s">
        <v>132</v>
      </c>
    </row>
    <row r="22" ht="15.75" customHeight="1">
      <c r="A22" s="19" t="s">
        <v>133</v>
      </c>
    </row>
    <row r="23" ht="15.75" customHeight="1">
      <c r="A23" s="19" t="s">
        <v>134</v>
      </c>
    </row>
    <row r="24" ht="15.75" customHeight="1">
      <c r="A24" s="19" t="s">
        <v>135</v>
      </c>
    </row>
    <row r="25" ht="15.75" customHeight="1">
      <c r="A25" s="19" t="s">
        <v>137</v>
      </c>
    </row>
    <row r="26" ht="15.75" customHeight="1"/>
    <row r="27" ht="15.75" customHeight="1">
      <c r="A27" s="5" t="s">
        <v>138</v>
      </c>
      <c r="B27" s="2"/>
      <c r="C27" s="2"/>
      <c r="D27" s="2"/>
      <c r="E27" s="2"/>
      <c r="F27" s="2"/>
      <c r="G27" s="2"/>
      <c r="H27" s="2"/>
      <c r="I27" s="2"/>
      <c r="J27" s="2"/>
      <c r="K27" s="2"/>
      <c r="L27" s="3"/>
    </row>
    <row r="28" ht="15.75" customHeight="1">
      <c r="A28" s="34" t="s">
        <v>5</v>
      </c>
      <c r="B28" s="19" t="s">
        <v>139</v>
      </c>
    </row>
    <row r="29" ht="15.75" customHeight="1">
      <c r="A29" s="41" t="s">
        <v>13</v>
      </c>
      <c r="B29" s="19" t="s">
        <v>141</v>
      </c>
    </row>
    <row r="30" ht="15.75" customHeight="1">
      <c r="A30" s="10" t="s">
        <v>67</v>
      </c>
      <c r="B30" s="19" t="s">
        <v>142</v>
      </c>
    </row>
    <row r="31" ht="15.75" customHeight="1">
      <c r="A31" s="57" t="s">
        <v>19</v>
      </c>
      <c r="B31" s="19" t="s">
        <v>144</v>
      </c>
    </row>
    <row r="32" ht="15.75" customHeight="1">
      <c r="A32" s="35" t="s">
        <v>24</v>
      </c>
      <c r="B32" s="19" t="s">
        <v>145</v>
      </c>
    </row>
    <row r="33" ht="15.75" customHeight="1"/>
    <row r="34" ht="15.75" customHeight="1">
      <c r="A34" s="5" t="s">
        <v>146</v>
      </c>
      <c r="B34" s="2"/>
      <c r="C34" s="2"/>
      <c r="D34" s="2"/>
      <c r="E34" s="2"/>
      <c r="F34" s="2"/>
      <c r="G34" s="2"/>
      <c r="H34" s="2"/>
      <c r="I34" s="2"/>
      <c r="J34" s="2"/>
      <c r="K34" s="2"/>
      <c r="L34" s="3"/>
    </row>
    <row r="35" ht="15.75" customHeight="1">
      <c r="A35" s="19" t="s">
        <v>147</v>
      </c>
    </row>
    <row r="36" ht="15.75" customHeight="1">
      <c r="A36" s="19" t="s">
        <v>148</v>
      </c>
    </row>
    <row r="37" ht="15.75" customHeight="1">
      <c r="A37" s="19" t="s">
        <v>149</v>
      </c>
    </row>
    <row r="38" ht="15.75" customHeight="1">
      <c r="A38" s="19" t="s">
        <v>151</v>
      </c>
    </row>
    <row r="39" ht="15.75" customHeight="1">
      <c r="A39" s="19" t="s">
        <v>152</v>
      </c>
    </row>
    <row r="40" ht="15.75" customHeight="1"/>
    <row r="41" ht="15.75" customHeight="1">
      <c r="A41" s="5" t="s">
        <v>153</v>
      </c>
      <c r="B41" s="2"/>
      <c r="C41" s="2"/>
      <c r="D41" s="2"/>
      <c r="E41" s="2"/>
      <c r="F41" s="2"/>
      <c r="G41" s="2"/>
      <c r="H41" s="2"/>
      <c r="I41" s="2"/>
      <c r="J41" s="2"/>
      <c r="K41" s="2"/>
      <c r="L41" s="3"/>
    </row>
    <row r="42" ht="15.75" customHeight="1">
      <c r="A42" s="19" t="s">
        <v>154</v>
      </c>
    </row>
    <row r="43" ht="15.75" customHeight="1">
      <c r="A43" s="19" t="s">
        <v>155</v>
      </c>
    </row>
    <row r="44" ht="15.75" customHeight="1">
      <c r="A44" s="19" t="s">
        <v>156</v>
      </c>
    </row>
    <row r="45" ht="15.75" customHeight="1">
      <c r="A45" s="19" t="s">
        <v>157</v>
      </c>
    </row>
    <row r="46" ht="15.75" customHeight="1"/>
    <row r="47" ht="15.75" customHeight="1">
      <c r="A47" s="5" t="s">
        <v>158</v>
      </c>
      <c r="B47" s="2"/>
      <c r="C47" s="2"/>
      <c r="D47" s="2"/>
      <c r="E47" s="2"/>
      <c r="F47" s="2"/>
      <c r="G47" s="2"/>
      <c r="H47" s="2"/>
      <c r="I47" s="2"/>
      <c r="J47" s="2"/>
      <c r="K47" s="2"/>
      <c r="L47" s="3"/>
    </row>
    <row r="48" ht="30.0" customHeight="1">
      <c r="A48" s="19" t="s">
        <v>159</v>
      </c>
    </row>
    <row r="49" ht="30.0" customHeight="1">
      <c r="A49" s="19" t="s">
        <v>161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L1"/>
    <mergeCell ref="A3:L3"/>
    <mergeCell ref="A5:L5"/>
    <mergeCell ref="A6:L6"/>
    <mergeCell ref="A8:L8"/>
    <mergeCell ref="C9:L9"/>
    <mergeCell ref="C10:L10"/>
    <mergeCell ref="C11:L11"/>
    <mergeCell ref="C12:L12"/>
    <mergeCell ref="C13:L13"/>
    <mergeCell ref="C14:L14"/>
    <mergeCell ref="C15:L15"/>
    <mergeCell ref="C16:L16"/>
    <mergeCell ref="C17:L17"/>
    <mergeCell ref="A19:L19"/>
    <mergeCell ref="A20:L20"/>
    <mergeCell ref="A21:L21"/>
    <mergeCell ref="A22:L22"/>
    <mergeCell ref="A23:L23"/>
    <mergeCell ref="A24:L24"/>
    <mergeCell ref="A25:L25"/>
    <mergeCell ref="A27:L27"/>
    <mergeCell ref="B28:L28"/>
    <mergeCell ref="B29:L29"/>
    <mergeCell ref="B30:L30"/>
    <mergeCell ref="B31:L31"/>
    <mergeCell ref="B32:L32"/>
    <mergeCell ref="A34:L34"/>
    <mergeCell ref="A43:L43"/>
    <mergeCell ref="A44:L44"/>
    <mergeCell ref="A45:L45"/>
    <mergeCell ref="A47:L47"/>
    <mergeCell ref="A48:L48"/>
    <mergeCell ref="A49:L49"/>
    <mergeCell ref="A35:L35"/>
    <mergeCell ref="A36:L36"/>
    <mergeCell ref="A37:L37"/>
    <mergeCell ref="A38:L38"/>
    <mergeCell ref="A39:L39"/>
    <mergeCell ref="A41:L41"/>
    <mergeCell ref="A42:L42"/>
  </mergeCells>
  <conditionalFormatting sqref="C10">
    <cfRule type="expression" dxfId="0" priority="1">
      <formula>LEN(C10)&gt;0</formula>
    </cfRule>
  </conditionalFormatting>
  <conditionalFormatting sqref="C11">
    <cfRule type="expression" dxfId="0" priority="2">
      <formula>LEN(C11)&gt;0</formula>
    </cfRule>
  </conditionalFormatting>
  <conditionalFormatting sqref="C12">
    <cfRule type="expression" dxfId="0" priority="3">
      <formula>LEN(C12)&gt;0</formula>
    </cfRule>
  </conditionalFormatting>
  <conditionalFormatting sqref="C13">
    <cfRule type="expression" dxfId="0" priority="4">
      <formula>LEN(C13)&gt;0</formula>
    </cfRule>
  </conditionalFormatting>
  <conditionalFormatting sqref="C14">
    <cfRule type="expression" dxfId="0" priority="5">
      <formula>LEN(C14)&gt;0</formula>
    </cfRule>
  </conditionalFormatting>
  <conditionalFormatting sqref="C15">
    <cfRule type="expression" dxfId="0" priority="6">
      <formula>LEN(C15)&gt;0</formula>
    </cfRule>
  </conditionalFormatting>
  <conditionalFormatting sqref="C16">
    <cfRule type="expression" dxfId="0" priority="7">
      <formula>LEN(C16)&gt;0</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20.0"/>
    <col customWidth="1" min="3" max="3" width="14.0"/>
    <col customWidth="1" min="4" max="4" width="12.38"/>
    <col customWidth="1" min="5" max="5" width="12.75"/>
    <col customWidth="1" min="6" max="6" width="11.75"/>
    <col customWidth="1" min="7" max="7" width="15.25"/>
    <col customWidth="1" min="8" max="8" width="11.75"/>
    <col customWidth="1" min="9" max="9" width="12.38"/>
    <col customWidth="1" min="10" max="10" width="11.0"/>
    <col customWidth="1" min="11" max="11" width="14.0"/>
    <col customWidth="1" min="12" max="12" width="21.13"/>
    <col customWidth="1" hidden="1" min="13" max="13" width="2.0"/>
    <col customWidth="1" hidden="1" min="14" max="14" width="10.0"/>
    <col customWidth="1" hidden="1" min="15" max="15" width="16.0"/>
    <col customWidth="1" min="16" max="26" width="8.63"/>
  </cols>
  <sheetData>
    <row r="1" ht="24.0" customHeight="1">
      <c r="A1" s="1" t="s">
        <v>2</v>
      </c>
      <c r="B1" s="2"/>
      <c r="C1" s="2"/>
      <c r="D1" s="2"/>
      <c r="E1" s="2"/>
      <c r="F1" s="2"/>
      <c r="G1" s="2"/>
      <c r="H1" s="2"/>
      <c r="I1" s="2"/>
      <c r="J1" s="2"/>
      <c r="K1" s="2"/>
      <c r="L1" s="3"/>
    </row>
    <row r="2" ht="25.5" customHeight="1">
      <c r="A2" s="4" t="s">
        <v>3</v>
      </c>
      <c r="B2" s="6" t="s">
        <v>5</v>
      </c>
      <c r="C2" s="7" t="s">
        <v>13</v>
      </c>
      <c r="D2" s="3"/>
      <c r="E2" s="11" t="s">
        <v>18</v>
      </c>
      <c r="F2" s="3"/>
      <c r="G2" s="13" t="s">
        <v>19</v>
      </c>
      <c r="H2" s="14" t="s">
        <v>21</v>
      </c>
      <c r="I2" s="15" t="s">
        <v>22</v>
      </c>
      <c r="J2" s="21" t="s">
        <v>23</v>
      </c>
      <c r="K2" s="3"/>
      <c r="L2" s="17" t="s">
        <v>24</v>
      </c>
    </row>
    <row r="3">
      <c r="A3" s="18" t="s">
        <v>32</v>
      </c>
    </row>
    <row r="4" ht="25.5" customHeight="1">
      <c r="N4" s="25" t="s">
        <v>33</v>
      </c>
    </row>
    <row r="5">
      <c r="A5" s="5" t="s">
        <v>40</v>
      </c>
      <c r="B5" s="2"/>
      <c r="C5" s="2"/>
      <c r="D5" s="2"/>
      <c r="E5" s="2"/>
      <c r="F5" s="2"/>
      <c r="G5" s="2"/>
      <c r="H5" s="2"/>
      <c r="I5" s="2"/>
      <c r="J5" s="2"/>
      <c r="K5" s="2"/>
      <c r="L5" s="3"/>
    </row>
    <row r="6">
      <c r="A6" s="15" t="s">
        <v>44</v>
      </c>
      <c r="B6" s="28" t="s">
        <v>45</v>
      </c>
      <c r="C6" s="29"/>
      <c r="D6" s="29"/>
      <c r="E6" s="29"/>
      <c r="F6" s="29"/>
      <c r="G6" s="29"/>
      <c r="H6" s="29"/>
      <c r="I6" s="29"/>
      <c r="J6" s="32"/>
    </row>
    <row r="7">
      <c r="A7" s="15" t="s">
        <v>47</v>
      </c>
      <c r="B7" s="28" t="s">
        <v>48</v>
      </c>
      <c r="C7" s="29"/>
      <c r="D7" s="29"/>
      <c r="E7" s="29"/>
      <c r="F7" s="29"/>
      <c r="G7" s="29"/>
      <c r="H7" s="29"/>
      <c r="I7" s="29"/>
      <c r="J7" s="32"/>
    </row>
    <row r="8" ht="25.5" customHeight="1">
      <c r="A8" s="15" t="s">
        <v>49</v>
      </c>
      <c r="B8" s="34"/>
      <c r="C8" s="37" t="str">
        <f>"Usado nas contas: nível "&amp;$A$14</f>
        <v>Usado nas contas: nível 1</v>
      </c>
      <c r="D8" s="2"/>
      <c r="E8" s="2"/>
      <c r="F8" s="2"/>
      <c r="G8" s="2"/>
      <c r="H8" s="2"/>
      <c r="I8" s="2"/>
      <c r="J8" s="3"/>
      <c r="K8" s="30" t="str">
        <f>IF($B$8="","",IF(ISNUMBER($B$8),IF(OR($B$8&lt;1,$B$8&gt;20),"Nível fora de 1 a 20: a ficha conta com o nível "&amp;$A$14,IF($B$8&lt;&gt;INT($B$8),"Nível precisa ser inteiro: a ficha conta com o nível "&amp;$A$14,"")),"Nível precisa ser um número de 1 a 20: a ficha conta com o nível 1"))</f>
        <v/>
      </c>
    </row>
    <row r="9" ht="36.75" customHeight="1">
      <c r="A9" s="15" t="s">
        <v>51</v>
      </c>
      <c r="B9" s="34"/>
      <c r="C9" s="37" t="str">
        <f>"PH do grupo: máximo "&amp;$E$16&amp;", começa o combate com "&amp;$F$16</f>
        <v>PH do grupo: máximo 5, começa o combate com 3</v>
      </c>
      <c r="D9" s="2"/>
      <c r="E9" s="2"/>
      <c r="F9" s="2"/>
      <c r="G9" s="2"/>
      <c r="H9" s="2"/>
      <c r="I9" s="2"/>
      <c r="J9" s="3"/>
      <c r="K9" s="30" t="str">
        <f>IF($B$9="","",IF(ISNUMBER($B$9),IF(OR($B$9&lt;1,$B$9&gt;6),"Nº de jogadores fora de 1 a 6: a ficha conta com "&amp;$B$17,IF(OR($B$9&lt;3,$B$9&gt;6),"Fora da tabela do livro (3 a 6 jogadores): o PH segue a mesma regra","")),"Nº de jogadores precisa ser um número de 1 a 6"))</f>
        <v/>
      </c>
    </row>
    <row r="10" ht="25.5" customHeight="1">
      <c r="A10" s="15" t="s">
        <v>52</v>
      </c>
      <c r="B10" s="39" t="s">
        <v>53</v>
      </c>
      <c r="C10" s="37" t="str">
        <f>IF($B$10="","Array oficial (15, 14, 13, 12, 10, 8) ou Compra de Pontos (28)",IF($B$10="Array oficial","Distribua 15, 14, 13, 12, 10 e 8, um em cada Atributo","Todos começam em 8; gaste até 28 pontos"))</f>
        <v>Todos começam em 8; gaste até 28 pontos</v>
      </c>
      <c r="D10" s="2"/>
      <c r="E10" s="2"/>
      <c r="F10" s="2"/>
      <c r="G10" s="2"/>
      <c r="H10" s="2"/>
      <c r="I10" s="2"/>
      <c r="J10" s="3"/>
      <c r="K10" s="30" t="str">
        <f>IF($B$10="","",IF(COUNTIF(Dados!$AH$6:$AH$7,$B$10)=0,"Método fora da lista",""))</f>
        <v/>
      </c>
    </row>
    <row r="12">
      <c r="A12" s="5" t="s">
        <v>68</v>
      </c>
      <c r="B12" s="2"/>
      <c r="C12" s="2"/>
      <c r="D12" s="2"/>
      <c r="E12" s="2"/>
      <c r="F12" s="2"/>
      <c r="G12" s="2"/>
      <c r="H12" s="2"/>
      <c r="I12" s="2"/>
      <c r="J12" s="2"/>
      <c r="K12" s="2"/>
      <c r="L12" s="3"/>
    </row>
    <row r="13" ht="60.0" customHeight="1">
      <c r="A13" s="42" t="s">
        <v>69</v>
      </c>
      <c r="B13" s="42" t="s">
        <v>70</v>
      </c>
      <c r="C13" s="42" t="s">
        <v>71</v>
      </c>
      <c r="D13" s="42" t="s">
        <v>72</v>
      </c>
      <c r="E13" s="42" t="s">
        <v>73</v>
      </c>
      <c r="F13" s="42" t="s">
        <v>74</v>
      </c>
      <c r="G13" s="42" t="s">
        <v>75</v>
      </c>
      <c r="H13" s="42" t="s">
        <v>76</v>
      </c>
      <c r="I13" s="42" t="s">
        <v>77</v>
      </c>
      <c r="J13" s="42" t="s">
        <v>78</v>
      </c>
      <c r="K13" s="42" t="s">
        <v>79</v>
      </c>
      <c r="L13" s="42" t="s">
        <v>80</v>
      </c>
    </row>
    <row r="14">
      <c r="A14" s="44">
        <f>IF(ISNUMBER($B$8),MAX(1,MIN(20,INT($B$8))),1)</f>
        <v>1</v>
      </c>
      <c r="B14" s="45">
        <f>INT(($A$14-1)/4)+1</f>
        <v>1</v>
      </c>
      <c r="C14" s="45">
        <f>2+INT(($A$14-1)/3)</f>
        <v>2</v>
      </c>
      <c r="D14" s="45">
        <f>2*$C$14</f>
        <v>4</v>
      </c>
      <c r="E14" s="45">
        <f t="array" ref="E14">INDEX(Dados!$C$258:$C$277,$A$14)</f>
        <v>0</v>
      </c>
      <c r="F14" s="45">
        <f t="array" ref="F14">INDEX(Dados!$D$258:$D$277,$A$14)</f>
        <v>0</v>
      </c>
      <c r="G14" s="45">
        <f t="array" ref="G14">INDEX(Dados!$K$258:$K$277,$A$14)</f>
        <v>0</v>
      </c>
      <c r="H14" s="45">
        <f t="array" ref="H14">INDEX(Dados!$L$258:$L$277,$A$14)</f>
        <v>6</v>
      </c>
      <c r="I14" s="45">
        <f>3*$C$14</f>
        <v>6</v>
      </c>
      <c r="J14" s="45">
        <f>IF($A$14&lt;=9,3,IF($A$14&lt;=15,4,5))</f>
        <v>3</v>
      </c>
      <c r="K14" s="45">
        <f>-$J$14</f>
        <v>-3</v>
      </c>
      <c r="L14" s="45">
        <f t="array" ref="L14">INDEX(Dados!$E$258:$E$277,$A$14)</f>
        <v>1</v>
      </c>
    </row>
    <row r="15" ht="48.75" customHeight="1">
      <c r="A15" s="42" t="s">
        <v>88</v>
      </c>
      <c r="B15" s="42" t="s">
        <v>89</v>
      </c>
      <c r="C15" s="42" t="s">
        <v>90</v>
      </c>
      <c r="D15" s="42" t="s">
        <v>91</v>
      </c>
      <c r="E15" s="42" t="s">
        <v>92</v>
      </c>
      <c r="F15" s="42" t="s">
        <v>93</v>
      </c>
      <c r="G15" s="42" t="s">
        <v>94</v>
      </c>
      <c r="H15" s="42" t="s">
        <v>95</v>
      </c>
      <c r="I15" s="42" t="s">
        <v>96</v>
      </c>
      <c r="J15" s="42" t="s">
        <v>97</v>
      </c>
      <c r="K15" s="42" t="s">
        <v>98</v>
      </c>
      <c r="L15" s="42" t="s">
        <v>99</v>
      </c>
    </row>
    <row r="16">
      <c r="A16" s="44">
        <f t="array" ref="A16">INDEX(Dados!$F$258:$F$277,$A$14)</f>
        <v>1</v>
      </c>
      <c r="B16" s="45">
        <f t="array" ref="B16">INDEX(Dados!$H$258:$H$277,$A$14)</f>
        <v>1</v>
      </c>
      <c r="C16" s="45" t="str">
        <f t="array" ref="C16">INDEX(Dados!$G$258:$G$277,$A$14)</f>
        <v>Não</v>
      </c>
      <c r="D16" s="45">
        <f t="array" ref="D16">INDEX(Dados!$J$258:$J$277,$A$14)</f>
        <v>1</v>
      </c>
      <c r="E16" s="45">
        <f>1+$B$17+IF($A$14&gt;=17,2,IF($A$14&gt;=9,1,0))</f>
        <v>5</v>
      </c>
      <c r="F16" s="45">
        <f>$E$16-2</f>
        <v>3</v>
      </c>
      <c r="G16" s="45">
        <f>IF($A$14&lt;=8,1,2)</f>
        <v>1</v>
      </c>
      <c r="H16" s="45">
        <f t="array" ref="H16">INDEX(Dados!$B$326:$B$330,$B$14)</f>
        <v>2</v>
      </c>
      <c r="I16" s="45">
        <f>$B$14</f>
        <v>1</v>
      </c>
      <c r="J16" s="45">
        <f>IF($A$14&lt;=6,1,IF($A$14&lt;=12,2,IF($A$14&lt;=17,3,4)))</f>
        <v>1</v>
      </c>
      <c r="K16" s="45">
        <f>12+INT($A$14/2)</f>
        <v>12</v>
      </c>
      <c r="L16" s="45">
        <f t="array" ref="L16">INDEX(Dados!$B$390:$B$394,$B$14)</f>
        <v>13</v>
      </c>
    </row>
    <row r="17" ht="25.5" customHeight="1">
      <c r="A17" s="46" t="s">
        <v>102</v>
      </c>
      <c r="B17" s="38">
        <f>IF(ISNUMBER($B$9),MAX(1,MIN(6,INT($B$9))),4)</f>
        <v>4</v>
      </c>
      <c r="C17" s="48" t="s">
        <v>103</v>
      </c>
      <c r="D17" s="3"/>
      <c r="E17" s="38" t="str">
        <f t="array" ref="E17">INDEX(Dados!$I$258:$I$277,$A$14)</f>
        <v>Não</v>
      </c>
      <c r="F17" s="49"/>
      <c r="G17" s="49"/>
      <c r="H17" s="49"/>
      <c r="I17" s="49"/>
      <c r="J17" s="49"/>
      <c r="K17" s="49"/>
      <c r="L17" s="49"/>
    </row>
    <row r="19">
      <c r="A19" s="5" t="s">
        <v>104</v>
      </c>
      <c r="B19" s="2"/>
      <c r="C19" s="2"/>
      <c r="D19" s="2"/>
      <c r="E19" s="2"/>
      <c r="F19" s="2"/>
      <c r="G19" s="2"/>
      <c r="H19" s="2"/>
      <c r="I19" s="2"/>
      <c r="J19" s="2"/>
      <c r="K19" s="2"/>
      <c r="L19" s="3"/>
    </row>
    <row r="20" ht="25.5" customHeight="1">
      <c r="A20" s="15" t="s">
        <v>105</v>
      </c>
      <c r="B20" s="51"/>
      <c r="C20" s="29"/>
      <c r="D20" s="29"/>
      <c r="E20" s="29"/>
      <c r="F20" s="29"/>
      <c r="G20" s="29"/>
      <c r="H20" s="29"/>
      <c r="I20" s="29"/>
      <c r="J20" s="32"/>
    </row>
    <row r="21" ht="25.5" customHeight="1">
      <c r="A21" s="15" t="s">
        <v>108</v>
      </c>
      <c r="B21" s="51"/>
      <c r="C21" s="29"/>
      <c r="D21" s="29"/>
      <c r="E21" s="29"/>
      <c r="F21" s="29"/>
      <c r="G21" s="29"/>
      <c r="H21" s="29"/>
      <c r="I21" s="29"/>
      <c r="J21" s="32"/>
    </row>
    <row r="22" ht="36.75" customHeight="1">
      <c r="A22" s="15" t="s">
        <v>109</v>
      </c>
      <c r="B22" s="51"/>
      <c r="C22" s="29"/>
      <c r="D22" s="29"/>
      <c r="E22" s="29"/>
      <c r="F22" s="29"/>
      <c r="G22" s="29"/>
      <c r="H22" s="29"/>
      <c r="I22" s="29"/>
      <c r="J22" s="32"/>
      <c r="K22" s="30" t="str">
        <f>IF(AND($B$25&lt;&gt;"Humano",LEN($B$22)&gt;0),"O Esforço é traço do Humano: esta linha só vale para Humano","")</f>
        <v/>
      </c>
    </row>
    <row r="23" ht="15.75" customHeight="1"/>
    <row r="24" ht="15.75" customHeight="1">
      <c r="A24" s="5" t="s">
        <v>111</v>
      </c>
      <c r="B24" s="2"/>
      <c r="C24" s="2"/>
      <c r="D24" s="2"/>
      <c r="E24" s="2"/>
      <c r="F24" s="2"/>
      <c r="G24" s="2"/>
      <c r="H24" s="2"/>
      <c r="I24" s="2"/>
      <c r="J24" s="2"/>
      <c r="K24" s="2"/>
      <c r="L24" s="3"/>
    </row>
    <row r="25" ht="15.75" customHeight="1">
      <c r="A25" s="15" t="s">
        <v>112</v>
      </c>
      <c r="B25" s="39" t="s">
        <v>113</v>
      </c>
      <c r="C25" s="37" t="str">
        <f>IF($B$25="","Escolha a Raça",IF($B$25="Humano",IF($B$26="+1 em dois","Bônus racial: +1 em "&amp;IF($B$27="","?",$B$27)&amp;" e +1 em "&amp;IF($B$28="","?",$B$28),IF($B$27="","Escolha onde vai o +2 (qualquer Atributo)","Bônus racial: +2 em "&amp;$B$27)),IF($O$25="","Raça fora da lista do capítulo 05",IF($O$27="","Escolha onde vai o +2: "&amp;$O$25&amp;" ou "&amp;$O$26,"Bônus racial: +2 em "&amp;$O$27))))</f>
        <v>#ERROR!</v>
      </c>
      <c r="D25" s="2"/>
      <c r="E25" s="2"/>
      <c r="F25" s="2"/>
      <c r="G25" s="2"/>
      <c r="H25" s="2"/>
      <c r="I25" s="2"/>
      <c r="J25" s="3"/>
      <c r="K25" s="30" t="str">
        <f>IF($B$25="","",IF(COUNTIF(Dados!$O$6:$O$12,$B$25)=0,"Raça fora da lista do capítulo 05",""))</f>
        <v/>
      </c>
      <c r="N25" s="35" t="str">
        <f t="array" ref="N25">IF($B$25="Humano",INDEX(Dados!$Q$6:$Q$11,1),$O$25)</f>
        <v>Poder</v>
      </c>
      <c r="O25" s="35" t="str">
        <f t="array" ref="O25">IF($B$25="","",IFERROR(""&amp;INDEX(Dados!$D$7:$D$13,MATCH($B$25,Dados!$A$7:$A$13,0)),""))</f>
        <v/>
      </c>
    </row>
    <row r="26" ht="25.5" customHeight="1">
      <c r="A26" s="15" t="s">
        <v>117</v>
      </c>
      <c r="B26" s="34" t="str">
        <v>#ERROR!</v>
      </c>
      <c r="C26" s="19" t="s">
        <v>118</v>
      </c>
      <c r="K26" s="30" t="str">
        <f>IF(AND($B$26&lt;&gt;"",$B$25&lt;&gt;"Humano"),"O bônus livre é só do Humano","")</f>
        <v>#ERROR!</v>
      </c>
      <c r="N26" s="35" t="str">
        <f t="array" ref="N26">IF($B$25="Humano",INDEX(Dados!$Q$6:$Q$11,2),$O$26)</f>
        <v>Agilidade</v>
      </c>
      <c r="O26" s="35" t="str">
        <f t="array" ref="O26">IF($B$25="","",IFERROR(""&amp;INDEX(Dados!$E$7:$E$13,MATCH($B$25,Dados!$A$7:$A$13,0)),""))</f>
        <v/>
      </c>
    </row>
    <row r="27" ht="25.5" customHeight="1">
      <c r="A27" s="15" t="s">
        <v>120</v>
      </c>
      <c r="B27" s="39" t="s">
        <v>121</v>
      </c>
      <c r="C27" s="19" t="s">
        <v>122</v>
      </c>
      <c r="K27" s="30" t="str">
        <f>IF(AND($B$25="Humano",$B$26="+1 em dois",$B$27&lt;&gt;"",$B$27=$B$28),"+1 em dois exige atributos diferentes: contou só um +1",IF(AND($B$25&lt;&gt;"",$B$25&lt;&gt;"Humano",$O$25&lt;&gt;"",$B$27&lt;&gt;"",$O$27=""),"Bônus fora das opções da Raça: "&amp;$O$25&amp;IF($O$26="",""," ou "&amp;$O$26),""))</f>
        <v>#ERROR!</v>
      </c>
      <c r="N27" s="35" t="str">
        <f t="array" ref="N27">IF($B$25="Humano",INDEX(Dados!$Q$6:$Q$11,3),"")</f>
        <v>Vigor</v>
      </c>
      <c r="O27" s="35" t="str">
        <f>IF(OR($B$25="",$B$25="Humano"),"",IF($O$26="",IF(OR($B$27="",$B$27=$O$25),$O$25,""),IF(OR($B$27=$O$25,$B$27=$O$26),$B$27,"")))</f>
        <v/>
      </c>
    </row>
    <row r="28" ht="25.5" customHeight="1">
      <c r="A28" s="15" t="s">
        <v>125</v>
      </c>
      <c r="B28" s="39" t="s">
        <v>126</v>
      </c>
      <c r="K28" s="30" t="str">
        <f>IF(AND($B$28&lt;&gt;"",OR($B$25&lt;&gt;"Humano",$B$26&lt;&gt;"+1 em dois")),"Atributo 2 só vale para Humano com +1 em dois","")</f>
        <v>#ERROR!</v>
      </c>
      <c r="N28" s="35" t="str">
        <f t="array" ref="N28">IF($B$25="Humano",INDEX(Dados!$Q$6:$Q$11,4),"")</f>
        <v>Sincronia</v>
      </c>
    </row>
    <row r="29" ht="30.0" customHeight="1">
      <c r="A29" s="15" t="s">
        <v>130</v>
      </c>
      <c r="B29" s="7" t="str">
        <f t="array" ref="B29">IF($B$25="","",IFERROR(INDEX(Dados!$F$7:$F$13,MATCH($B$25,Dados!$A$7:$A$13,0)),""))</f>
        <v>Força de Vontade (Esforço: 1 ponto, re-rola um dado)</v>
      </c>
      <c r="C29" s="2"/>
      <c r="D29" s="2"/>
      <c r="E29" s="2"/>
      <c r="F29" s="2"/>
      <c r="G29" s="2"/>
      <c r="H29" s="2"/>
      <c r="I29" s="2"/>
      <c r="J29" s="3"/>
      <c r="N29" s="35" t="str">
        <f t="array" ref="N29">IF($B$25="Humano",INDEX(Dados!$Q$6:$Q$11,5),"")</f>
        <v>Discernimento</v>
      </c>
    </row>
    <row r="30" ht="81.75" customHeight="1">
      <c r="A30" s="15" t="s">
        <v>140</v>
      </c>
      <c r="B30" s="7" t="str">
        <f t="array" ref="B30">IF($B$25="","",IFERROR(INDEX(Dados!$G$7:$G$13,MATCH($B$25,Dados!$A$7:$A$13,0)),""))</f>
        <v>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v>
      </c>
      <c r="C30" s="2"/>
      <c r="D30" s="2"/>
      <c r="E30" s="2"/>
      <c r="F30" s="2"/>
      <c r="G30" s="2"/>
      <c r="H30" s="2"/>
      <c r="I30" s="2"/>
      <c r="J30" s="3"/>
      <c r="N30" s="35" t="str">
        <f t="array" ref="N30">IF($B$25="Humano",INDEX(Dados!$Q$6:$Q$11,6),"")</f>
        <v>Presença</v>
      </c>
    </row>
    <row r="31" ht="15.75" customHeight="1"/>
    <row r="32" ht="15.75" customHeight="1">
      <c r="A32" s="5" t="s">
        <v>150</v>
      </c>
      <c r="B32" s="2"/>
      <c r="C32" s="2"/>
      <c r="D32" s="2"/>
      <c r="E32" s="2"/>
      <c r="F32" s="2"/>
      <c r="G32" s="2"/>
      <c r="H32" s="2"/>
      <c r="I32" s="2"/>
      <c r="J32" s="2"/>
      <c r="K32" s="2"/>
      <c r="L32" s="3"/>
    </row>
    <row r="33" ht="25.5" customHeight="1">
      <c r="A33" s="15" t="s">
        <v>101</v>
      </c>
      <c r="B33" s="34"/>
      <c r="C33" s="37" t="str">
        <f t="array" ref="C33">IF($B$33="","Escolha o Caminho","Aeon: "&amp;IF($B$33="","",IFERROR(INDEX(Dados!$B$84:$B$92,MATCH($B$33,Dados!$A$84:$A$92,0)),"")))</f>
        <v>Escolha o Caminho</v>
      </c>
      <c r="D33" s="2"/>
      <c r="E33" s="2"/>
      <c r="F33" s="2"/>
      <c r="G33" s="2"/>
      <c r="H33" s="2"/>
      <c r="I33" s="2"/>
      <c r="J33" s="3"/>
      <c r="K33" s="30" t="str">
        <f>IF($B$33="","",IF(COUNTIF(Dados!$P$6:$P$14,$B$33)=0,"Caminho fora da lista do capítulo 06",""))</f>
        <v/>
      </c>
    </row>
    <row r="34" ht="15.75" customHeight="1">
      <c r="A34" s="15" t="s">
        <v>160</v>
      </c>
      <c r="B34" s="37" t="str">
        <f t="array" ref="B34">IF($B$33="","",IFERROR(INDEX(Dados!$B$84:$B$92,MATCH($B$33,Dados!$A$84:$A$92,0)),""))</f>
        <v/>
      </c>
      <c r="C34" s="2"/>
      <c r="D34" s="3"/>
    </row>
    <row r="35" ht="15.75" customHeight="1">
      <c r="A35" s="15" t="s">
        <v>162</v>
      </c>
      <c r="B35" s="37" t="str">
        <f t="array" ref="B35">IF($B$33="","",IFERROR(INDEX(Dados!$C$84:$C$92,MATCH($B$33,Dados!$A$84:$A$92,0)),""))</f>
        <v/>
      </c>
      <c r="C35" s="2"/>
      <c r="D35" s="2"/>
      <c r="E35" s="2"/>
      <c r="F35" s="2"/>
      <c r="G35" s="2"/>
      <c r="H35" s="2"/>
      <c r="I35" s="2"/>
      <c r="J35" s="3"/>
    </row>
    <row r="36" ht="25.5" customHeight="1">
      <c r="A36" s="15" t="s">
        <v>165</v>
      </c>
      <c r="B36" s="27">
        <f t="array" ref="B36">IF($B$33="",0,IFERROR(INDEX(Dados!$J$84:$J$92,MATCH($B$33,Dados!$A$84:$A$92,0)),0))</f>
        <v>0</v>
      </c>
    </row>
    <row r="37" ht="25.5" customHeight="1">
      <c r="A37" s="15" t="s">
        <v>167</v>
      </c>
      <c r="B37" s="27">
        <f t="array" ref="B37">IF($B$33="",0,IFERROR(INDEX(Dados!$K$84:$K$92,MATCH($B$33,Dados!$A$84:$A$92,0)),0))</f>
        <v>0</v>
      </c>
    </row>
    <row r="38" ht="25.5" customHeight="1">
      <c r="A38" s="15" t="s">
        <v>169</v>
      </c>
      <c r="B38" s="37" t="str">
        <f t="array" ref="B38">IF($B$33="","",IFERROR(INDEX(Dados!$G$84:$G$92,MATCH($B$33,Dados!$A$84:$A$92,0)),""))</f>
        <v/>
      </c>
      <c r="C38" s="3"/>
      <c r="D38" s="37" t="str">
        <f t="array" ref="D38">IF($B$33="","",IFERROR(INDEX(Dados!$H$84:$H$92,MATCH($B$33,Dados!$A$84:$A$92,0)),""))</f>
        <v/>
      </c>
      <c r="E38" s="3"/>
      <c r="F38" s="37" t="str">
        <f t="array" ref="F38">IF($B$33="","",IFERROR(INDEX(Dados!$I$84:$I$92,MATCH($B$33,Dados!$A$84:$A$92,0)),""))</f>
        <v/>
      </c>
      <c r="G38" s="3"/>
    </row>
    <row r="39" ht="25.5" customHeight="1">
      <c r="A39" s="15" t="s">
        <v>171</v>
      </c>
      <c r="B39" s="37" t="str">
        <f t="array" ref="B39">IF($B$33="","",IFERROR(INDEX(Dados!$D$84:$D$92,MATCH($B$33,Dados!$A$84:$A$92,0)),""))</f>
        <v/>
      </c>
      <c r="C39" s="2"/>
      <c r="D39" s="2"/>
      <c r="E39" s="2"/>
      <c r="F39" s="2"/>
      <c r="G39" s="2"/>
      <c r="H39" s="2"/>
      <c r="I39" s="2"/>
      <c r="J39" s="3"/>
    </row>
    <row r="40" ht="25.5" customHeight="1">
      <c r="A40" s="15" t="s">
        <v>173</v>
      </c>
      <c r="B40" s="37" t="str">
        <f t="array" ref="B40">IF($B$33="","",IFERROR(INDEX(Dados!$L$84:$L$92,MATCH($B$33,Dados!$A$84:$A$92,0)),""))</f>
        <v/>
      </c>
      <c r="C40" s="2"/>
      <c r="D40" s="2"/>
      <c r="E40" s="2"/>
      <c r="F40" s="2"/>
      <c r="G40" s="2"/>
      <c r="H40" s="2"/>
      <c r="I40" s="2"/>
      <c r="J40" s="3"/>
    </row>
    <row r="41" ht="15.75" customHeight="1"/>
    <row r="42" ht="15.75" customHeight="1">
      <c r="A42" s="5" t="s">
        <v>174</v>
      </c>
      <c r="B42" s="2"/>
      <c r="C42" s="2"/>
      <c r="D42" s="2"/>
      <c r="E42" s="2"/>
      <c r="F42" s="2"/>
      <c r="G42" s="2"/>
      <c r="H42" s="2"/>
      <c r="I42" s="2"/>
      <c r="J42" s="2"/>
      <c r="K42" s="2"/>
      <c r="L42" s="3"/>
    </row>
    <row r="43" ht="39.75" customHeight="1">
      <c r="A43" s="14" t="s">
        <v>57</v>
      </c>
      <c r="B43" s="14" t="s">
        <v>175</v>
      </c>
      <c r="C43" s="14" t="s">
        <v>176</v>
      </c>
      <c r="D43" s="14" t="s">
        <v>177</v>
      </c>
      <c r="E43" s="14" t="s">
        <v>178</v>
      </c>
      <c r="F43" s="14" t="s">
        <v>179</v>
      </c>
      <c r="G43" s="14" t="s">
        <v>180</v>
      </c>
      <c r="H43" s="14" t="s">
        <v>181</v>
      </c>
      <c r="I43" s="14" t="s">
        <v>182</v>
      </c>
      <c r="J43" s="14" t="s">
        <v>183</v>
      </c>
      <c r="K43" s="14" t="s">
        <v>67</v>
      </c>
      <c r="L43" s="24"/>
    </row>
    <row r="44" ht="48.75" customHeight="1">
      <c r="A44" s="26" t="s">
        <v>121</v>
      </c>
      <c r="B44" s="34"/>
      <c r="C44" s="41" t="str">
        <f>IF($B$25="Humano",IF($B$26="+1 em dois",($B$27="Poder")*1+AND($B$28="Poder",$B$28&lt;&gt;$B$27)*1,($B$27="Poder")*2),IF($O$27="Poder",2,0))</f>
        <v>#ERROR!</v>
      </c>
      <c r="D44" s="41">
        <f>SUMIF('Progressão'!$D$57:$D$62,"Poder",'Progressão'!$F$57:$F$62)+SUMIF('Progressão'!$E$57:$E$62,"Poder",'Progressão'!$G$57:$G$62)</f>
        <v>0</v>
      </c>
      <c r="E44" s="27" t="str">
        <f>MIN(20,$J$44+$C$44+$D$44)</f>
        <v>#ERROR!</v>
      </c>
      <c r="F44" s="27" t="str">
        <f>IF($E$44&lt;15,VLOOKUP($E$44,Dados!$A$27:$B$39,2,FALSE),INT(($E$44-15)/2)+3)</f>
        <v>#ERROR!</v>
      </c>
      <c r="G44" s="41" t="str">
        <f>MIN(20,$J$44+$C$44)</f>
        <v>#ERROR!</v>
      </c>
      <c r="H44" s="41" t="str">
        <f>IF($G$44&lt;15,VLOOKUP($G$44,Dados!$A$27:$B$39,2,FALSE),INT(($G$44-15)/2)+3)</f>
        <v>#ERROR!</v>
      </c>
      <c r="I44" s="41">
        <f>IF($B$10="Compra de Pontos",VLOOKUP(MAX(8,MIN(15,$J$44)),Dados!$A$43:$B$50,2,FALSE),"")</f>
        <v>0</v>
      </c>
      <c r="J44" s="41">
        <f>IF(ISNUMBER($B$44),MAX(8,MIN(20,INT($B$44))),8)</f>
        <v>8</v>
      </c>
      <c r="K44" s="30" t="str">
        <f>IF($B$44="","",IF(ISNUMBER($B$44),IF(OR($B$44&lt;8,$B$44&gt;20),"Fora de 8 a 20: a ficha conta com "&amp;$J$44&amp;". ","")&amp;IF($B$44&gt;15,"Acima de 15 antes da Raça. ",""),"Precisa ser um número. "))&amp;IF(AND($D$44&gt;0,$J$44+$C$44+$D$44&gt;20),"Aumento desperdiçado: passou do teto 20.","")</f>
        <v>#ERROR!</v>
      </c>
    </row>
    <row r="45" ht="48.75" customHeight="1">
      <c r="A45" s="40" t="s">
        <v>126</v>
      </c>
      <c r="B45" s="50"/>
      <c r="C45" s="47" t="str">
        <f>IF($B$25="Humano",IF($B$26="+1 em dois",($B$27="Agilidade")*1+AND($B$28="Agilidade",$B$28&lt;&gt;$B$27)*1,($B$27="Agilidade")*2),IF($O$27="Agilidade",2,0))</f>
        <v>#ERROR!</v>
      </c>
      <c r="D45" s="47">
        <f>SUMIF('Progressão'!$D$57:$D$62,"Agilidade",'Progressão'!$F$57:$F$62)+SUMIF('Progressão'!$E$57:$E$62,"Agilidade",'Progressão'!$G$57:$G$62)</f>
        <v>0</v>
      </c>
      <c r="E45" s="38" t="str">
        <f>MIN(20,$J$45+$C$45+$D$45)</f>
        <v>#ERROR!</v>
      </c>
      <c r="F45" s="38" t="str">
        <f>IF($E$45&lt;15,VLOOKUP($E$45,Dados!$A$27:$B$39,2,FALSE),INT(($E$45-15)/2)+3)</f>
        <v>#ERROR!</v>
      </c>
      <c r="G45" s="47" t="str">
        <f>MIN(20,$J$45+$C$45)</f>
        <v>#ERROR!</v>
      </c>
      <c r="H45" s="47" t="str">
        <f>IF($G$45&lt;15,VLOOKUP($G$45,Dados!$A$27:$B$39,2,FALSE),INT(($G$45-15)/2)+3)</f>
        <v>#ERROR!</v>
      </c>
      <c r="I45" s="47">
        <f>IF($B$10="Compra de Pontos",VLOOKUP(MAX(8,MIN(15,$J$45)),Dados!$A$43:$B$50,2,FALSE),"")</f>
        <v>0</v>
      </c>
      <c r="J45" s="47">
        <f>IF(ISNUMBER($B$45),MAX(8,MIN(20,INT($B$45))),8)</f>
        <v>8</v>
      </c>
      <c r="K45" s="43" t="str">
        <f>IF($B$45="","",IF(ISNUMBER($B$45),IF(OR($B$45&lt;8,$B$45&gt;20),"Fora de 8 a 20: a ficha conta com "&amp;$J$45&amp;". ","")&amp;IF($B$45&gt;15,"Acima de 15 antes da Raça. ",""),"Precisa ser um número. "))&amp;IF(AND($D$45&gt;0,$J$45+$C$45+$D$45&gt;20),"Aumento desperdiçado: passou do teto 20.","")</f>
        <v>#ERROR!</v>
      </c>
      <c r="L45" s="3"/>
    </row>
    <row r="46" ht="48.75" customHeight="1">
      <c r="A46" s="26" t="s">
        <v>192</v>
      </c>
      <c r="B46" s="34"/>
      <c r="C46" s="41" t="str">
        <f>IF($B$25="Humano",IF($B$26="+1 em dois",($B$27="Vigor")*1+AND($B$28="Vigor",$B$28&lt;&gt;$B$27)*1,($B$27="Vigor")*2),IF($O$27="Vigor",2,0))</f>
        <v>#ERROR!</v>
      </c>
      <c r="D46" s="41">
        <f>SUMIF('Progressão'!$D$57:$D$62,"Vigor",'Progressão'!$F$57:$F$62)+SUMIF('Progressão'!$E$57:$E$62,"Vigor",'Progressão'!$G$57:$G$62)</f>
        <v>0</v>
      </c>
      <c r="E46" s="27" t="str">
        <f>MIN(20,$J$46+$C$46+$D$46)</f>
        <v>#ERROR!</v>
      </c>
      <c r="F46" s="27" t="str">
        <f>IF($E$46&lt;15,VLOOKUP($E$46,Dados!$A$27:$B$39,2,FALSE),INT(($E$46-15)/2)+3)</f>
        <v>#ERROR!</v>
      </c>
      <c r="G46" s="41" t="str">
        <f>MIN(20,$J$46+$C$46)</f>
        <v>#ERROR!</v>
      </c>
      <c r="H46" s="41" t="str">
        <f>IF($G$46&lt;15,VLOOKUP($G$46,Dados!$A$27:$B$39,2,FALSE),INT(($G$46-15)/2)+3)</f>
        <v>#ERROR!</v>
      </c>
      <c r="I46" s="41">
        <f>IF($B$10="Compra de Pontos",VLOOKUP(MAX(8,MIN(15,$J$46)),Dados!$A$43:$B$50,2,FALSE),"")</f>
        <v>0</v>
      </c>
      <c r="J46" s="41">
        <f>IF(ISNUMBER($B$46),MAX(8,MIN(20,INT($B$46))),8)</f>
        <v>8</v>
      </c>
      <c r="K46" s="30" t="str">
        <f>IF($B$46="","",IF(ISNUMBER($B$46),IF(OR($B$46&lt;8,$B$46&gt;20),"Fora de 8 a 20: a ficha conta com "&amp;$J$46&amp;". ","")&amp;IF($B$46&gt;15,"Acima de 15 antes da Raça. ",""),"Precisa ser um número. "))&amp;IF(AND($D$46&gt;0,$J$46+$C$46+$D$46&gt;20),"Aumento desperdiçado: passou do teto 20.","")</f>
        <v>#ERROR!</v>
      </c>
    </row>
    <row r="47" ht="48.75" customHeight="1">
      <c r="A47" s="40" t="s">
        <v>196</v>
      </c>
      <c r="B47" s="50"/>
      <c r="C47" s="47" t="str">
        <f>IF($B$25="Humano",IF($B$26="+1 em dois",($B$27="Sincronia")*1+AND($B$28="Sincronia",$B$28&lt;&gt;$B$27)*1,($B$27="Sincronia")*2),IF($O$27="Sincronia",2,0))</f>
        <v>#ERROR!</v>
      </c>
      <c r="D47" s="47">
        <f>SUMIF('Progressão'!$D$57:$D$62,"Sincronia",'Progressão'!$F$57:$F$62)+SUMIF('Progressão'!$E$57:$E$62,"Sincronia",'Progressão'!$G$57:$G$62)</f>
        <v>0</v>
      </c>
      <c r="E47" s="38" t="str">
        <f>MIN(20,$J$47+$C$47+$D$47)</f>
        <v>#ERROR!</v>
      </c>
      <c r="F47" s="38" t="str">
        <f>IF($E$47&lt;15,VLOOKUP($E$47,Dados!$A$27:$B$39,2,FALSE),INT(($E$47-15)/2)+3)</f>
        <v>#ERROR!</v>
      </c>
      <c r="G47" s="47" t="str">
        <f>MIN(20,$J$47+$C$47)</f>
        <v>#ERROR!</v>
      </c>
      <c r="H47" s="47" t="str">
        <f>IF($G$47&lt;15,VLOOKUP($G$47,Dados!$A$27:$B$39,2,FALSE),INT(($G$47-15)/2)+3)</f>
        <v>#ERROR!</v>
      </c>
      <c r="I47" s="47">
        <f>IF($B$10="Compra de Pontos",VLOOKUP(MAX(8,MIN(15,$J$47)),Dados!$A$43:$B$50,2,FALSE),"")</f>
        <v>0</v>
      </c>
      <c r="J47" s="47">
        <f>IF(ISNUMBER($B$47),MAX(8,MIN(20,INT($B$47))),8)</f>
        <v>8</v>
      </c>
      <c r="K47" s="43" t="str">
        <f>IF($B$47="","",IF(ISNUMBER($B$47),IF(OR($B$47&lt;8,$B$47&gt;20),"Fora de 8 a 20: a ficha conta com "&amp;$J$47&amp;". ","")&amp;IF($B$47&gt;15,"Acima de 15 antes da Raça. ",""),"Precisa ser um número. "))&amp;IF(AND($D$47&gt;0,$J$47+$C$47+$D$47&gt;20),"Aumento desperdiçado: passou do teto 20.","")</f>
        <v>#ERROR!</v>
      </c>
      <c r="L47" s="3"/>
    </row>
    <row r="48" ht="48.75" customHeight="1">
      <c r="A48" s="26" t="s">
        <v>204</v>
      </c>
      <c r="B48" s="34"/>
      <c r="C48" s="41" t="str">
        <f>IF($B$25="Humano",IF($B$26="+1 em dois",($B$27="Discernimento")*1+AND($B$28="Discernimento",$B$28&lt;&gt;$B$27)*1,($B$27="Discernimento")*2),IF($O$27="Discernimento",2,0))</f>
        <v>#ERROR!</v>
      </c>
      <c r="D48" s="41">
        <f>SUMIF('Progressão'!$D$57:$D$62,"Discernimento",'Progressão'!$F$57:$F$62)+SUMIF('Progressão'!$E$57:$E$62,"Discernimento",'Progressão'!$G$57:$G$62)</f>
        <v>0</v>
      </c>
      <c r="E48" s="27" t="str">
        <f>MIN(20,$J$48+$C$48+$D$48)</f>
        <v>#ERROR!</v>
      </c>
      <c r="F48" s="27" t="str">
        <f>IF($E$48&lt;15,VLOOKUP($E$48,Dados!$A$27:$B$39,2,FALSE),INT(($E$48-15)/2)+3)</f>
        <v>#ERROR!</v>
      </c>
      <c r="G48" s="41" t="str">
        <f>MIN(20,$J$48+$C$48)</f>
        <v>#ERROR!</v>
      </c>
      <c r="H48" s="41" t="str">
        <f>IF($G$48&lt;15,VLOOKUP($G$48,Dados!$A$27:$B$39,2,FALSE),INT(($G$48-15)/2)+3)</f>
        <v>#ERROR!</v>
      </c>
      <c r="I48" s="41">
        <f>IF($B$10="Compra de Pontos",VLOOKUP(MAX(8,MIN(15,$J$48)),Dados!$A$43:$B$50,2,FALSE),"")</f>
        <v>0</v>
      </c>
      <c r="J48" s="41">
        <f>IF(ISNUMBER($B$48),MAX(8,MIN(20,INT($B$48))),8)</f>
        <v>8</v>
      </c>
      <c r="K48" s="30" t="str">
        <f>IF($B$48="","",IF(ISNUMBER($B$48),IF(OR($B$48&lt;8,$B$48&gt;20),"Fora de 8 a 20: a ficha conta com "&amp;$J$48&amp;". ","")&amp;IF($B$48&gt;15,"Acima de 15 antes da Raça. ",""),"Precisa ser um número. "))&amp;IF(AND($D$48&gt;0,$J$48+$C$48+$D$48&gt;20),"Aumento desperdiçado: passou do teto 20.","")</f>
        <v>#ERROR!</v>
      </c>
    </row>
    <row r="49" ht="48.75" customHeight="1">
      <c r="A49" s="40" t="s">
        <v>226</v>
      </c>
      <c r="B49" s="50"/>
      <c r="C49" s="47" t="str">
        <f>IF($B$25="Humano",IF($B$26="+1 em dois",($B$27="Presença")*1+AND($B$28="Presença",$B$28&lt;&gt;$B$27)*1,($B$27="Presença")*2),IF($O$27="Presença",2,0))</f>
        <v>#ERROR!</v>
      </c>
      <c r="D49" s="47">
        <f>SUMIF('Progressão'!$D$57:$D$62,"Presença",'Progressão'!$F$57:$F$62)+SUMIF('Progressão'!$E$57:$E$62,"Presença",'Progressão'!$G$57:$G$62)</f>
        <v>0</v>
      </c>
      <c r="E49" s="38" t="str">
        <f>MIN(20,$J$49+$C$49+$D$49)</f>
        <v>#ERROR!</v>
      </c>
      <c r="F49" s="38" t="str">
        <f>IF($E$49&lt;15,VLOOKUP($E$49,Dados!$A$27:$B$39,2,FALSE),INT(($E$49-15)/2)+3)</f>
        <v>#ERROR!</v>
      </c>
      <c r="G49" s="47" t="str">
        <f>MIN(20,$J$49+$C$49)</f>
        <v>#ERROR!</v>
      </c>
      <c r="H49" s="47" t="str">
        <f>IF($G$49&lt;15,VLOOKUP($G$49,Dados!$A$27:$B$39,2,FALSE),INT(($G$49-15)/2)+3)</f>
        <v>#ERROR!</v>
      </c>
      <c r="I49" s="47">
        <f>IF($B$10="Compra de Pontos",VLOOKUP(MAX(8,MIN(15,$J$49)),Dados!$A$43:$B$50,2,FALSE),"")</f>
        <v>0</v>
      </c>
      <c r="J49" s="47">
        <f>IF(ISNUMBER($B$49),MAX(8,MIN(20,INT($B$49))),8)</f>
        <v>8</v>
      </c>
      <c r="K49" s="43" t="str">
        <f>IF($B$49="","",IF(ISNUMBER($B$49),IF(OR($B$49&lt;8,$B$49&gt;20),"Fora de 8 a 20: a ficha conta com "&amp;$J$49&amp;". ","")&amp;IF($B$49&gt;15,"Acima de 15 antes da Raça. ",""),"Precisa ser um número. "))&amp;IF(AND($D$49&gt;0,$J$49+$C$49+$D$49&gt;20),"Aumento desperdiçado: passou do teto 20.","")</f>
        <v>#ERROR!</v>
      </c>
      <c r="L49" s="3"/>
    </row>
    <row r="50" ht="36.75" customHeight="1">
      <c r="A50" s="15" t="s">
        <v>229</v>
      </c>
      <c r="B50" s="37" t="str">
        <f>IF($B$10&lt;&gt;"Array oficial","",IF((ISNUMBER($B$44)*1+ISNUMBER($B$45)*1+ISNUMBER($B$46)*1+ISNUMBER($B$47)*1+ISNUMBER($B$48)*1+ISNUMBER($B$49)*1)&lt;6,"Valores que faltam para fechar o array: "&amp;(6-(ISNUMBER($B$44)*1+ISNUMBER($B$45)*1+ISNUMBER($B$46)*1+ISNUMBER($B$47)*1+ISNUMBER($B$48)*1+ISNUMBER($B$49)*1)),IF(AND(COUNTIF($B$44:$B$49,15)=1,COUNTIF($B$44:$B$49,14)=1,COUNTIF($B$44:$B$49,13)=1,COUNTIF($B$44:$B$49,12)=1,COUNTIF($B$44:$B$49,10)=1,COUNTIF($B$44:$B$49,8)=1),"OK: cada valor usado uma vez","Confira o aviso ao lado")))</f>
        <v/>
      </c>
      <c r="C50" s="2"/>
      <c r="D50" s="2"/>
      <c r="E50" s="2"/>
      <c r="F50" s="2"/>
      <c r="G50" s="2"/>
      <c r="H50" s="2"/>
      <c r="I50" s="2"/>
      <c r="J50" s="3"/>
      <c r="K50" s="30" t="str">
        <f>IF(AND($B$10="Array oficial",(ISNUMBER($B$44)*1+ISNUMBER($B$45)*1+ISNUMBER($B$46)*1+ISNUMBER($B$47)*1+ISNUMBER($B$48)*1+ISNUMBER($B$49)*1)=6),IF(AND(COUNTIF($B$44:$B$49,15)=1,COUNTIF($B$44:$B$49,14)=1,COUNTIF($B$44:$B$49,13)=1,COUNTIF($B$44:$B$49,12)=1,COUNTIF($B$44:$B$49,10)=1,COUNTIF($B$44:$B$49,8)=1),"","Array oficial: use 15, 14, 13, 12, 10 e 8 uma vez cada. Falta: "&amp;IF(COUNTIF($B$44:$B$49,15)=0,"15 ","")&amp;IF(COUNTIF($B$44:$B$49,14)=0,"14 ","")&amp;IF(COUNTIF($B$44:$B$49,13)=0,"13 ","")&amp;IF(COUNTIF($B$44:$B$49,12)=0,"12 ","")&amp;IF(COUNTIF($B$44:$B$49,10)=0,"10 ","")&amp;IF(COUNTIF($B$44:$B$49,8)=0,"8 ","")&amp;"· Repetido: "&amp;IF(COUNTIF($B$44:$B$49,15)&gt;1,"15 ","")&amp;IF(COUNTIF($B$44:$B$49,14)&gt;1,"14 ","")&amp;IF(COUNTIF($B$44:$B$49,13)&gt;1,"13 ","")&amp;IF(COUNTIF($B$44:$B$49,12)&gt;1,"12 ","")&amp;IF(COUNTIF($B$44:$B$49,10)&gt;1,"10 ","")&amp;IF(COUNTIF($B$44:$B$49,8)&gt;1,"8 ","")),"")</f>
        <v/>
      </c>
    </row>
    <row r="51" ht="25.5" customHeight="1">
      <c r="A51" s="46" t="s">
        <v>233</v>
      </c>
      <c r="B51" s="38">
        <f>IF($B$10="Compra de Pontos",SUM($I$44:$I$49),"")</f>
        <v>0</v>
      </c>
      <c r="C51" s="62" t="s">
        <v>234</v>
      </c>
      <c r="D51" s="38">
        <f>IF($B$10="Compra de Pontos",28-SUM($I$44:$I$49),"")</f>
        <v>28</v>
      </c>
      <c r="E51" s="49"/>
      <c r="F51" s="49"/>
      <c r="G51" s="49"/>
      <c r="H51" s="49"/>
      <c r="I51" s="49"/>
      <c r="J51" s="49"/>
      <c r="K51" s="43" t="str">
        <f>IF(AND($B$10="Compra de Pontos",SUM($I$44:$I$49)&gt;28),"Compra de Pontos passou de 28 ("&amp;SUM($I$44:$I$49)&amp;" pontos)","")</f>
        <v/>
      </c>
      <c r="L51" s="3"/>
    </row>
    <row r="52" ht="15.75" customHeight="1"/>
    <row r="53" ht="15.75" customHeight="1">
      <c r="A53" s="5" t="s">
        <v>236</v>
      </c>
      <c r="B53" s="2"/>
      <c r="C53" s="2"/>
      <c r="D53" s="2"/>
      <c r="E53" s="2"/>
      <c r="F53" s="2"/>
      <c r="G53" s="2"/>
      <c r="H53" s="2"/>
      <c r="I53" s="2"/>
      <c r="J53" s="2"/>
      <c r="K53" s="2"/>
      <c r="L53" s="3"/>
    </row>
    <row r="54" ht="25.5" customHeight="1">
      <c r="A54" s="15" t="s">
        <v>237</v>
      </c>
      <c r="B54" s="34"/>
      <c r="C54" s="19" t="s">
        <v>239</v>
      </c>
      <c r="D54" s="63" t="str">
        <f>IF($N$54="","",IF(AND($B$54="",$N$55=""),$N$54,IF(AND($B$54&lt;&gt;"",OR($B$54=$N$54,$B$54=$N$55)),$B$54,"")))</f>
        <v/>
      </c>
      <c r="E54" s="3"/>
      <c r="K54" s="30" t="str">
        <f>IF(AND($N$54&lt;&gt;"",$D$54=""),IF($B$54="","Escolha o Atributo de Habilidade: "&amp;$N$54&amp;" ou "&amp;$N$55,"Fora do que o Caminho permite: "&amp;$N$54&amp;IF($N$55="",""," ou "&amp;$N$55)),"")</f>
        <v/>
      </c>
      <c r="N54" s="35" t="str">
        <f t="array" ref="N54">IF($B$33="","",IFERROR(""&amp;INDEX(Dados!$E$84:$E$92,MATCH($B$33,Dados!$A$84:$A$92,0)),""))</f>
        <v/>
      </c>
    </row>
    <row r="55" ht="25.5" customHeight="1">
      <c r="A55" s="15" t="s">
        <v>242</v>
      </c>
      <c r="B55" s="27">
        <f t="array" ref="B55">IF($D$54="",0,IFERROR(INDEX($F$44:$F$49,MATCH($D$54,$A$44:$A$49,0)),0))</f>
        <v>0</v>
      </c>
      <c r="N55" s="35" t="str">
        <f t="array" ref="N55">IF($B$33="","",IFERROR(""&amp;INDEX(Dados!$F$84:$F$92,MATCH($B$33,Dados!$A$84:$A$92,0)),""))</f>
        <v/>
      </c>
    </row>
    <row r="56" ht="25.5" customHeight="1">
      <c r="A56" s="15" t="s">
        <v>243</v>
      </c>
      <c r="B56" s="27">
        <f>8+$B$55+$C$14</f>
        <v>10</v>
      </c>
    </row>
    <row r="57" ht="25.5" customHeight="1">
      <c r="A57" s="15" t="s">
        <v>244</v>
      </c>
      <c r="B57" s="27" t="str">
        <f>$B$55+$C$14+$G$14+$B$124</f>
        <v>#ERROR!</v>
      </c>
      <c r="C57" s="27" t="str">
        <f>"d20"&amp;IF($B$57&gt;=0,"+","")&amp;$B$57</f>
        <v>#ERROR!</v>
      </c>
      <c r="D57" s="19" t="s">
        <v>246</v>
      </c>
    </row>
    <row r="58" ht="15.75" customHeight="1"/>
    <row r="59" ht="15.75" customHeight="1">
      <c r="A59" s="5" t="s">
        <v>247</v>
      </c>
      <c r="B59" s="2"/>
      <c r="C59" s="2"/>
      <c r="D59" s="2"/>
      <c r="E59" s="2"/>
      <c r="F59" s="2"/>
      <c r="G59" s="2"/>
      <c r="H59" s="2"/>
      <c r="I59" s="2"/>
      <c r="J59" s="2"/>
      <c r="K59" s="2"/>
      <c r="L59" s="3"/>
    </row>
    <row r="60" ht="25.5" customHeight="1">
      <c r="A60" s="15" t="s">
        <v>106</v>
      </c>
      <c r="B60" s="34"/>
      <c r="C60" s="19" t="s">
        <v>248</v>
      </c>
      <c r="K60" s="30" t="str">
        <f>IF($B$60="","",IF(COUNTIF(Dados!$R$6:$R$12,$B$60)=0,"Elemento fora da lista do capítulo 20",""))</f>
        <v/>
      </c>
    </row>
    <row r="61" ht="15.75" customHeight="1">
      <c r="A61" s="15" t="s">
        <v>249</v>
      </c>
      <c r="B61" s="37" t="str">
        <f t="array" ref="B61">IF($B$60="","",IFERROR(INDEX(Dados!$H$374:$H$380,MATCH($B$60,Dados!$A$374:$A$380,0)),""))</f>
        <v/>
      </c>
      <c r="C61" s="2"/>
      <c r="D61" s="3"/>
    </row>
    <row r="62" ht="15.75" customHeight="1">
      <c r="A62" s="15" t="s">
        <v>251</v>
      </c>
      <c r="B62" s="27" t="str">
        <f t="array" ref="B62">IF($B$60="","",IFERROR(IF(INDEX(Dados!$E$374:$E$380,MATCH($B$60,Dados!$A$374:$A$380,0))&lt;=0,""&amp;INDEX(Dados!$G$374:$G$380,MATCH($B$60,Dados!$A$374:$A$380,0))*$C$14,INDEX(Dados!$E$374:$E$380,MATCH($B$60,Dados!$A$374:$A$380,0))&amp;"d"&amp;INDEX(Dados!$F$374:$F$380,MATCH($B$60,Dados!$A$374:$A$380,0))&amp;IF(INDEX(Dados!$G$374:$G$380,MATCH($B$60,Dados!$A$374:$A$380,0))*$C$14&gt;0,"+"&amp;INDEX(Dados!$G$374:$G$380,MATCH($B$60,Dados!$A$374:$A$380,0))*$C$14,IF(INDEX(Dados!$G$374:$G$380,MATCH($B$60,Dados!$A$374:$A$380,0))*$C$14&lt;0,""&amp;INDEX(Dados!$G$374:$G$380,MATCH($B$60,Dados!$A$374:$A$380,0))*$C$14,""))),""))</f>
        <v/>
      </c>
      <c r="C62" s="19" t="s">
        <v>253</v>
      </c>
      <c r="D62" s="27" t="str">
        <f t="array" ref="D62">IF($B$60="","",IFERROR(INT(INDEX(Dados!$E$374:$E$380,MATCH($B$60,Dados!$A$374:$A$380,0))*(INDEX(Dados!$F$374:$F$380,MATCH($B$60,Dados!$A$374:$A$380,0))+1)/2)+INDEX(Dados!$G$374:$G$380,MATCH($B$60,Dados!$A$374:$A$380,0))*$C$14,""))</f>
        <v/>
      </c>
    </row>
    <row r="63" ht="15.75" customHeight="1"/>
    <row r="64" ht="15.75" customHeight="1">
      <c r="A64" s="5" t="s">
        <v>254</v>
      </c>
      <c r="B64" s="2"/>
      <c r="C64" s="2"/>
      <c r="D64" s="2"/>
      <c r="E64" s="2"/>
      <c r="F64" s="2"/>
      <c r="G64" s="2"/>
      <c r="H64" s="2"/>
      <c r="I64" s="2"/>
      <c r="J64" s="2"/>
      <c r="K64" s="2"/>
      <c r="L64" s="3"/>
    </row>
    <row r="65" ht="15.75" customHeight="1">
      <c r="A65" s="15" t="s">
        <v>255</v>
      </c>
      <c r="B65" s="34"/>
      <c r="C65" s="19" t="s">
        <v>239</v>
      </c>
      <c r="D65" s="37" t="str">
        <f>IF($B$65="Sincronia","Sincronia","Discernimento")</f>
        <v>Discernimento</v>
      </c>
      <c r="E65" s="3"/>
    </row>
    <row r="66" ht="36.75" customHeight="1">
      <c r="A66" s="15" t="s">
        <v>256</v>
      </c>
      <c r="B66" s="27" t="str">
        <f>MAX(2,2+$H$47)</f>
        <v>#ERROR!</v>
      </c>
    </row>
    <row r="67" ht="36.75" customHeight="1">
      <c r="A67" s="15" t="s">
        <v>258</v>
      </c>
      <c r="B67" s="27">
        <f>COUNTIF($D$69:$D$88,"Sim")</f>
        <v>0</v>
      </c>
      <c r="C67" s="19" t="s">
        <v>260</v>
      </c>
      <c r="D67" s="27">
        <f>COUNTIF($E$69:$E$88,"Sim")</f>
        <v>0</v>
      </c>
      <c r="K67" s="30" t="str">
        <f>IF($B$67&gt;$B$66,"Perícias escolhidas acima do permitido ("&amp;$B$66&amp;"): as últimas ficam sem Eficiência","")</f>
        <v>#ERROR!</v>
      </c>
    </row>
    <row r="68" ht="36.75" customHeight="1">
      <c r="A68" s="14" t="s">
        <v>56</v>
      </c>
      <c r="B68" s="14" t="s">
        <v>57</v>
      </c>
      <c r="C68" s="14" t="s">
        <v>261</v>
      </c>
      <c r="D68" s="14" t="s">
        <v>262</v>
      </c>
      <c r="E68" s="14" t="s">
        <v>263</v>
      </c>
      <c r="F68" s="14" t="s">
        <v>264</v>
      </c>
      <c r="K68" s="14" t="s">
        <v>67</v>
      </c>
      <c r="L68" s="24"/>
    </row>
    <row r="69" ht="25.5" customHeight="1">
      <c r="A69" s="26" t="s">
        <v>50</v>
      </c>
      <c r="B69" s="9" t="str">
        <f t="array" ref="B69">INDEX(Dados!$B$54:$B$71,1)</f>
        <v>Poder</v>
      </c>
      <c r="C69" s="41" t="str">
        <f>IF(OR($B$38="Atletismo",$D$38="Atletismo",$F$38="Atletismo"),"Sim","Não")</f>
        <v>Não</v>
      </c>
      <c r="D69" s="34"/>
      <c r="E69" s="27" t="str">
        <f>IF(OR($C$69="Sim",AND($D$69="Sim",COUNTIF($D$69:D69,"Sim")&lt;=$B$66)),"Sim","Não")</f>
        <v>#ERROR!</v>
      </c>
      <c r="F69" s="41" t="str">
        <f>IF($C$69="Sim","Caminho",IF($E$69="Sim","Escolhida",""))</f>
        <v>#ERROR!</v>
      </c>
      <c r="K69" s="30" t="str">
        <f>IF($D$69&lt;&gt;"Sim","",IF($C$69="Sim","Já vem do Caminho: escolha outra",IF($E$69="Não","Acima do permitido ("&amp;$B$66&amp;"): esta fica sem Eficiência","")))</f>
        <v/>
      </c>
    </row>
    <row r="70" ht="25.5" customHeight="1">
      <c r="A70" s="40" t="s">
        <v>100</v>
      </c>
      <c r="B70" s="16" t="str">
        <f t="array" ref="B70">INDEX(Dados!$B$54:$B$71,2)</f>
        <v>Agilidade</v>
      </c>
      <c r="C70" s="47" t="str">
        <f>IF(OR($B$38="Acrobacia",$D$38="Acrobacia",$F$38="Acrobacia"),"Sim","Não")</f>
        <v>Não</v>
      </c>
      <c r="D70" s="50"/>
      <c r="E70" s="38" t="str">
        <f>IF(OR($C$70="Sim",AND($D$70="Sim",COUNTIF($D$69:D70,"Sim")&lt;=$B$66)),"Sim","Não")</f>
        <v>#ERROR!</v>
      </c>
      <c r="F70" s="47" t="str">
        <f>IF($C$70="Sim","Caminho",IF($E$70="Sim","Escolhida",""))</f>
        <v>#ERROR!</v>
      </c>
      <c r="G70" s="49"/>
      <c r="H70" s="49"/>
      <c r="I70" s="49"/>
      <c r="J70" s="49"/>
      <c r="K70" s="43" t="str">
        <f>IF($D$70&lt;&gt;"Sim","",IF($C$70="Sim","Já vem do Caminho: escolha outra",IF($E$70="Não","Acima do permitido ("&amp;$B$66&amp;"): esta fica sem Eficiência","")))</f>
        <v/>
      </c>
      <c r="L70" s="3"/>
    </row>
    <row r="71" ht="25.5" customHeight="1">
      <c r="A71" s="26" t="s">
        <v>116</v>
      </c>
      <c r="B71" s="9" t="str">
        <f t="array" ref="B71">INDEX(Dados!$B$54:$B$71,3)</f>
        <v>Agilidade</v>
      </c>
      <c r="C71" s="41" t="str">
        <f>IF(OR($B$38="Furtividade",$D$38="Furtividade",$F$38="Furtividade"),"Sim","Não")</f>
        <v>Não</v>
      </c>
      <c r="D71" s="34"/>
      <c r="E71" s="27" t="str">
        <f>IF(OR($C$71="Sim",AND($D$71="Sim",COUNTIF($D$69:D71,"Sim")&lt;=$B$66)),"Sim","Não")</f>
        <v>#ERROR!</v>
      </c>
      <c r="F71" s="41" t="str">
        <f>IF($C$71="Sim","Caminho",IF($E$71="Sim","Escolhida",""))</f>
        <v>#ERROR!</v>
      </c>
      <c r="K71" s="30" t="str">
        <f>IF($D$71&lt;&gt;"Sim","",IF($C$71="Sim","Já vem do Caminho: escolha outra",IF($E$71="Não","Acima do permitido ("&amp;$B$66&amp;"): esta fica sem Eficiência","")))</f>
        <v/>
      </c>
    </row>
    <row r="72" ht="25.5" customHeight="1">
      <c r="A72" s="40" t="s">
        <v>143</v>
      </c>
      <c r="B72" s="16" t="str">
        <f t="array" ref="B72">INDEX(Dados!$B$54:$B$71,4)</f>
        <v>Agilidade</v>
      </c>
      <c r="C72" s="47" t="str">
        <f>IF(OR($B$38="Pilotagem",$D$38="Pilotagem",$F$38="Pilotagem"),"Sim","Não")</f>
        <v>Não</v>
      </c>
      <c r="D72" s="50"/>
      <c r="E72" s="38" t="str">
        <f>IF(OR($C$72="Sim",AND($D$72="Sim",COUNTIF($D$69:D72,"Sim")&lt;=$B$66)),"Sim","Não")</f>
        <v>#ERROR!</v>
      </c>
      <c r="F72" s="47" t="str">
        <f>IF($C$72="Sim","Caminho",IF($E$72="Sim","Escolhida",""))</f>
        <v>#ERROR!</v>
      </c>
      <c r="G72" s="49"/>
      <c r="H72" s="49"/>
      <c r="I72" s="49"/>
      <c r="J72" s="49"/>
      <c r="K72" s="43" t="str">
        <f>IF($D$72&lt;&gt;"Sim","",IF($C$72="Sim","Já vem do Caminho: escolha outra",IF($E$72="Não","Acima do permitido ("&amp;$B$66&amp;"): esta fica sem Eficiência","")))</f>
        <v/>
      </c>
      <c r="L72" s="3"/>
    </row>
    <row r="73" ht="25.5" customHeight="1">
      <c r="A73" s="26" t="s">
        <v>172</v>
      </c>
      <c r="B73" s="9" t="str">
        <f t="array" ref="B73">INDEX(Dados!$B$54:$B$71,5)</f>
        <v>Vigor</v>
      </c>
      <c r="C73" s="41" t="str">
        <f>IF(OR($B$38="Resistência",$D$38="Resistência",$F$38="Resistência"),"Sim","Não")</f>
        <v>Não</v>
      </c>
      <c r="D73" s="34"/>
      <c r="E73" s="27" t="str">
        <f>IF(OR($C$73="Sim",AND($D$73="Sim",COUNTIF($D$69:D73,"Sim")&lt;=$B$66)),"Sim","Não")</f>
        <v>#ERROR!</v>
      </c>
      <c r="F73" s="41" t="str">
        <f>IF($C$73="Sim","Caminho",IF($E$73="Sim","Escolhida",""))</f>
        <v>#ERROR!</v>
      </c>
      <c r="K73" s="30" t="str">
        <f>IF($D$73&lt;&gt;"Sim","",IF($C$73="Sim","Já vem do Caminho: escolha outra",IF($E$73="Não","Acima do permitido ("&amp;$B$66&amp;"): esta fica sem Eficiência","")))</f>
        <v/>
      </c>
    </row>
    <row r="74" ht="36.75" customHeight="1">
      <c r="A74" s="14" t="s">
        <v>189</v>
      </c>
      <c r="B74" s="14" t="s">
        <v>57</v>
      </c>
      <c r="C74" s="14" t="s">
        <v>261</v>
      </c>
      <c r="D74" s="14" t="s">
        <v>262</v>
      </c>
      <c r="E74" s="14" t="s">
        <v>263</v>
      </c>
      <c r="F74" s="14" t="s">
        <v>264</v>
      </c>
      <c r="K74" s="14" t="s">
        <v>67</v>
      </c>
      <c r="L74" s="24"/>
    </row>
    <row r="75" ht="25.5" customHeight="1">
      <c r="A75" s="26" t="s">
        <v>188</v>
      </c>
      <c r="B75" s="9" t="str">
        <f t="array" ref="B75">INDEX(Dados!$B$54:$B$71,6)</f>
        <v>Sincronia</v>
      </c>
      <c r="C75" s="41" t="str">
        <f>IF(OR($B$38="Tecnologia",$D$38="Tecnologia",$F$38="Tecnologia"),"Sim","Não")</f>
        <v>Não</v>
      </c>
      <c r="D75" s="34"/>
      <c r="E75" s="27" t="str">
        <f>IF(OR($C$75="Sim",AND($D$75="Sim",COUNTIF($D$69:D75,"Sim")&lt;=$B$66)),"Sim","Não")</f>
        <v>#ERROR!</v>
      </c>
      <c r="F75" s="41" t="str">
        <f>IF($C$75="Sim","Caminho",IF($E$75="Sim","Escolhida",""))</f>
        <v>#ERROR!</v>
      </c>
      <c r="K75" s="30" t="str">
        <f>IF($D$75&lt;&gt;"Sim","",IF($C$75="Sim","Já vem do Caminho: escolha outra",IF($E$75="Não","Acima do permitido ("&amp;$B$66&amp;"): esta fica sem Eficiência","")))</f>
        <v/>
      </c>
    </row>
    <row r="76" ht="25.5" customHeight="1">
      <c r="A76" s="40" t="s">
        <v>194</v>
      </c>
      <c r="B76" s="16" t="str">
        <f t="array" ref="B76">INDEX(Dados!$B$54:$B$71,7)</f>
        <v>Sincronia</v>
      </c>
      <c r="C76" s="47" t="str">
        <f>IF(OR($B$38="Pesquisa",$D$38="Pesquisa",$F$38="Pesquisa"),"Sim","Não")</f>
        <v>Não</v>
      </c>
      <c r="D76" s="50"/>
      <c r="E76" s="38" t="str">
        <f>IF(OR($C$76="Sim",AND($D$76="Sim",COUNTIF($D$69:D76,"Sim")&lt;=$B$66)),"Sim","Não")</f>
        <v>#ERROR!</v>
      </c>
      <c r="F76" s="47" t="str">
        <f>IF($C$76="Sim","Caminho",IF($E$76="Sim","Escolhida",""))</f>
        <v>#ERROR!</v>
      </c>
      <c r="G76" s="49"/>
      <c r="H76" s="49"/>
      <c r="I76" s="49"/>
      <c r="J76" s="49"/>
      <c r="K76" s="43" t="str">
        <f>IF($D$76&lt;&gt;"Sim","",IF($C$76="Sim","Já vem do Caminho: escolha outra",IF($E$76="Não","Acima do permitido ("&amp;$B$66&amp;"): esta fica sem Eficiência","")))</f>
        <v/>
      </c>
      <c r="L76" s="3"/>
    </row>
    <row r="77" ht="25.5" customHeight="1">
      <c r="A77" s="26" t="s">
        <v>200</v>
      </c>
      <c r="B77" s="9" t="str">
        <f t="array" ref="B77">INDEX(Dados!$B$54:$B$71,8)</f>
        <v>Sincronia</v>
      </c>
      <c r="C77" s="41" t="str">
        <f>IF(OR($B$38="Ciência",$D$38="Ciência",$F$38="Ciência"),"Sim","Não")</f>
        <v>Não</v>
      </c>
      <c r="D77" s="34"/>
      <c r="E77" s="27" t="str">
        <f>IF(OR($C$77="Sim",AND($D$77="Sim",COUNTIF($D$69:D77,"Sim")&lt;=$B$66)),"Sim","Não")</f>
        <v>#ERROR!</v>
      </c>
      <c r="F77" s="41" t="str">
        <f>IF($C$77="Sim","Caminho",IF($E$77="Sim","Escolhida",""))</f>
        <v>#ERROR!</v>
      </c>
      <c r="K77" s="30" t="str">
        <f>IF($D$77&lt;&gt;"Sim","",IF($C$77="Sim","Já vem do Caminho: escolha outra",IF($E$77="Não","Acima do permitido ("&amp;$B$66&amp;"): esta fica sem Eficiência","")))</f>
        <v/>
      </c>
    </row>
    <row r="78" ht="25.5" customHeight="1">
      <c r="A78" s="40" t="s">
        <v>208</v>
      </c>
      <c r="B78" s="16" t="str">
        <f t="array" ref="B78">INDEX(Dados!$B$54:$B$71,9)</f>
        <v>Sincronia</v>
      </c>
      <c r="C78" s="47" t="str">
        <f>IF(OR($B$38="Mecânica",$D$38="Mecânica",$F$38="Mecânica"),"Sim","Não")</f>
        <v>Não</v>
      </c>
      <c r="D78" s="50"/>
      <c r="E78" s="38" t="str">
        <f>IF(OR($C$78="Sim",AND($D$78="Sim",COUNTIF($D$69:D78,"Sim")&lt;=$B$66)),"Sim","Não")</f>
        <v>#ERROR!</v>
      </c>
      <c r="F78" s="47" t="str">
        <f>IF($C$78="Sim","Caminho",IF($E$78="Sim","Escolhida",""))</f>
        <v>#ERROR!</v>
      </c>
      <c r="G78" s="49"/>
      <c r="H78" s="49"/>
      <c r="I78" s="49"/>
      <c r="J78" s="49"/>
      <c r="K78" s="43" t="str">
        <f>IF($D$78&lt;&gt;"Sim","",IF($C$78="Sim","Já vem do Caminho: escolha outra",IF($E$78="Não","Acima do permitido ("&amp;$B$66&amp;"): esta fica sem Eficiência","")))</f>
        <v/>
      </c>
      <c r="L78" s="3"/>
    </row>
    <row r="79" ht="25.5" customHeight="1">
      <c r="A79" s="26" t="s">
        <v>227</v>
      </c>
      <c r="B79" s="9" t="str">
        <f t="array" ref="B79">INDEX(Dados!$B$54:$B$71,10)</f>
        <v>Discernimento</v>
      </c>
      <c r="C79" s="41" t="str">
        <f>IF(OR($B$38="Percepção",$D$38="Percepção",$F$38="Percepção"),"Sim","Não")</f>
        <v>Não</v>
      </c>
      <c r="D79" s="34"/>
      <c r="E79" s="27" t="str">
        <f>IF(OR($C$79="Sim",AND($D$79="Sim",COUNTIF($D$69:D79,"Sim")&lt;=$B$66)),"Sim","Não")</f>
        <v>#ERROR!</v>
      </c>
      <c r="F79" s="41" t="str">
        <f>IF($C$79="Sim","Caminho",IF($E$79="Sim","Escolhida",""))</f>
        <v>#ERROR!</v>
      </c>
      <c r="K79" s="30" t="str">
        <f>IF($D$79&lt;&gt;"Sim","",IF($C$79="Sim","Já vem do Caminho: escolha outra",IF($E$79="Não","Acima do permitido ("&amp;$B$66&amp;"): esta fica sem Eficiência","")))</f>
        <v/>
      </c>
    </row>
    <row r="80" ht="25.5" customHeight="1">
      <c r="A80" s="40" t="s">
        <v>232</v>
      </c>
      <c r="B80" s="16" t="str">
        <f t="array" ref="B80">INDEX(Dados!$B$54:$B$71,11)</f>
        <v>Discernimento</v>
      </c>
      <c r="C80" s="47" t="str">
        <f>IF(OR($B$38="Sobrevivência",$D$38="Sobrevivência",$F$38="Sobrevivência"),"Sim","Não")</f>
        <v>Não</v>
      </c>
      <c r="D80" s="50"/>
      <c r="E80" s="38" t="str">
        <f>IF(OR($C$80="Sim",AND($D$80="Sim",COUNTIF($D$69:D80,"Sim")&lt;=$B$66)),"Sim","Não")</f>
        <v>#ERROR!</v>
      </c>
      <c r="F80" s="47" t="str">
        <f>IF($C$80="Sim","Caminho",IF($E$80="Sim","Escolhida",""))</f>
        <v>#ERROR!</v>
      </c>
      <c r="G80" s="49"/>
      <c r="H80" s="49"/>
      <c r="I80" s="49"/>
      <c r="J80" s="49"/>
      <c r="K80" s="43" t="str">
        <f>IF($D$80&lt;&gt;"Sim","",IF($C$80="Sim","Já vem do Caminho: escolha outra",IF($E$80="Não","Acima do permitido ("&amp;$B$66&amp;"): esta fica sem Eficiência","")))</f>
        <v/>
      </c>
      <c r="L80" s="3"/>
    </row>
    <row r="81" ht="25.5" customHeight="1">
      <c r="A81" s="26" t="s">
        <v>241</v>
      </c>
      <c r="B81" s="9" t="str">
        <f t="array" ref="B81">INDEX(Dados!$B$54:$B$71,12)</f>
        <v>Discernimento</v>
      </c>
      <c r="C81" s="41" t="str">
        <f>IF(OR($B$38="Intuição",$D$38="Intuição",$F$38="Intuição"),"Sim","Não")</f>
        <v>Não</v>
      </c>
      <c r="D81" s="34"/>
      <c r="E81" s="27" t="str">
        <f>IF(OR($C$81="Sim",AND($D$81="Sim",COUNTIF($D$69:D81,"Sim")&lt;=$B$66)),"Sim","Não")</f>
        <v>#ERROR!</v>
      </c>
      <c r="F81" s="41" t="str">
        <f>IF($C$81="Sim","Caminho",IF($E$81="Sim","Escolhida",""))</f>
        <v>#ERROR!</v>
      </c>
      <c r="K81" s="30" t="str">
        <f>IF($D$81&lt;&gt;"Sim","",IF($C$81="Sim","Já vem do Caminho: escolha outra",IF($E$81="Não","Acima do permitido ("&amp;$B$66&amp;"): esta fica sem Eficiência","")))</f>
        <v/>
      </c>
    </row>
    <row r="82" ht="25.5" customHeight="1">
      <c r="A82" s="40" t="s">
        <v>250</v>
      </c>
      <c r="B82" s="16" t="str">
        <f t="array" ref="B82">INDEX(Dados!$B$54:$B$71,13)</f>
        <v>Discernimento</v>
      </c>
      <c r="C82" s="47" t="str">
        <f>IF(OR($B$38="Investigação",$D$38="Investigação",$F$38="Investigação"),"Sim","Não")</f>
        <v>Não</v>
      </c>
      <c r="D82" s="50"/>
      <c r="E82" s="38" t="str">
        <f>IF(OR($C$82="Sim",AND($D$82="Sim",COUNTIF($D$69:D82,"Sim")&lt;=$B$66)),"Sim","Não")</f>
        <v>#ERROR!</v>
      </c>
      <c r="F82" s="47" t="str">
        <f>IF($C$82="Sim","Caminho",IF($E$82="Sim","Escolhida",""))</f>
        <v>#ERROR!</v>
      </c>
      <c r="G82" s="49"/>
      <c r="H82" s="49"/>
      <c r="I82" s="49"/>
      <c r="J82" s="49"/>
      <c r="K82" s="43" t="str">
        <f>IF($D$82&lt;&gt;"Sim","",IF($C$82="Sim","Já vem do Caminho: escolha outra",IF($E$82="Não","Acima do permitido ("&amp;$B$66&amp;"): esta fica sem Eficiência","")))</f>
        <v/>
      </c>
      <c r="L82" s="3"/>
    </row>
    <row r="83" ht="36.75" customHeight="1">
      <c r="A83" s="14" t="s">
        <v>257</v>
      </c>
      <c r="B83" s="14" t="s">
        <v>57</v>
      </c>
      <c r="C83" s="14" t="s">
        <v>261</v>
      </c>
      <c r="D83" s="14" t="s">
        <v>262</v>
      </c>
      <c r="E83" s="14" t="s">
        <v>263</v>
      </c>
      <c r="F83" s="14" t="s">
        <v>264</v>
      </c>
      <c r="K83" s="14" t="s">
        <v>67</v>
      </c>
      <c r="L83" s="24"/>
    </row>
    <row r="84" ht="25.5" customHeight="1">
      <c r="A84" s="26" t="s">
        <v>259</v>
      </c>
      <c r="B84" s="9" t="str">
        <f t="array" ref="B84">INDEX(Dados!$B$54:$B$71,14)</f>
        <v>Presença</v>
      </c>
      <c r="C84" s="41" t="str">
        <f>IF(OR($B$38="Persuasão",$D$38="Persuasão",$F$38="Persuasão"),"Sim","Não")</f>
        <v>Não</v>
      </c>
      <c r="D84" s="34"/>
      <c r="E84" s="27" t="str">
        <f>IF(OR($C$84="Sim",AND($D$84="Sim",COUNTIF($D$69:D84,"Sim")&lt;=$B$66)),"Sim","Não")</f>
        <v>#ERROR!</v>
      </c>
      <c r="F84" s="41" t="str">
        <f>IF($C$84="Sim","Caminho",IF($E$84="Sim","Escolhida",""))</f>
        <v>#ERROR!</v>
      </c>
      <c r="K84" s="30" t="str">
        <f>IF($D$84&lt;&gt;"Sim","",IF($C$84="Sim","Já vem do Caminho: escolha outra",IF($E$84="Não","Acima do permitido ("&amp;$B$66&amp;"): esta fica sem Eficiência","")))</f>
        <v/>
      </c>
    </row>
    <row r="85" ht="25.5" customHeight="1">
      <c r="A85" s="40" t="s">
        <v>265</v>
      </c>
      <c r="B85" s="16" t="str">
        <f t="array" ref="B85">INDEX(Dados!$B$54:$B$71,15)</f>
        <v>Presença</v>
      </c>
      <c r="C85" s="47" t="str">
        <f>IF(OR($B$38="Intimidação",$D$38="Intimidação",$F$38="Intimidação"),"Sim","Não")</f>
        <v>Não</v>
      </c>
      <c r="D85" s="50"/>
      <c r="E85" s="38" t="str">
        <f>IF(OR($C$85="Sim",AND($D$85="Sim",COUNTIF($D$69:D85,"Sim")&lt;=$B$66)),"Sim","Não")</f>
        <v>#ERROR!</v>
      </c>
      <c r="F85" s="47" t="str">
        <f>IF($C$85="Sim","Caminho",IF($E$85="Sim","Escolhida",""))</f>
        <v>#ERROR!</v>
      </c>
      <c r="G85" s="49"/>
      <c r="H85" s="49"/>
      <c r="I85" s="49"/>
      <c r="J85" s="49"/>
      <c r="K85" s="43" t="str">
        <f>IF($D$85&lt;&gt;"Sim","",IF($C$85="Sim","Já vem do Caminho: escolha outra",IF($E$85="Não","Acima do permitido ("&amp;$B$66&amp;"): esta fica sem Eficiência","")))</f>
        <v/>
      </c>
      <c r="L85" s="3"/>
    </row>
    <row r="86" ht="25.5" customHeight="1">
      <c r="A86" s="26" t="s">
        <v>268</v>
      </c>
      <c r="B86" s="9" t="str">
        <f t="array" ref="B86">INDEX(Dados!$B$54:$B$71,16)</f>
        <v>Presença</v>
      </c>
      <c r="C86" s="41" t="str">
        <f>IF(OR($B$38="Enganação",$D$38="Enganação",$F$38="Enganação"),"Sim","Não")</f>
        <v>Não</v>
      </c>
      <c r="D86" s="34"/>
      <c r="E86" s="27" t="str">
        <f>IF(OR($C$86="Sim",AND($D$86="Sim",COUNTIF($D$69:D86,"Sim")&lt;=$B$66)),"Sim","Não")</f>
        <v>#ERROR!</v>
      </c>
      <c r="F86" s="41" t="str">
        <f>IF($C$86="Sim","Caminho",IF($E$86="Sim","Escolhida",""))</f>
        <v>#ERROR!</v>
      </c>
      <c r="K86" s="30" t="str">
        <f>IF($D$86&lt;&gt;"Sim","",IF($C$86="Sim","Já vem do Caminho: escolha outra",IF($E$86="Não","Acima do permitido ("&amp;$B$66&amp;"): esta fica sem Eficiência","")))</f>
        <v/>
      </c>
    </row>
    <row r="87" ht="25.5" customHeight="1">
      <c r="A87" s="40" t="s">
        <v>280</v>
      </c>
      <c r="B87" s="16" t="str">
        <f t="array" ref="B87">INDEX(Dados!$B$54:$B$71,17)</f>
        <v>Presença</v>
      </c>
      <c r="C87" s="47" t="str">
        <f>IF(OR($B$38="Liderança",$D$38="Liderança",$F$38="Liderança"),"Sim","Não")</f>
        <v>Não</v>
      </c>
      <c r="D87" s="50"/>
      <c r="E87" s="38" t="str">
        <f>IF(OR($C$87="Sim",AND($D$87="Sim",COUNTIF($D$69:D87,"Sim")&lt;=$B$66)),"Sim","Não")</f>
        <v>#ERROR!</v>
      </c>
      <c r="F87" s="47" t="str">
        <f>IF($C$87="Sim","Caminho",IF($E$87="Sim","Escolhida",""))</f>
        <v>#ERROR!</v>
      </c>
      <c r="G87" s="49"/>
      <c r="H87" s="49"/>
      <c r="I87" s="49"/>
      <c r="J87" s="49"/>
      <c r="K87" s="43" t="str">
        <f>IF($D$87&lt;&gt;"Sim","",IF($C$87="Sim","Já vem do Caminho: escolha outra",IF($E$87="Não","Acima do permitido ("&amp;$B$66&amp;"): esta fica sem Eficiência","")))</f>
        <v/>
      </c>
      <c r="L87" s="3"/>
    </row>
    <row r="88" ht="25.5" customHeight="1">
      <c r="A88" s="26" t="s">
        <v>282</v>
      </c>
      <c r="B88" s="41" t="str">
        <f>$D$65</f>
        <v>Discernimento</v>
      </c>
      <c r="C88" s="41" t="str">
        <f>IF(OR($B$38="Sintonia",$D$38="Sintonia",$F$38="Sintonia"),"Sim","Não")</f>
        <v>Não</v>
      </c>
      <c r="D88" s="34"/>
      <c r="E88" s="27" t="str">
        <f>IF(OR($C$88="Sim",AND($D$88="Sim",COUNTIF($D$69:D88,"Sim")&lt;=$B$66)),"Sim","Não")</f>
        <v>#ERROR!</v>
      </c>
      <c r="F88" s="41" t="str">
        <f>IF($C$88="Sim","Caminho",IF($E$88="Sim","Escolhida",""))</f>
        <v>#ERROR!</v>
      </c>
      <c r="K88" s="30" t="str">
        <f>IF($D$88&lt;&gt;"Sim","",IF($C$88="Sim","Já vem do Caminho: escolha outra",IF($E$88="Não","Acima do permitido ("&amp;$B$66&amp;"): esta fica sem Eficiência","")))</f>
        <v/>
      </c>
    </row>
    <row r="89" ht="15.75" customHeight="1"/>
    <row r="90" ht="15.75" customHeight="1">
      <c r="A90" s="5" t="s">
        <v>295</v>
      </c>
      <c r="B90" s="2"/>
      <c r="C90" s="2"/>
      <c r="D90" s="2"/>
      <c r="E90" s="2"/>
      <c r="F90" s="2"/>
      <c r="G90" s="2"/>
      <c r="H90" s="2"/>
      <c r="I90" s="2"/>
      <c r="J90" s="2"/>
      <c r="K90" s="2"/>
      <c r="L90" s="3"/>
    </row>
    <row r="91" ht="25.5" customHeight="1">
      <c r="A91" s="15" t="s">
        <v>296</v>
      </c>
      <c r="B91" s="34"/>
      <c r="C91" s="37" t="str">
        <f>IF($B$91="","Sem armadura: Defesa +0",IFERROR("Defesa +"&amp;VLOOKUP($B$91,Dados!$A$474:$I$476,2,FALSE)&amp;" · "&amp;VLOOKUP($B$91,Dados!$A$474:$I$476,3,FALSE),""))</f>
        <v>Sem armadura: Defesa +0</v>
      </c>
      <c r="D91" s="2"/>
      <c r="E91" s="2"/>
      <c r="F91" s="2"/>
      <c r="G91" s="2"/>
      <c r="H91" s="2"/>
      <c r="I91" s="2"/>
      <c r="J91" s="3"/>
      <c r="K91" s="30" t="str">
        <f>IF($B$91="","",IF(COUNTIF(Dados!$S$6:$S$8,$B$91)=0,"Armadura fora da lista do capítulo 24",""))</f>
        <v/>
      </c>
    </row>
    <row r="92" ht="60.0" customHeight="1">
      <c r="A92" s="14" t="s">
        <v>298</v>
      </c>
      <c r="B92" s="14" t="s">
        <v>299</v>
      </c>
      <c r="C92" s="14" t="s">
        <v>300</v>
      </c>
      <c r="D92" s="14" t="s">
        <v>301</v>
      </c>
      <c r="E92" s="14" t="s">
        <v>302</v>
      </c>
      <c r="F92" s="14" t="s">
        <v>303</v>
      </c>
    </row>
    <row r="93" ht="15.75" customHeight="1">
      <c r="A93" s="26" t="s">
        <v>304</v>
      </c>
      <c r="B93" s="41">
        <f>IFERROR(VLOOKUP($B$91,Dados!$A$474:$I$476,2,FALSE),0)</f>
        <v>0</v>
      </c>
      <c r="C93" s="41">
        <f>IFERROR(VLOOKUP($B$91,Dados!$A$474:$I$476,7,FALSE),0)</f>
        <v>0</v>
      </c>
      <c r="D93" s="41">
        <f>IFERROR(VLOOKUP($B$91,Dados!$A$474:$I$476,8,FALSE),0)</f>
        <v>0</v>
      </c>
      <c r="E93" s="41">
        <f>IFERROR(VLOOKUP($B$91,Dados!$A$474:$I$476,9,FALSE),0)</f>
        <v>0</v>
      </c>
      <c r="F93" s="41" t="str">
        <f>IFERROR(VLOOKUP($B$91,Dados!$A$474:$I$476,4,FALSE),"Permitida")</f>
        <v>Permitida</v>
      </c>
    </row>
    <row r="94" ht="36.75" customHeight="1">
      <c r="A94" s="14" t="s">
        <v>305</v>
      </c>
      <c r="B94" s="14" t="s">
        <v>306</v>
      </c>
      <c r="C94" s="14" t="s">
        <v>307</v>
      </c>
      <c r="D94" s="14" t="s">
        <v>63</v>
      </c>
      <c r="E94" s="14" t="s">
        <v>308</v>
      </c>
      <c r="F94" s="24"/>
      <c r="G94" s="24"/>
      <c r="H94" s="24"/>
      <c r="I94" s="24"/>
      <c r="J94" s="24"/>
      <c r="K94" s="14" t="s">
        <v>67</v>
      </c>
      <c r="L94" s="24"/>
    </row>
    <row r="95" ht="15.75" customHeight="1">
      <c r="A95" s="26" t="s">
        <v>309</v>
      </c>
      <c r="B95" s="41" t="str">
        <f>25+5*$B$36+3*$F$46+($A$14-1)*(5+$B$36+$F$46)</f>
        <v>#ERROR!</v>
      </c>
      <c r="C95" s="41">
        <f>$B$120</f>
        <v>0</v>
      </c>
      <c r="D95" s="27" t="str">
        <f>$B$95+$B$120</f>
        <v>#ERROR!</v>
      </c>
      <c r="E95" s="37" t="s">
        <v>311</v>
      </c>
      <c r="F95" s="2"/>
      <c r="G95" s="2"/>
      <c r="H95" s="2"/>
      <c r="I95" s="2"/>
      <c r="J95" s="3"/>
    </row>
    <row r="96" ht="15.75" customHeight="1">
      <c r="A96" s="40" t="s">
        <v>299</v>
      </c>
      <c r="B96" s="47" t="str">
        <f>10+$F$45+$B$93</f>
        <v>#ERROR!</v>
      </c>
      <c r="C96" s="47">
        <f>$B$121</f>
        <v>0</v>
      </c>
      <c r="D96" s="38" t="str">
        <f>$B$96+$B$121</f>
        <v>#ERROR!</v>
      </c>
      <c r="E96" s="56" t="s">
        <v>312</v>
      </c>
      <c r="F96" s="2"/>
      <c r="G96" s="2"/>
      <c r="H96" s="2"/>
      <c r="I96" s="2"/>
      <c r="J96" s="3"/>
      <c r="K96" s="49"/>
      <c r="L96" s="49"/>
    </row>
    <row r="97" ht="36.75" customHeight="1">
      <c r="A97" s="26" t="s">
        <v>313</v>
      </c>
      <c r="D97" s="72" t="str">
        <f>IF($F$93="Proibida","Proibida (Armadura Pesada)",$D$96+$C$14)</f>
        <v>#ERROR!</v>
      </c>
      <c r="E97" s="37" t="s">
        <v>314</v>
      </c>
      <c r="F97" s="2"/>
      <c r="G97" s="2"/>
      <c r="H97" s="2"/>
      <c r="I97" s="2"/>
      <c r="J97" s="3"/>
      <c r="K97" s="30" t="str">
        <f>IF($F$93="Proibida","Armadura Pesada não permite Esquiva","")</f>
        <v/>
      </c>
    </row>
    <row r="98" ht="15.75" customHeight="1">
      <c r="A98" s="40" t="s">
        <v>301</v>
      </c>
      <c r="B98" s="47">
        <f>$D$93</f>
        <v>0</v>
      </c>
      <c r="C98" s="47">
        <f>$B$122</f>
        <v>0</v>
      </c>
      <c r="D98" s="38">
        <f>MIN($H$14,$B$98+$B$122)</f>
        <v>0</v>
      </c>
      <c r="E98" s="56" t="str">
        <f>"Armadura + Bênçãos + equipamento, até o teto de RD ("&amp;$H$14&amp;") — 18.4"</f>
        <v>Armadura + Bênçãos + equipamento, até o teto de RD (6) — 18.4</v>
      </c>
      <c r="F98" s="2"/>
      <c r="G98" s="2"/>
      <c r="H98" s="2"/>
      <c r="I98" s="2"/>
      <c r="J98" s="3"/>
      <c r="K98" s="43" t="str">
        <f>IF($B$98+$B$122&gt;$H$14,"RD limitada ao teto ("&amp;$H$14&amp;")","")</f>
        <v/>
      </c>
      <c r="L98" s="3"/>
    </row>
    <row r="99" ht="15.75" customHeight="1">
      <c r="A99" s="26" t="s">
        <v>316</v>
      </c>
      <c r="B99" s="41" t="str">
        <f>10+$F$45+$B$37+$C$93</f>
        <v>#ERROR!</v>
      </c>
      <c r="C99" s="41">
        <f>$B$123</f>
        <v>0</v>
      </c>
      <c r="D99" s="27" t="str">
        <f>$B$99+$B$123</f>
        <v>#ERROR!</v>
      </c>
      <c r="E99" s="37" t="s">
        <v>321</v>
      </c>
      <c r="F99" s="2"/>
      <c r="G99" s="2"/>
      <c r="H99" s="2"/>
      <c r="I99" s="2"/>
      <c r="J99" s="3"/>
      <c r="K99" s="30" t="str">
        <f>IF(OR($D$99&lt;7,$D$99&gt;25),"Velocidade fora de 7 a 25 (19.1)","")</f>
        <v>#ERROR!</v>
      </c>
    </row>
    <row r="100" ht="15.75" customHeight="1"/>
    <row r="101" ht="15.75" customHeight="1">
      <c r="A101" s="5" t="s">
        <v>322</v>
      </c>
      <c r="B101" s="2"/>
      <c r="C101" s="2"/>
      <c r="D101" s="2"/>
      <c r="E101" s="2"/>
      <c r="F101" s="2"/>
      <c r="G101" s="2"/>
      <c r="H101" s="2"/>
      <c r="I101" s="2"/>
      <c r="J101" s="2"/>
      <c r="K101" s="2"/>
      <c r="L101" s="3"/>
    </row>
    <row r="102" ht="25.5" customHeight="1">
      <c r="A102" s="15" t="s">
        <v>323</v>
      </c>
      <c r="B102" s="37" t="str">
        <f>IF(LEN($B$125)=0,"Preencha a Habilidade 1 na aba Habilidades","OK: "&amp;$B$125)</f>
        <v>Preencha a Habilidade 1 na aba Habilidades</v>
      </c>
      <c r="C102" s="2"/>
      <c r="D102" s="2"/>
      <c r="E102" s="2"/>
      <c r="F102" s="2"/>
      <c r="G102" s="2"/>
      <c r="H102" s="2"/>
      <c r="I102" s="2"/>
      <c r="J102" s="3"/>
    </row>
    <row r="103" ht="15.75" customHeight="1">
      <c r="A103" s="15" t="s">
        <v>324</v>
      </c>
      <c r="B103" s="37" t="str">
        <f>IF(LEN($B$126)=0,"Preencha a Ultimate na aba Habilidades","OK: "&amp;$B$126)</f>
        <v>Preencha a Ultimate na aba Habilidades</v>
      </c>
      <c r="C103" s="2"/>
      <c r="D103" s="2"/>
      <c r="E103" s="2"/>
      <c r="F103" s="2"/>
      <c r="G103" s="2"/>
      <c r="H103" s="2"/>
      <c r="I103" s="2"/>
      <c r="J103" s="3"/>
    </row>
    <row r="104" ht="25.5" customHeight="1">
      <c r="A104" s="15" t="s">
        <v>325</v>
      </c>
      <c r="B104" s="37" t="str">
        <f>IF(LEN(Caminho!$C$27)=0,"Preencha a Bênção do nível 1 na aba Caminho","OK: "&amp;Caminho!$C$27)</f>
        <v>Preencha a Bênção do nível 1 na aba Caminho</v>
      </c>
      <c r="C104" s="2"/>
      <c r="D104" s="2"/>
      <c r="E104" s="2"/>
      <c r="F104" s="2"/>
      <c r="G104" s="2"/>
      <c r="H104" s="2"/>
      <c r="I104" s="2"/>
      <c r="J104" s="3"/>
    </row>
    <row r="105" ht="15.75" customHeight="1"/>
    <row r="106" ht="15.75" customHeight="1">
      <c r="A106" s="5" t="s">
        <v>326</v>
      </c>
      <c r="B106" s="2"/>
      <c r="C106" s="2"/>
      <c r="D106" s="2"/>
      <c r="E106" s="2"/>
      <c r="F106" s="2"/>
      <c r="G106" s="2"/>
      <c r="H106" s="2"/>
      <c r="I106" s="2"/>
      <c r="J106" s="2"/>
      <c r="K106" s="2"/>
      <c r="L106" s="3"/>
    </row>
    <row r="107" ht="15.75" customHeight="1">
      <c r="A107" s="15" t="s">
        <v>328</v>
      </c>
      <c r="B107" s="51"/>
      <c r="C107" s="29"/>
      <c r="D107" s="29"/>
      <c r="E107" s="29"/>
      <c r="F107" s="29"/>
      <c r="G107" s="29"/>
      <c r="H107" s="29"/>
      <c r="I107" s="29"/>
      <c r="J107" s="32"/>
    </row>
    <row r="108" ht="25.5" customHeight="1">
      <c r="A108" s="15" t="s">
        <v>329</v>
      </c>
      <c r="B108" s="34"/>
      <c r="C108" s="37" t="str">
        <f>IF($B$108="","",IFERROR(VLOOKUP($B$108,Dados!$A$457:$J$462,2,FALSE)&amp;" · alcance "&amp;VLOOKUP($B$108,Dados!$A$457:$J$462,5,FALSE)&amp;" · "&amp;VLOOKUP($B$108,Dados!$A$457:$J$462,6,FALSE)&amp;IF(VLOOKUP($B$108,Dados!$A$457:$J$462,10,FALSE)="Sim"," · duas mãos",""),""))</f>
        <v/>
      </c>
      <c r="D108" s="2"/>
      <c r="E108" s="2"/>
      <c r="F108" s="2"/>
      <c r="G108" s="2"/>
      <c r="H108" s="2"/>
      <c r="I108" s="2"/>
      <c r="J108" s="3"/>
      <c r="K108" s="30" t="str">
        <f>IF($B$108="","",IF(COUNTIF(Dados!$T$6:$T$11,$B$108)=0,"Categoria fora da lista do capítulo 24",""))</f>
        <v/>
      </c>
    </row>
    <row r="109" ht="25.5" customHeight="1">
      <c r="A109" s="15" t="s">
        <v>331</v>
      </c>
      <c r="B109" s="34"/>
      <c r="C109" s="19" t="s">
        <v>332</v>
      </c>
      <c r="D109" s="74" t="str">
        <f>IF($B$108="","",IF($B$108="Média",IF(OR($B$109="Poder",$B$109="Agilidade"),$B$109,"Poder"),IFERROR(VLOOKUP($B$108,Dados!$A$457:$J$462,6,FALSE),"")))</f>
        <v/>
      </c>
      <c r="E109" s="3"/>
      <c r="K109" s="30" t="str">
        <f>IF(AND($B$109&lt;&gt;"",$B$108&lt;&gt;"Média"),"O atributo só se escolhe na arma Média",IF(AND($B$108="Média",$B$109=""),"Arma Média: escolha Poder ou Agilidade (contando Poder)",""))</f>
        <v/>
      </c>
    </row>
    <row r="110" ht="36.75" customHeight="1">
      <c r="A110" s="15" t="s">
        <v>342</v>
      </c>
      <c r="B110" s="34"/>
      <c r="C110" s="19" t="s">
        <v>343</v>
      </c>
      <c r="D110" s="63" t="str">
        <f>IF($B$110="","Físico",$B$110)</f>
        <v>Físico</v>
      </c>
      <c r="E110" s="3"/>
      <c r="K110" s="30" t="str">
        <f>IF($B$110="","",IF(COUNTIF(Dados!$R$6:$R$12,$B$110)=0,"Elemento fora da lista do capítulo 20",""))</f>
        <v/>
      </c>
    </row>
    <row r="111" ht="30.0" customHeight="1">
      <c r="A111" s="15" t="s">
        <v>344</v>
      </c>
      <c r="B111" s="34"/>
      <c r="C111" s="7" t="str">
        <f>IF(OR($B$111="",$B$111="Nenhuma"),"",IFERROR(VLOOKUP($B$111,Dados!$A$466:$B$470,2,FALSE),""))</f>
        <v/>
      </c>
      <c r="D111" s="2"/>
      <c r="E111" s="2"/>
      <c r="F111" s="2"/>
      <c r="G111" s="2"/>
      <c r="H111" s="2"/>
      <c r="I111" s="2"/>
      <c r="J111" s="3"/>
      <c r="K111" s="30" t="str">
        <f>IF($B$111="","",IF(COUNTIF(Dados!$V$6:$V$11,$B$111)=0,"Só uma propriedade especial por arma (24.2): escolha uma da lista",""))</f>
        <v/>
      </c>
    </row>
    <row r="112" ht="15.75" customHeight="1">
      <c r="A112" s="15" t="s">
        <v>346</v>
      </c>
      <c r="B112" s="27">
        <f>IF($B$111="Dissimulada",0.5,IFERROR(VLOOKUP($B$108,Dados!$A$457:$J$462,8,FALSE),0))</f>
        <v>0</v>
      </c>
    </row>
    <row r="113" ht="15.75" customHeight="1">
      <c r="A113" s="15" t="s">
        <v>347</v>
      </c>
      <c r="B113" s="51"/>
      <c r="C113" s="29"/>
      <c r="D113" s="29"/>
      <c r="E113" s="29"/>
      <c r="F113" s="29"/>
      <c r="G113" s="29"/>
      <c r="H113" s="29"/>
      <c r="I113" s="29"/>
      <c r="J113" s="32"/>
    </row>
    <row r="114" ht="36.75" customHeight="1">
      <c r="A114" s="15" t="s">
        <v>348</v>
      </c>
      <c r="B114" s="51"/>
      <c r="C114" s="29"/>
      <c r="D114" s="29"/>
      <c r="E114" s="29"/>
      <c r="F114" s="29"/>
      <c r="G114" s="29"/>
      <c r="H114" s="29"/>
      <c r="I114" s="29"/>
      <c r="J114" s="32"/>
    </row>
    <row r="115" ht="15.75" customHeight="1">
      <c r="A115" s="15" t="s">
        <v>350</v>
      </c>
      <c r="B115" s="37" t="s">
        <v>351</v>
      </c>
      <c r="C115" s="2"/>
      <c r="D115" s="2"/>
      <c r="E115" s="2"/>
      <c r="F115" s="2"/>
      <c r="G115" s="2"/>
      <c r="H115" s="2"/>
      <c r="I115" s="2"/>
      <c r="J115" s="3"/>
    </row>
    <row r="116" ht="36.75" customHeight="1">
      <c r="A116" s="15" t="s">
        <v>352</v>
      </c>
      <c r="B116" s="51"/>
      <c r="C116" s="29"/>
      <c r="D116" s="29"/>
      <c r="E116" s="29"/>
      <c r="F116" s="29"/>
      <c r="G116" s="29"/>
      <c r="H116" s="29"/>
      <c r="I116" s="29"/>
      <c r="J116" s="32"/>
    </row>
    <row r="117" ht="25.5" customHeight="1">
      <c r="A117" s="15" t="s">
        <v>353</v>
      </c>
      <c r="B117" s="51"/>
      <c r="C117" s="29"/>
      <c r="D117" s="29"/>
      <c r="E117" s="29"/>
      <c r="F117" s="29"/>
      <c r="G117" s="29"/>
      <c r="H117" s="29"/>
      <c r="I117" s="29"/>
      <c r="J117" s="32"/>
    </row>
    <row r="118" ht="15.75" customHeight="1"/>
    <row r="119" ht="15.75" customHeight="1">
      <c r="A119" s="5" t="s">
        <v>354</v>
      </c>
      <c r="B119" s="2"/>
      <c r="C119" s="2"/>
      <c r="D119" s="2"/>
      <c r="E119" s="2"/>
      <c r="F119" s="2"/>
      <c r="G119" s="2"/>
      <c r="H119" s="2"/>
      <c r="I119" s="2"/>
      <c r="J119" s="2"/>
      <c r="K119" s="2"/>
      <c r="L119" s="3"/>
    </row>
    <row r="120" ht="36.75" customHeight="1">
      <c r="A120" s="15" t="s">
        <v>355</v>
      </c>
      <c r="B120" s="41">
        <f>Equipamento!$G$36+Equipamento!$A$31+IF((COUNTIF(Caminho!$I$27:$I$36,"Corpo Imortal")&gt;0),2*$A$14,0)+IF(AND((COUNTIF(Caminho!$I$27:$I$36,"Avatar da Recordação")&gt;0),Caminho!$B$96="Sincronizada"),2*$A$14,0)</f>
        <v>0</v>
      </c>
    </row>
    <row r="121" ht="36.75" customHeight="1">
      <c r="A121" s="15" t="s">
        <v>356</v>
      </c>
      <c r="B121" s="41">
        <f>Equipamento!$G$38+Equipamento!$B$31+IF(AND((COUNTIF(Caminho!$I$27:$I$36,"Avatar da Recordação")&gt;0),Caminho!$B$96="Sincronizada"),1,0)</f>
        <v>0</v>
      </c>
    </row>
    <row r="122" ht="36.75" customHeight="1">
      <c r="A122" s="15" t="s">
        <v>357</v>
      </c>
      <c r="B122" s="41">
        <f>Equipamento!$G$31+Equipamento!$E$48+IF((COUNTIF(Caminho!$I$27:$I$36,"Pele de Pedra")&gt;0),2,0)+IF((COUNTIF(Caminho!$I$27:$I$36,"Corpo Imortal")&gt;0),$C$14,0)</f>
        <v>0</v>
      </c>
    </row>
    <row r="123" ht="48.0" customHeight="1">
      <c r="A123" s="15" t="s">
        <v>360</v>
      </c>
      <c r="B123" s="41">
        <f>Equipamento!$G$39+Equipamento!$C$31+Equipamento!$C$48+IF('Progressão'!$R$67="+1 de Velocidade",1,0)+IF((COUNTIF(Caminho!$I$27:$I$36,"Avatar da Caça")&gt;0),2,0)</f>
        <v>0</v>
      </c>
    </row>
    <row r="124" ht="36.75" customHeight="1">
      <c r="A124" s="15" t="s">
        <v>362</v>
      </c>
      <c r="B124" s="41" t="str">
        <f>Equipamento!$H$31+'Em Jogo'!$Q$14</f>
        <v>#ERROR!</v>
      </c>
    </row>
    <row r="125" ht="25.5" customHeight="1">
      <c r="A125" s="15" t="s">
        <v>363</v>
      </c>
      <c r="B125" s="37" t="str">
        <f>IF(LEN(Habilidades!$B$12)=0,"",""&amp;Habilidades!$B$12)</f>
        <v/>
      </c>
      <c r="C125" s="2"/>
      <c r="D125" s="2"/>
      <c r="E125" s="2"/>
      <c r="F125" s="3"/>
    </row>
    <row r="126" ht="25.5" customHeight="1">
      <c r="A126" s="15" t="s">
        <v>366</v>
      </c>
      <c r="B126" s="37" t="str">
        <f>IF(LEN(Habilidades!$C$54)=0,"",""&amp;Habilidades!$C$54)</f>
        <v/>
      </c>
      <c r="C126" s="2"/>
      <c r="D126" s="2"/>
      <c r="E126" s="2"/>
      <c r="F126" s="3"/>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9">
    <mergeCell ref="A1:L1"/>
    <mergeCell ref="C2:D2"/>
    <mergeCell ref="E2:F2"/>
    <mergeCell ref="J2:K2"/>
    <mergeCell ref="A3:L3"/>
    <mergeCell ref="A5:L5"/>
    <mergeCell ref="B6:J6"/>
    <mergeCell ref="B7:J7"/>
    <mergeCell ref="C8:J8"/>
    <mergeCell ref="K8:L8"/>
    <mergeCell ref="C9:J9"/>
    <mergeCell ref="K9:L9"/>
    <mergeCell ref="K10:L10"/>
    <mergeCell ref="A12:L12"/>
    <mergeCell ref="C10:J10"/>
    <mergeCell ref="C17:D17"/>
    <mergeCell ref="A19:L19"/>
    <mergeCell ref="B20:J20"/>
    <mergeCell ref="B21:J21"/>
    <mergeCell ref="B22:J22"/>
    <mergeCell ref="K22:L22"/>
    <mergeCell ref="A24:L24"/>
    <mergeCell ref="C25:J25"/>
    <mergeCell ref="K25:L25"/>
    <mergeCell ref="C26:J26"/>
    <mergeCell ref="K26:L26"/>
    <mergeCell ref="K27:L27"/>
    <mergeCell ref="K28:L28"/>
    <mergeCell ref="C27:J27"/>
    <mergeCell ref="B29:J29"/>
    <mergeCell ref="B30:J30"/>
    <mergeCell ref="A32:L32"/>
    <mergeCell ref="C33:J33"/>
    <mergeCell ref="K33:L33"/>
    <mergeCell ref="B35:J35"/>
    <mergeCell ref="B34:D34"/>
    <mergeCell ref="B38:C38"/>
    <mergeCell ref="D38:E38"/>
    <mergeCell ref="F38:G38"/>
    <mergeCell ref="B39:J39"/>
    <mergeCell ref="B40:J40"/>
    <mergeCell ref="A42:L42"/>
    <mergeCell ref="K43:L43"/>
    <mergeCell ref="K44:L44"/>
    <mergeCell ref="K45:L45"/>
    <mergeCell ref="K46:L46"/>
    <mergeCell ref="K47:L47"/>
    <mergeCell ref="K48:L48"/>
    <mergeCell ref="K49:L49"/>
    <mergeCell ref="K51:L51"/>
    <mergeCell ref="E97:J97"/>
    <mergeCell ref="E98:J98"/>
    <mergeCell ref="K98:L98"/>
    <mergeCell ref="E99:J99"/>
    <mergeCell ref="K99:L99"/>
    <mergeCell ref="A101:L101"/>
    <mergeCell ref="B102:J102"/>
    <mergeCell ref="B103:J103"/>
    <mergeCell ref="B104:J104"/>
    <mergeCell ref="A106:L106"/>
    <mergeCell ref="B107:J107"/>
    <mergeCell ref="C108:J108"/>
    <mergeCell ref="K108:L108"/>
    <mergeCell ref="K109:L109"/>
    <mergeCell ref="B50:J50"/>
    <mergeCell ref="K50:L50"/>
    <mergeCell ref="A53:L53"/>
    <mergeCell ref="D54:E54"/>
    <mergeCell ref="K54:L54"/>
    <mergeCell ref="D57:J57"/>
    <mergeCell ref="A59:L59"/>
    <mergeCell ref="C60:J60"/>
    <mergeCell ref="K60:L60"/>
    <mergeCell ref="B61:D61"/>
    <mergeCell ref="A64:L64"/>
    <mergeCell ref="D65:E65"/>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A90:L90"/>
    <mergeCell ref="C91:J91"/>
    <mergeCell ref="K91:L91"/>
    <mergeCell ref="E94:J94"/>
    <mergeCell ref="K94:L94"/>
    <mergeCell ref="E95:J95"/>
    <mergeCell ref="E96:J96"/>
    <mergeCell ref="K97:L97"/>
    <mergeCell ref="B115:J115"/>
    <mergeCell ref="B116:J116"/>
    <mergeCell ref="B117:J117"/>
    <mergeCell ref="A119:L119"/>
    <mergeCell ref="B125:F125"/>
    <mergeCell ref="B126:F126"/>
    <mergeCell ref="D109:E109"/>
    <mergeCell ref="D110:E110"/>
    <mergeCell ref="K110:L110"/>
    <mergeCell ref="C111:J111"/>
    <mergeCell ref="K111:L111"/>
    <mergeCell ref="B113:J113"/>
    <mergeCell ref="B114:J114"/>
  </mergeCells>
  <conditionalFormatting sqref="K8">
    <cfRule type="expression" dxfId="0" priority="1">
      <formula>LEN(K8)&gt;0</formula>
    </cfRule>
  </conditionalFormatting>
  <conditionalFormatting sqref="K9">
    <cfRule type="expression" dxfId="0" priority="2">
      <formula>LEN(K9)&gt;0</formula>
    </cfRule>
  </conditionalFormatting>
  <conditionalFormatting sqref="K10">
    <cfRule type="expression" dxfId="0" priority="3">
      <formula>LEN(K10)&gt;0</formula>
    </cfRule>
  </conditionalFormatting>
  <conditionalFormatting sqref="K22">
    <cfRule type="expression" dxfId="0" priority="4">
      <formula>LEN(K22)&gt;0</formula>
    </cfRule>
  </conditionalFormatting>
  <conditionalFormatting sqref="K25">
    <cfRule type="expression" dxfId="0" priority="5">
      <formula>LEN(K25)&gt;0</formula>
    </cfRule>
  </conditionalFormatting>
  <conditionalFormatting sqref="K26">
    <cfRule type="expression" dxfId="0" priority="6">
      <formula>LEN(K26)&gt;0</formula>
    </cfRule>
  </conditionalFormatting>
  <conditionalFormatting sqref="K27">
    <cfRule type="expression" dxfId="0" priority="7">
      <formula>LEN(K27)&gt;0</formula>
    </cfRule>
  </conditionalFormatting>
  <conditionalFormatting sqref="K28">
    <cfRule type="expression" dxfId="0" priority="8">
      <formula>LEN(K28)&gt;0</formula>
    </cfRule>
  </conditionalFormatting>
  <conditionalFormatting sqref="K33">
    <cfRule type="expression" dxfId="0" priority="9">
      <formula>LEN(K33)&gt;0</formula>
    </cfRule>
  </conditionalFormatting>
  <conditionalFormatting sqref="K44">
    <cfRule type="expression" dxfId="0" priority="10">
      <formula>LEN(K44)&gt;0</formula>
    </cfRule>
  </conditionalFormatting>
  <conditionalFormatting sqref="K45">
    <cfRule type="expression" dxfId="0" priority="11">
      <formula>LEN(K45)&gt;0</formula>
    </cfRule>
  </conditionalFormatting>
  <conditionalFormatting sqref="K46">
    <cfRule type="expression" dxfId="0" priority="12">
      <formula>LEN(K46)&gt;0</formula>
    </cfRule>
  </conditionalFormatting>
  <conditionalFormatting sqref="K47">
    <cfRule type="expression" dxfId="0" priority="13">
      <formula>LEN(K47)&gt;0</formula>
    </cfRule>
  </conditionalFormatting>
  <conditionalFormatting sqref="K48">
    <cfRule type="expression" dxfId="0" priority="14">
      <formula>LEN(K48)&gt;0</formula>
    </cfRule>
  </conditionalFormatting>
  <conditionalFormatting sqref="K49">
    <cfRule type="expression" dxfId="0" priority="15">
      <formula>LEN(K49)&gt;0</formula>
    </cfRule>
  </conditionalFormatting>
  <conditionalFormatting sqref="K50">
    <cfRule type="expression" dxfId="0" priority="16">
      <formula>LEN(K50)&gt;0</formula>
    </cfRule>
  </conditionalFormatting>
  <conditionalFormatting sqref="K51">
    <cfRule type="expression" dxfId="0" priority="17">
      <formula>LEN(K51)&gt;0</formula>
    </cfRule>
  </conditionalFormatting>
  <conditionalFormatting sqref="K54">
    <cfRule type="expression" dxfId="0" priority="18">
      <formula>LEN(K54)&gt;0</formula>
    </cfRule>
  </conditionalFormatting>
  <conditionalFormatting sqref="K60">
    <cfRule type="expression" dxfId="0" priority="19">
      <formula>LEN(K60)&gt;0</formula>
    </cfRule>
  </conditionalFormatting>
  <conditionalFormatting sqref="K69">
    <cfRule type="expression" dxfId="0" priority="20">
      <formula>LEN(K69)&gt;0</formula>
    </cfRule>
  </conditionalFormatting>
  <conditionalFormatting sqref="K70">
    <cfRule type="expression" dxfId="0" priority="21">
      <formula>LEN(K70)&gt;0</formula>
    </cfRule>
  </conditionalFormatting>
  <conditionalFormatting sqref="K71">
    <cfRule type="expression" dxfId="0" priority="22">
      <formula>LEN(K71)&gt;0</formula>
    </cfRule>
  </conditionalFormatting>
  <conditionalFormatting sqref="K72">
    <cfRule type="expression" dxfId="0" priority="23">
      <formula>LEN(K72)&gt;0</formula>
    </cfRule>
  </conditionalFormatting>
  <conditionalFormatting sqref="K73">
    <cfRule type="expression" dxfId="0" priority="24">
      <formula>LEN(K73)&gt;0</formula>
    </cfRule>
  </conditionalFormatting>
  <conditionalFormatting sqref="K75">
    <cfRule type="expression" dxfId="0" priority="25">
      <formula>LEN(K75)&gt;0</formula>
    </cfRule>
  </conditionalFormatting>
  <conditionalFormatting sqref="K76">
    <cfRule type="expression" dxfId="0" priority="26">
      <formula>LEN(K76)&gt;0</formula>
    </cfRule>
  </conditionalFormatting>
  <conditionalFormatting sqref="K77">
    <cfRule type="expression" dxfId="0" priority="27">
      <formula>LEN(K77)&gt;0</formula>
    </cfRule>
  </conditionalFormatting>
  <conditionalFormatting sqref="K78">
    <cfRule type="expression" dxfId="0" priority="28">
      <formula>LEN(K78)&gt;0</formula>
    </cfRule>
  </conditionalFormatting>
  <conditionalFormatting sqref="K79">
    <cfRule type="expression" dxfId="0" priority="29">
      <formula>LEN(K79)&gt;0</formula>
    </cfRule>
  </conditionalFormatting>
  <conditionalFormatting sqref="K80">
    <cfRule type="expression" dxfId="0" priority="30">
      <formula>LEN(K80)&gt;0</formula>
    </cfRule>
  </conditionalFormatting>
  <conditionalFormatting sqref="K81">
    <cfRule type="expression" dxfId="0" priority="31">
      <formula>LEN(K81)&gt;0</formula>
    </cfRule>
  </conditionalFormatting>
  <conditionalFormatting sqref="K82">
    <cfRule type="expression" dxfId="0" priority="32">
      <formula>LEN(K82)&gt;0</formula>
    </cfRule>
  </conditionalFormatting>
  <conditionalFormatting sqref="K84">
    <cfRule type="expression" dxfId="0" priority="33">
      <formula>LEN(K84)&gt;0</formula>
    </cfRule>
  </conditionalFormatting>
  <conditionalFormatting sqref="K85">
    <cfRule type="expression" dxfId="0" priority="34">
      <formula>LEN(K85)&gt;0</formula>
    </cfRule>
  </conditionalFormatting>
  <conditionalFormatting sqref="K86">
    <cfRule type="expression" dxfId="0" priority="35">
      <formula>LEN(K86)&gt;0</formula>
    </cfRule>
  </conditionalFormatting>
  <conditionalFormatting sqref="K87">
    <cfRule type="expression" dxfId="0" priority="36">
      <formula>LEN(K87)&gt;0</formula>
    </cfRule>
  </conditionalFormatting>
  <conditionalFormatting sqref="K88">
    <cfRule type="expression" dxfId="0" priority="37">
      <formula>LEN(K88)&gt;0</formula>
    </cfRule>
  </conditionalFormatting>
  <conditionalFormatting sqref="K67">
    <cfRule type="expression" dxfId="0" priority="38">
      <formula>LEN(K67)&gt;0</formula>
    </cfRule>
  </conditionalFormatting>
  <conditionalFormatting sqref="K91">
    <cfRule type="expression" dxfId="0" priority="39">
      <formula>LEN(K91)&gt;0</formula>
    </cfRule>
  </conditionalFormatting>
  <conditionalFormatting sqref="K97">
    <cfRule type="expression" dxfId="0" priority="40">
      <formula>LEN(K97)&gt;0</formula>
    </cfRule>
  </conditionalFormatting>
  <conditionalFormatting sqref="K98">
    <cfRule type="expression" dxfId="0" priority="41">
      <formula>LEN(K98)&gt;0</formula>
    </cfRule>
  </conditionalFormatting>
  <conditionalFormatting sqref="K99">
    <cfRule type="expression" dxfId="0" priority="42">
      <formula>LEN(K99)&gt;0</formula>
    </cfRule>
  </conditionalFormatting>
  <conditionalFormatting sqref="K108">
    <cfRule type="expression" dxfId="0" priority="43">
      <formula>LEN(K108)&gt;0</formula>
    </cfRule>
  </conditionalFormatting>
  <conditionalFormatting sqref="K109">
    <cfRule type="expression" dxfId="0" priority="44">
      <formula>LEN(K109)&gt;0</formula>
    </cfRule>
  </conditionalFormatting>
  <conditionalFormatting sqref="K110">
    <cfRule type="expression" dxfId="0" priority="45">
      <formula>LEN(K110)&gt;0</formula>
    </cfRule>
  </conditionalFormatting>
  <conditionalFormatting sqref="K111">
    <cfRule type="expression" dxfId="0" priority="46">
      <formula>LEN(K111)&gt;0</formula>
    </cfRule>
  </conditionalFormatting>
  <dataValidations>
    <dataValidation type="list" allowBlank="1" showInputMessage="1" prompt="Fora da lista - Mecânica: escolha um valor da lista. A ficha pode não reconhecer outro valor." sqref="D78">
      <formula1>Dados!$AG$6:$AG$7</formula1>
    </dataValidation>
    <dataValidation type="list" allowBlank="1" showInputMessage="1" prompt="Fora da lista - Elemento da arma: escolha um valor da lista. A ficha pode não reconhecer outro valor." sqref="B110">
      <formula1>Dados!$R$6:$R$12</formula1>
    </dataValidation>
    <dataValidation type="list" allowBlank="1" showInputMessage="1" prompt="Fora da lista - Acrobacia: escolha um valor da lista. A ficha pode não reconhecer outro valor." sqref="D70">
      <formula1>Dados!$AG$6:$AG$7</formula1>
    </dataValidation>
    <dataValidation type="list" allowBlank="1" showInputMessage="1" prompt="Fora da lista - Persuasão: escolha um valor da lista. A ficha pode não reconhecer outro valor." sqref="D84">
      <formula1>Dados!$AG$6:$AG$7</formula1>
    </dataValidation>
    <dataValidation type="decimal" allowBlank="1" showInputMessage="1" prompt="Valor fora da faixa - Discernimento: use um número inteiro de 8 a 15." sqref="B48">
      <formula1>8.0</formula1>
      <formula2>15.0</formula2>
    </dataValidation>
    <dataValidation type="decimal" allowBlank="1" showInputMessage="1" prompt="Valor fora da faixa - Nível: use um número inteiro de 1 a 20." sqref="B8">
      <formula1>1.0</formula1>
      <formula2>20.0</formula2>
    </dataValidation>
    <dataValidation type="list" allowBlank="1" showInputMessage="1" prompt="Fora da lista - Atributo da arma: escolha um valor da lista. A ficha pode não reconhecer outro valor." sqref="B109">
      <formula1>Dados!$U$6:$U$7</formula1>
    </dataValidation>
    <dataValidation type="list" allowBlank="1" showInputMessage="1" prompt="Fora da lista - Ciência: escolha um valor da lista. A ficha pode não reconhecer outro valor." sqref="D77">
      <formula1>Dados!$AG$6:$AG$7</formula1>
    </dataValidation>
    <dataValidation type="list" allowBlank="1" showInputMessage="1" prompt="Fora da lista - Liderança: escolha um valor da lista. A ficha pode não reconhecer outro valor." sqref="D87">
      <formula1>Dados!$AG$6:$AG$7</formula1>
    </dataValidation>
    <dataValidation type="list" allowBlank="1" showInputMessage="1" prompt="Fora da lista - Pilotagem: escolha um valor da lista. A ficha pode não reconhecer outro valor." sqref="D72">
      <formula1>Dados!$AG$6:$AG$7</formula1>
    </dataValidation>
    <dataValidation type="list" allowBlank="1" showInputMessage="1" prompt="Fora da lista - Propriedade especial: escolha um valor da lista. A ficha pode não reconhecer outro valor." sqref="B111">
      <formula1>Dados!$V$6:$V$11</formula1>
    </dataValidation>
    <dataValidation type="list" allowBlank="1" showInputMessage="1" prompt="Fora da lista - Caminho: escolha um valor da lista. A ficha pode não reconhecer outro valor." sqref="B33">
      <formula1>Dados!$P$6:$P$14</formula1>
    </dataValidation>
    <dataValidation type="list" allowBlank="1" showInputMessage="1" prompt="Fora da lista - Categoria da arma: escolha um valor da lista. A ficha pode não reconhecer outro valor." sqref="B108">
      <formula1>Dados!$T$6:$T$11</formula1>
    </dataValidation>
    <dataValidation type="list" allowBlank="1" showInputMessage="1" prompt="Fora da lista - Pesquisa: escolha um valor da lista. A ficha pode não reconhecer outro valor." sqref="D76">
      <formula1>Dados!$AG$6:$AG$7</formula1>
    </dataValidation>
    <dataValidation type="decimal" allowBlank="1" showInputMessage="1" prompt="Valor fora da faixa - Nº de jogadores: use um número inteiro de 1 a 6." sqref="B9">
      <formula1>1.0</formula1>
      <formula2>6.0</formula2>
    </dataValidation>
    <dataValidation type="decimal" allowBlank="1" showInputMessage="1" prompt="Valor fora da faixa - Sincronia: use um número inteiro de 8 a 15." sqref="B47">
      <formula1>8.0</formula1>
      <formula2>15.0</formula2>
    </dataValidation>
    <dataValidation type="list" allowBlank="1" showInputMessage="1" prompt="Fora da lista - Sobrevivência: escolha um valor da lista. A ficha pode não reconhecer outro valor." sqref="D80">
      <formula1>Dados!$AG$6:$AG$7</formula1>
    </dataValidation>
    <dataValidation type="decimal" allowBlank="1" showInputMessage="1" prompt="Valor fora da faixa - Vigor: use um número inteiro de 8 a 15." sqref="B46">
      <formula1>8.0</formula1>
      <formula2>15.0</formula2>
    </dataValidation>
    <dataValidation type="list" allowBlank="1" showInputMessage="1" prompt="Fora da lista - Investigação: escolha um valor da lista. A ficha pode não reconhecer outro valor." sqref="D82">
      <formula1>Dados!$AG$6:$AG$7</formula1>
    </dataValidation>
    <dataValidation type="list" allowBlank="1" showInputMessage="1" prompt="Fora da lista - Atributo 2: escolha um valor da lista. A ficha pode não reconhecer outro valor." sqref="B28">
      <formula1>Dados!$Q$6:$Q$11</formula1>
    </dataValidation>
    <dataValidation type="list" allowBlank="1" showInputMessage="1" prompt="Fora da lista - Sintonia: escolha um valor da lista. A ficha pode não reconhecer outro valor." sqref="B65">
      <formula1>Dados!$AL$6:$AL$7</formula1>
    </dataValidation>
    <dataValidation type="list" allowBlank="1" showInputMessage="1" prompt="Fora da lista - Atletismo: escolha um valor da lista. A ficha pode não reconhecer outro valor." sqref="D69">
      <formula1>Dados!$AG$6:$AG$7</formula1>
    </dataValidation>
    <dataValidation type="list" allowBlank="1" showInputMessage="1" prompt="Fora da lista - Raça: escolha um valor da lista. A ficha pode não reconhecer outro valor." sqref="B25">
      <formula1>Dados!$O$6:$O$12</formula1>
    </dataValidation>
    <dataValidation type="list" allowBlank="1" showInputMessage="1" prompt="Fora da lista - Enganação: escolha um valor da lista. A ficha pode não reconhecer outro valor." sqref="D86">
      <formula1>Dados!$AG$6:$AG$7</formula1>
    </dataValidation>
    <dataValidation type="list" allowBlank="1" showInputMessage="1" prompt="Fora da lista - Armadura: escolha um valor da lista. A ficha pode não reconhecer outro valor." sqref="B91">
      <formula1>Dados!$S$6:$S$8</formula1>
    </dataValidation>
    <dataValidation type="list" allowBlank="1" showInputMessage="1" prompt="Fora da lista - Sintonia: escolha um valor da lista. A ficha pode não reconhecer outro valor." sqref="D88">
      <formula1>Dados!$AG$6:$AG$7</formula1>
    </dataValidation>
    <dataValidation type="list" allowBlank="1" showInputMessage="1" prompt="Fora da lista - Intimidação: escolha um valor da lista. A ficha pode não reconhecer outro valor." sqref="D85">
      <formula1>Dados!$AG$6:$AG$7</formula1>
    </dataValidation>
    <dataValidation type="list" allowBlank="1" showInputMessage="1" prompt="Fora da lista - Elemento: escolha um valor da lista. A ficha pode não reconhecer outro valor." sqref="B60">
      <formula1>Dados!$R$6:$R$12</formula1>
    </dataValidation>
    <dataValidation type="decimal" allowBlank="1" showInputMessage="1" prompt="Valor fora da faixa - Agilidade: use um número inteiro de 8 a 15." sqref="B45">
      <formula1>8.0</formula1>
      <formula2>15.0</formula2>
    </dataValidation>
    <dataValidation type="decimal" allowBlank="1" showInputMessage="1" prompt="Valor fora da faixa - Presença: use um número inteiro de 8 a 15." sqref="B49">
      <formula1>8.0</formula1>
      <formula2>15.0</formula2>
    </dataValidation>
    <dataValidation type="list" allowBlank="1" showInputMessage="1" prompt="Fora da lista - Tecnologia: escolha um valor da lista. A ficha pode não reconhecer outro valor." sqref="D75">
      <formula1>Dados!$AG$6:$AG$7</formula1>
    </dataValidation>
    <dataValidation type="list" allowBlank="1" showInputMessage="1" prompt="Fora da lista - Intuição: escolha um valor da lista. A ficha pode não reconhecer outro valor." sqref="D81">
      <formula1>Dados!$AG$6:$AG$7</formula1>
    </dataValidation>
    <dataValidation type="list" allowBlank="1" showInputMessage="1" prompt="Fora da lista - Resistência: escolha um valor da lista. A ficha pode não reconhecer outro valor." sqref="D73">
      <formula1>Dados!$AG$6:$AG$7</formula1>
    </dataValidation>
    <dataValidation type="list" allowBlank="1" showInputMessage="1" prompt="Fora da lista - Bônus do Humano: escolha um valor da lista. A ficha pode não reconhecer outro valor." sqref="B26">
      <formula1>Dados!$AI$6:$AI$7</formula1>
    </dataValidation>
    <dataValidation type="list" allowBlank="1" showInputMessage="1" prompt="Fora da lista - Furtividade: escolha um valor da lista. A ficha pode não reconhecer outro valor." sqref="D71">
      <formula1>Dados!$AG$6:$AG$7</formula1>
    </dataValidation>
    <dataValidation type="list" allowBlank="1" showInputMessage="1" prompt="Fora da lista - Atributo de Habilidade: escolha um valor da lista. A ficha pode não reconhecer outro valor." sqref="B54">
      <formula1>$N$54:$N$55</formula1>
    </dataValidation>
    <dataValidation type="decimal" allowBlank="1" showInputMessage="1" prompt="Valor fora da faixa - Poder: use um número inteiro de 8 a 15." sqref="B44">
      <formula1>8.0</formula1>
      <formula2>15.0</formula2>
    </dataValidation>
    <dataValidation type="list" allowBlank="1" showInputMessage="1" prompt="Fora da lista - Método de atributos: escolha um valor da lista. A ficha pode não reconhecer outro valor." sqref="B10">
      <formula1>Dados!$AH$6:$AH$7</formula1>
    </dataValidation>
    <dataValidation type="list" allowBlank="1" showInputMessage="1" prompt="Fora da lista - Atributo do bônus racial: escolha um valor da lista. A ficha pode não reconhecer outro valor." sqref="B27">
      <formula1>$N$25:$N$30</formula1>
    </dataValidation>
    <dataValidation type="list" allowBlank="1" showInputMessage="1" prompt="Fora da lista - Percepção: escolha um valor da lista. A ficha pode não reconhecer outro valor." sqref="D79">
      <formula1>Dados!$AG$6:$AG$7</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9.38"/>
    <col customWidth="1" min="3" max="3" width="12.88"/>
    <col customWidth="1" min="4" max="4" width="14.38"/>
    <col customWidth="1" min="5" max="6" width="12.25"/>
    <col customWidth="1" min="7" max="7" width="21.63"/>
    <col customWidth="1" min="8" max="8" width="18.5"/>
    <col customWidth="1" min="9" max="10" width="14.38"/>
    <col customWidth="1" min="11" max="11" width="17.38"/>
    <col customWidth="1" min="12" max="12" width="8.5"/>
    <col customWidth="1" min="13" max="13" width="2.0"/>
    <col customWidth="1" min="14" max="14" width="150.0"/>
    <col customWidth="1" hidden="1" min="15" max="15" width="2.0"/>
    <col customWidth="1" hidden="1" min="16" max="16" width="48.0"/>
    <col customWidth="1" hidden="1" min="17" max="17" width="10.0"/>
    <col customWidth="1" hidden="1" min="18" max="18" width="2.0"/>
    <col customWidth="1" hidden="1" min="19" max="19" width="34.0"/>
    <col customWidth="1" hidden="1" min="20" max="20" width="30.0"/>
    <col customWidth="1" hidden="1" min="21" max="22" width="6.0"/>
    <col customWidth="1" hidden="1" min="23" max="23" width="16.0"/>
    <col customWidth="1" hidden="1" min="24" max="25" width="6.0"/>
    <col customWidth="1" hidden="1" min="26" max="26" width="12.0"/>
    <col customWidth="1" hidden="1" min="27" max="27" width="30.0"/>
    <col customWidth="1" hidden="1" min="28" max="30" width="13.0"/>
  </cols>
  <sheetData>
    <row r="1" ht="14.25" customHeight="1">
      <c r="A1" s="5" t="s">
        <v>4</v>
      </c>
      <c r="B1" s="2"/>
      <c r="C1" s="2"/>
      <c r="D1" s="3"/>
      <c r="E1" s="5" t="s">
        <v>6</v>
      </c>
      <c r="F1" s="2"/>
      <c r="G1" s="2"/>
      <c r="H1" s="3"/>
      <c r="I1" s="5" t="s">
        <v>7</v>
      </c>
      <c r="J1" s="2"/>
      <c r="K1" s="2"/>
      <c r="L1" s="3"/>
      <c r="N1" s="4" t="s">
        <v>8</v>
      </c>
      <c r="P1" s="4" t="s">
        <v>9</v>
      </c>
      <c r="S1" s="4" t="s">
        <v>10</v>
      </c>
      <c r="T1" s="4" t="s">
        <v>11</v>
      </c>
      <c r="U1" s="4" t="s">
        <v>12</v>
      </c>
      <c r="V1" s="4" t="s">
        <v>14</v>
      </c>
      <c r="W1" s="4" t="s">
        <v>15</v>
      </c>
      <c r="AC1" s="4" t="s">
        <v>16</v>
      </c>
    </row>
    <row r="2" ht="14.25" customHeight="1">
      <c r="A2" s="8" t="s">
        <v>17</v>
      </c>
      <c r="B2" s="12" t="str">
        <f>IF(LEN('Criação'!$B$6)=0,"(sem nome)",""&amp;'Criação'!$B$6)</f>
        <v>BF "Blake Foster"</v>
      </c>
      <c r="C2" s="2"/>
      <c r="D2" s="3"/>
      <c r="E2" s="20" t="s">
        <v>20</v>
      </c>
      <c r="F2" s="22"/>
      <c r="G2" s="12" t="str">
        <f>"de "&amp;'Criação'!$D$95&amp;IF($Q$3="Sim"," · Morrendo"," · vazio = cheio")</f>
        <v>#ERROR!</v>
      </c>
      <c r="H2" s="3"/>
      <c r="I2" s="20" t="s">
        <v>37</v>
      </c>
      <c r="J2" s="22"/>
      <c r="K2" s="20" t="s">
        <v>39</v>
      </c>
      <c r="N2" s="30" t="str">
        <f>IF(LEN($F$2)=0,"",IF(ISNUMBER($F$2),IF($F$2&gt;'Criação'!$D$95,"PV atual acima do máximo ("&amp;'Criação'!$D$95&amp;"). ","")&amp;IF($F$2&lt;0,"PV não fica abaixo de 0 (23.4). ",""),"PV atual precisa ser um número."))</f>
        <v/>
      </c>
      <c r="P2" s="33" t="s">
        <v>46</v>
      </c>
      <c r="Q2" s="35" t="str">
        <f>IF(ISNUMBER($F$2),MAX(0,INT($F$2)),'Criação'!$D$95)</f>
        <v>#ERROR!</v>
      </c>
      <c r="S2" s="35" t="str">
        <f>"Descanso Curto"</f>
        <v>Descanso Curto</v>
      </c>
      <c r="T2" s="35" t="str">
        <f>"2/dia"</f>
        <v>2/dia</v>
      </c>
      <c r="U2" s="35">
        <f t="shared" ref="U2:U3" si="1">1</f>
        <v>1</v>
      </c>
      <c r="V2" s="35">
        <f>IF(U2=1,0+1,0)</f>
        <v>1</v>
      </c>
      <c r="W2" s="35" t="s">
        <v>50</v>
      </c>
      <c r="X2" s="35" t="str">
        <f>0+IF('Criação'!$E$69="Sim",1,0)</f>
        <v>#ERROR!</v>
      </c>
      <c r="Y2" s="35" t="str">
        <f>IF('Criação'!$E$69="Sim",X2,0)</f>
        <v>#ERROR!</v>
      </c>
      <c r="Z2" s="35" t="str">
        <f>Testes!$I$16</f>
        <v>#ERROR!</v>
      </c>
      <c r="AA2" s="35" t="str">
        <f>IF(LEN(Testes!$J$16)&gt;0,"Vantagem","")</f>
        <v/>
      </c>
      <c r="AB2" s="35" t="str">
        <f t="array" ref="AB2">IFERROR(INDEX($AA$2:$AA$19,MATCH(1,$Y$2:$Y$19,0)),"")</f>
        <v/>
      </c>
      <c r="AC2" s="35" t="str">
        <f t="array" ref="AC2">IFERROR(INDEX($T$2:$T$16,MATCH(1,$V$2:$V$16,0)),"")</f>
        <v>2/dia</v>
      </c>
      <c r="AD2" s="35" t="str">
        <f>IF($A$37="","",IF($A$37="Sangramento",IF(ISNUMBER($D$37),MIN(INT('Criação'!$D$95*5/100),3*IF(ISNUMBER($D$37),$D$37,0))&amp;" por turno","5% PV, teto 3×Ef"),IF($A$37="Queimadura","2d6+"&amp;IF(ISNUMBER($D$37),IF(ISNUMBER($D$37),$D$37,0),"Ef"),IF(OR($A$37="Choque",$A$37="Aprisionamento"),"1d6+"&amp;IF(ISNUMBER($D$37),IF(ISNUMBER($D$37),$D$37,0),"Ef"),IF(OR($A$37="Cisalhamento de Vento",$A$37="Embaraço"),"1d6 por acúmulo",IF($A$37="Surpreso","casa pulada no 1º Ciclo","—"))))))</f>
        <v/>
      </c>
    </row>
    <row r="3" ht="14.25" customHeight="1">
      <c r="A3" s="8" t="s">
        <v>81</v>
      </c>
      <c r="B3" s="12" t="str">
        <f>IF('Criação'!$B$25="","Raça?",'Criação'!$B$25)&amp;" · "&amp;IF('Criação'!$B$33="","Caminho?",'Criação'!$B$33)&amp;" · nível "&amp;'Criação'!$A$14</f>
        <v>Humano · Caminho? · nível 1</v>
      </c>
      <c r="C3" s="2"/>
      <c r="D3" s="3"/>
      <c r="E3" s="20" t="s">
        <v>83</v>
      </c>
      <c r="F3" s="22"/>
      <c r="G3" s="12" t="str">
        <f>"ou Barreira · teto "&amp;'Criação'!$I$14&amp;" · não acumulam"</f>
        <v>ou Barreira · teto 6 · não acumulam</v>
      </c>
      <c r="H3" s="3"/>
      <c r="I3" s="20" t="s">
        <v>84</v>
      </c>
      <c r="J3" s="22"/>
      <c r="K3" s="20" t="s">
        <v>85</v>
      </c>
      <c r="N3" s="30" t="str">
        <f>IF(LEN($F$3)=0,"",IF(ISNUMBER($F$3),IF($F$3&gt;'Criação'!$I$14,"PV temporários acima do teto ("&amp;'Criação'!$I$14&amp;", 23.3): conta o teto.",""),"PV temporários precisa ser um número."))</f>
        <v/>
      </c>
      <c r="P3" s="33" t="s">
        <v>86</v>
      </c>
      <c r="Q3" s="35" t="str">
        <f>IF($Q$2=0,"Sim","Não")</f>
        <v>#ERROR!</v>
      </c>
      <c r="S3" s="35" t="str">
        <f>"Técnica"</f>
        <v>Técnica</v>
      </c>
      <c r="T3" s="35" t="str">
        <f>"2/Desc. Longo"</f>
        <v>2/Desc. Longo</v>
      </c>
      <c r="U3" s="35">
        <f t="shared" si="1"/>
        <v>1</v>
      </c>
      <c r="V3" s="35">
        <f t="shared" ref="V3:V16" si="2">IF(U3=1,MAX($V$2:V2)+1,0)</f>
        <v>2</v>
      </c>
      <c r="W3" s="35" t="s">
        <v>100</v>
      </c>
      <c r="X3" s="35" t="str">
        <f>X2+IF('Criação'!$E$70="Sim",1,0)</f>
        <v>#ERROR!</v>
      </c>
      <c r="Y3" s="35" t="str">
        <f>IF('Criação'!$E$70="Sim",X3,0)</f>
        <v>#ERROR!</v>
      </c>
      <c r="Z3" s="35" t="str">
        <f>Testes!$I$17</f>
        <v>#ERROR!</v>
      </c>
      <c r="AA3" s="35" t="str">
        <f>IF(LEN(Testes!$J$17)&gt;0,"Vantagem","")</f>
        <v/>
      </c>
      <c r="AB3" s="35" t="str">
        <f t="array" ref="AB3">IFERROR(INDEX($AA$2:$AA$19,MATCH(2,$Y$2:$Y$19,0)),"")</f>
        <v/>
      </c>
      <c r="AC3" s="35" t="str">
        <f t="array" ref="AC3">IFERROR(INDEX($T$2:$T$16,MATCH(2,$V$2:$V$16,0)),"")</f>
        <v>2/Desc. Longo</v>
      </c>
      <c r="AD3" s="35" t="str">
        <f>IF($A$38="","",IF($A$38="Sangramento",IF(ISNUMBER($D$38),MIN(INT('Criação'!$D$95*5/100),3*IF(ISNUMBER($D$38),$D$38,0))&amp;" por turno","5% PV, teto 3×Ef"),IF($A$38="Queimadura","2d6+"&amp;IF(ISNUMBER($D$38),IF(ISNUMBER($D$38),$D$38,0),"Ef"),IF(OR($A$38="Choque",$A$38="Aprisionamento"),"1d6+"&amp;IF(ISNUMBER($D$38),IF(ISNUMBER($D$38),$D$38,0),"Ef"),IF(OR($A$38="Cisalhamento de Vento",$A$38="Embaraço"),"1d6 por acúmulo",IF($A$38="Surpreso","casa pulada no 1º Ciclo","—"))))))</f>
        <v/>
      </c>
    </row>
    <row r="4" ht="14.25" customHeight="1">
      <c r="A4" s="52" t="s">
        <v>106</v>
      </c>
      <c r="B4" s="12" t="str">
        <f>IF('Criação'!$B$60="","—",'Criação'!$B$60)&amp;" (Ataque Básico: "&amp;'Criação'!$D$110&amp;")"</f>
        <v>— (Ataque Básico: Físico)</v>
      </c>
      <c r="C4" s="2"/>
      <c r="D4" s="3"/>
      <c r="E4" s="20" t="s">
        <v>110</v>
      </c>
      <c r="F4" s="22"/>
      <c r="G4" s="12" t="str">
        <f>"0 a 100 · Ultimate pronta: "&amp;IF($Q$22="Sim","Sim","Não ("&amp;Habilidades!$G$61&amp;")")</f>
        <v>0 a 100 · Ultimate pronta: Não (100)</v>
      </c>
      <c r="H4" s="3"/>
      <c r="I4" s="20" t="s">
        <v>114</v>
      </c>
      <c r="J4" s="53">
        <f>IF($J$3="Sim",0,'Criação'!$D$98)</f>
        <v>0</v>
      </c>
      <c r="K4" s="54"/>
      <c r="L4" s="54"/>
      <c r="N4" s="30" t="str">
        <f>IF(LEN($F$4)=0,"",IF(ISNUMBER($F$4),IF($F$4&gt;100,"Energia acima de 100 é perdida (17.1).","")&amp;IF($F$4&lt;0,"Energia não fica abaixo de 0.",""),"Energia precisa ser um número."))</f>
        <v/>
      </c>
      <c r="P4" s="33" t="s">
        <v>115</v>
      </c>
      <c r="Q4" s="35">
        <f>IF(ISNUMBER($F$3),MAX(0,MIN('Criação'!$I$14,INT($F$3))),0)</f>
        <v>0</v>
      </c>
      <c r="S4" s="35" t="str">
        <f>"To na sua mente"</f>
        <v>To na sua mente</v>
      </c>
      <c r="T4" s="35" t="str">
        <f>"2/dia"</f>
        <v>2/dia</v>
      </c>
      <c r="U4" s="35">
        <f>IF('Criação'!$B$25="Haloviano",1,0)</f>
        <v>0</v>
      </c>
      <c r="V4" s="35">
        <f t="shared" si="2"/>
        <v>0</v>
      </c>
      <c r="W4" s="35" t="s">
        <v>116</v>
      </c>
      <c r="X4" s="35" t="str">
        <f>X3+IF('Criação'!$E$71="Sim",1,0)</f>
        <v>#ERROR!</v>
      </c>
      <c r="Y4" s="35" t="str">
        <f>IF('Criação'!$E$71="Sim",X4,0)</f>
        <v>#ERROR!</v>
      </c>
      <c r="Z4" s="35" t="str">
        <f>Testes!$I$18</f>
        <v>#ERROR!</v>
      </c>
      <c r="AA4" s="35" t="str">
        <f>IF(LEN(Testes!$J$18)&gt;0,"Vantagem","")</f>
        <v/>
      </c>
      <c r="AB4" s="35" t="str">
        <f t="array" ref="AB4">IFERROR(INDEX($AA$2:$AA$19,MATCH(3,$Y$2:$Y$19,0)),"")</f>
        <v/>
      </c>
      <c r="AC4" s="35" t="str">
        <f t="array" ref="AC4">IFERROR(INDEX($T$2:$T$16,MATCH(3,$V$2:$V$16,0)),"")</f>
        <v/>
      </c>
      <c r="AD4" s="35" t="str">
        <f>IF($A$39="","",IF($A$39="Sangramento",IF(ISNUMBER($D$39),MIN(INT('Criação'!$D$95*5/100),3*IF(ISNUMBER($D$39),$D$39,0))&amp;" por turno","5% PV, teto 3×Ef"),IF($A$39="Queimadura","2d6+"&amp;IF(ISNUMBER($D$39),IF(ISNUMBER($D$39),$D$39,0),"Ef"),IF(OR($A$39="Choque",$A$39="Aprisionamento"),"1d6+"&amp;IF(ISNUMBER($D$39),IF(ISNUMBER($D$39),$D$39,0),"Ef"),IF(OR($A$39="Cisalhamento de Vento",$A$39="Embaraço"),"1d6 por acúmulo",IF($A$39="Surpreso","casa pulada no 1º Ciclo","—"))))))</f>
        <v/>
      </c>
    </row>
    <row r="5" ht="14.25" customHeight="1">
      <c r="A5" s="52" t="s">
        <v>123</v>
      </c>
      <c r="B5" s="12" t="str">
        <f>$Q$2&amp;" / "&amp;'Criação'!$D$95&amp;IF($Q$4&gt;0," (+"&amp;$Q$4&amp;" temporários)","")&amp;IF($Q$3="Sim"," · Morrendo","")</f>
        <v>#ERROR!</v>
      </c>
      <c r="C5" s="2"/>
      <c r="D5" s="3"/>
      <c r="E5" s="20" t="s">
        <v>124</v>
      </c>
      <c r="F5" s="22"/>
      <c r="G5" s="12" t="str">
        <f>"máx "&amp;'Criação'!$E$16&amp;" · início "&amp;'Criação'!$F$16&amp;" · +"&amp;'Criação'!$G$16&amp;" por acerto"</f>
        <v>máx 5 · início 3 · +1 por acerto</v>
      </c>
      <c r="H5" s="3"/>
      <c r="I5" s="20" t="s">
        <v>127</v>
      </c>
      <c r="J5" s="53">
        <f>IF(ISNUMBER($J$2),IF($J$2&lt;=0,0,MAX(1,$J$2-$J$4)),0)</f>
        <v>0</v>
      </c>
      <c r="K5" s="20" t="s">
        <v>129</v>
      </c>
      <c r="N5" s="30" t="str">
        <f>IF(LEN($F$5)=0,"",IF(ISNUMBER($F$5),IF($F$5&gt;'Criação'!$E$16,"PH acima do máximo do grupo ("&amp;'Criação'!$E$16&amp;", 16.2).",""),"PH precisa ser um número."))</f>
        <v/>
      </c>
      <c r="P5" s="33" t="s">
        <v>136</v>
      </c>
      <c r="Q5" s="35">
        <f>IF(ISNUMBER($F$4),MAX(0,MIN(100,INT($F$4))),0)</f>
        <v>0</v>
      </c>
      <c r="S5" s="35" t="str">
        <f>"Efeito do Cone de Luz"</f>
        <v>Efeito do Cone de Luz</v>
      </c>
      <c r="T5" s="35" t="str">
        <f>IF(Equipamento!$P$28=1,"1/combate","1/Ciclo")</f>
        <v>1/Ciclo</v>
      </c>
      <c r="U5" s="35">
        <f>IF(Equipamento!$P$28&gt;0,1,0)</f>
        <v>0</v>
      </c>
      <c r="V5" s="35">
        <f t="shared" si="2"/>
        <v>0</v>
      </c>
      <c r="W5" s="35" t="s">
        <v>143</v>
      </c>
      <c r="X5" s="35" t="str">
        <f>X4+IF('Criação'!$E$72="Sim",1,0)</f>
        <v>#ERROR!</v>
      </c>
      <c r="Y5" s="35" t="str">
        <f>IF('Criação'!$E$72="Sim",X5,0)</f>
        <v>#ERROR!</v>
      </c>
      <c r="Z5" s="35" t="str">
        <f>Testes!$I$19</f>
        <v>#ERROR!</v>
      </c>
      <c r="AA5" s="35" t="str">
        <f>IF(LEN(Testes!$J$19)&gt;0,"Vantagem","")</f>
        <v/>
      </c>
      <c r="AB5" s="35" t="str">
        <f t="array" ref="AB5">IFERROR(INDEX($AA$2:$AA$19,MATCH(4,$Y$2:$Y$19,0)),"")</f>
        <v/>
      </c>
      <c r="AC5" s="35" t="str">
        <f t="array" ref="AC5">IFERROR(INDEX($T$2:$T$16,MATCH(4,$V$2:$V$16,0)),"")</f>
        <v/>
      </c>
      <c r="AD5" s="35" t="str">
        <f>IF($A$40="","",IF($A$40="Sangramento",IF(ISNUMBER($D$40),MIN(INT('Criação'!$D$95*5/100),3*IF(ISNUMBER($D$40),$D$40,0))&amp;" por turno","5% PV, teto 3×Ef"),IF($A$40="Queimadura","2d6+"&amp;IF(ISNUMBER($D$40),IF(ISNUMBER($D$40),$D$40,0),"Ef"),IF(OR($A$40="Choque",$A$40="Aprisionamento"),"1d6+"&amp;IF(ISNUMBER($D$40),IF(ISNUMBER($D$40),$D$40,0),"Ef"),IF(OR($A$40="Cisalhamento de Vento",$A$40="Embaraço"),"1d6 por acúmulo",IF($A$40="Surpreso","casa pulada no 1º Ciclo","—"))))))</f>
        <v/>
      </c>
    </row>
    <row r="6" ht="14.25" customHeight="1">
      <c r="A6" s="52" t="s">
        <v>163</v>
      </c>
      <c r="B6" s="12" t="str">
        <f>'Criação'!$D$96&amp;IF($Q$16&gt;'Criação'!$D$96," ("&amp;$Q$16&amp;" com temporários)","")&amp;" · Esquiva "&amp;IF(ISNUMBER('Criação'!$D$97),'Criação'!$D$97,"proibida")</f>
        <v>#ERROR!</v>
      </c>
      <c r="C6" s="2"/>
      <c r="D6" s="3"/>
      <c r="E6" s="20" t="s">
        <v>164</v>
      </c>
      <c r="F6" s="22"/>
      <c r="G6" s="12" t="str">
        <f>IF('Criação'!$B$25="Humano","máx 1 · volta no Descanso Longo","só para Humano")</f>
        <v>máx 1 · volta no Descanso Longo</v>
      </c>
      <c r="H6" s="3"/>
      <c r="I6" s="20" t="s">
        <v>166</v>
      </c>
      <c r="J6" s="53">
        <f>MIN($Q$4,$J$5)</f>
        <v>0</v>
      </c>
      <c r="K6" s="20" t="s">
        <v>168</v>
      </c>
      <c r="N6" s="30" t="str">
        <f>IF(LEN($F$6)=0,"",IF(ISNUMBER($F$6),IF('Criação'!$B$25&lt;&gt;"Humano","O Esforço é traço do Humano (05). ","")&amp;IF($F$6&gt;1,"Esforço máximo 1 (05).",""),"Esforço precisa ser um número."))</f>
        <v/>
      </c>
      <c r="P6" s="33" t="s">
        <v>170</v>
      </c>
      <c r="Q6" s="35" t="str">
        <f>IF(AND($F$7="Sim",'Criação'!$B$33="A Recordação"),"Sim","Não")</f>
        <v>Não</v>
      </c>
      <c r="S6" s="35" t="str">
        <f>"Corda de Ligação"</f>
        <v>Corda de Ligação</v>
      </c>
      <c r="T6" s="35" t="str">
        <f>"1/combate"</f>
        <v>1/combate</v>
      </c>
      <c r="U6" s="35">
        <f>IF(Equipamento!$G$41&gt;0,1,0)</f>
        <v>0</v>
      </c>
      <c r="V6" s="35">
        <f t="shared" si="2"/>
        <v>0</v>
      </c>
      <c r="W6" s="35" t="s">
        <v>172</v>
      </c>
      <c r="X6" s="35" t="str">
        <f>X5+IF('Criação'!$E$73="Sim",1,0)</f>
        <v>#ERROR!</v>
      </c>
      <c r="Y6" s="35" t="str">
        <f>IF('Criação'!$E$73="Sim",X6,0)</f>
        <v>#ERROR!</v>
      </c>
      <c r="Z6" s="35" t="str">
        <f>Testes!$I$20</f>
        <v>#ERROR!</v>
      </c>
      <c r="AA6" s="35" t="str">
        <f>IF(LEN(Testes!$J$20)&gt;0,"Vantagem","")</f>
        <v/>
      </c>
      <c r="AB6" s="35" t="str">
        <f t="array" ref="AB6">IFERROR(INDEX($AA$2:$AA$19,MATCH(5,$Y$2:$Y$19,0)),"")</f>
        <v/>
      </c>
      <c r="AC6" s="35" t="str">
        <f t="array" ref="AC6">IFERROR(INDEX($T$2:$T$16,MATCH(5,$V$2:$V$16,0)),"")</f>
        <v/>
      </c>
    </row>
    <row r="7" ht="14.25" customHeight="1">
      <c r="A7" s="52" t="s">
        <v>184</v>
      </c>
      <c r="B7" s="12" t="str">
        <f>"RD "&amp;'Criação'!$D$98&amp;" · VEL "&amp;'Criação'!$D$99</f>
        <v>#ERROR!</v>
      </c>
      <c r="C7" s="2"/>
      <c r="D7" s="3"/>
      <c r="E7" s="20" t="s">
        <v>185</v>
      </c>
      <c r="F7" s="22"/>
      <c r="G7" s="58" t="str">
        <f>IF('Criação'!$B$33="A Recordação","PV dele (máx "&amp;Caminho!$B$80&amp;")","só A Recordação")</f>
        <v>só A Recordação</v>
      </c>
      <c r="H7" s="22"/>
      <c r="I7" s="20" t="s">
        <v>186</v>
      </c>
      <c r="J7" s="53">
        <f>$J$5-$J$6</f>
        <v>0</v>
      </c>
      <c r="K7" s="54"/>
      <c r="L7" s="54"/>
      <c r="N7" s="30" t="str">
        <f>IF(AND(OR($F$7="Sim",LEN($H$7)&gt;0),'Criação'!$B$33&lt;&gt;"A Recordação"),"Memoespírito só na Recordação: não conta. ","")&amp;IF(LEN($H$7)=0,"",IF(ISNUMBER($H$7),IF(AND('Criação'!$B$33="A Recordação",$H$7&gt;Caminho!$B$80),"PV do Memoespírito acima do máximo ("&amp;Caminho!$B$80&amp;"). ",""),"PV do Memoespírito precisa ser um número."))</f>
        <v/>
      </c>
      <c r="P7" s="33" t="s">
        <v>187</v>
      </c>
      <c r="Q7" s="35">
        <f>IF($G$8="Fúria",MIN(2,IF(ISNUMBER($F$8),MAX(0,INT($F$8)),0)),0)</f>
        <v>0</v>
      </c>
      <c r="S7" s="35" t="str">
        <f>""&amp;Caminho!$I$27</f>
        <v/>
      </c>
      <c r="T7" s="35" t="str">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35">
        <f>IF(AND(LEN(Caminho!$I$27)&gt;0,LEN(Caminho!$H$27)&gt;0,Caminho!$H$27&lt;&gt;"Sem limite declarado"),1,0)</f>
        <v>0</v>
      </c>
      <c r="V7" s="35">
        <f t="shared" si="2"/>
        <v>0</v>
      </c>
      <c r="W7" s="35" t="s">
        <v>188</v>
      </c>
      <c r="X7" s="35" t="str">
        <f>X6+IF('Criação'!$E$75="Sim",1,0)</f>
        <v>#ERROR!</v>
      </c>
      <c r="Y7" s="35" t="str">
        <f>IF('Criação'!$E$75="Sim",X7,0)</f>
        <v>#ERROR!</v>
      </c>
      <c r="Z7" s="35" t="str">
        <f>Testes!$I$22</f>
        <v>#ERROR!</v>
      </c>
      <c r="AA7" s="35" t="str">
        <f>IF(LEN(Testes!$J$22)&gt;0,"Vantagem","")</f>
        <v/>
      </c>
      <c r="AB7" s="35" t="str">
        <f t="array" ref="AB7">IFERROR(INDEX($AA$2:$AA$19,MATCH(6,$Y$2:$Y$19,0)),"")</f>
        <v/>
      </c>
      <c r="AC7" s="35" t="str">
        <f t="array" ref="AC7">IFERROR(INDEX($T$2:$T$16,MATCH(6,$V$2:$V$16,0)),"")</f>
        <v/>
      </c>
    </row>
    <row r="8" ht="14.25" customHeight="1">
      <c r="A8" s="52" t="s">
        <v>190</v>
      </c>
      <c r="B8" s="12" t="str">
        <f>'Criação'!$B$56&amp;" · ataque de Habilidade "&amp;'Criação'!$C$57</f>
        <v>#ERROR!</v>
      </c>
      <c r="C8" s="2"/>
      <c r="D8" s="3"/>
      <c r="E8" s="20" t="s">
        <v>191</v>
      </c>
      <c r="F8" s="22"/>
      <c r="G8" s="58" t="str">
        <f>IF((COUNTIF(Caminho!$I$27:$I$36,"Sacrifício Desesperado")&gt;0),"Fúria",IF((COUNTIF(Caminho!$I$27:$I$36,"Florescimento da Alma")&gt;0),"Florescimento",IF((COUNTIF(Caminho!$I$27:$I$36,"Memória Devastadora")&gt;0),"Fragmentos de Memória",IF('Criação'!$B$33="A Erudição","Acúmulos de Cálculo","—"))))</f>
        <v>—</v>
      </c>
      <c r="H8" s="58" t="str">
        <f>IF($G$8="—","sem acúmulo","máx "&amp;IF($G$8="Fúria",2,IF($G$8="Acúmulos de Cálculo",IF((COUNTIF(Caminho!$I$27:$I$36,"Teto Rompido")&gt;0),7,5),IF($G$8="—",0,5))))</f>
        <v>sem acúmulo</v>
      </c>
      <c r="I8" s="20" t="s">
        <v>193</v>
      </c>
      <c r="J8" s="53" t="str">
        <f>MAX(0,$Q$2-$J$7)</f>
        <v>#ERROR!</v>
      </c>
      <c r="K8" s="12" t="str">
        <f>"PV novo: "&amp;$J$8&amp;" · temp. "&amp;($Q$4-$J$6)</f>
        <v>#ERROR!</v>
      </c>
      <c r="L8" s="3"/>
      <c r="N8" s="30" t="str">
        <f>IF(LEN($F$8)=0,"",IF(ISNUMBER($F$8),IF($G$8="—","Nenhuma Bênção sua tem acúmulo neste campo.",IF($F$8&gt;IF($G$8="Fúria",2,IF($G$8="Acúmulos de Cálculo",IF((COUNTIF(Caminho!$I$27:$I$36,"Teto Rompido")&gt;0),7,5),IF($G$8="—",0,5))),"Máximo "&amp;IF($G$8="Fúria",2,IF($G$8="Acúmulos de Cálculo",IF((COUNTIF(Caminho!$I$27:$I$36,"Teto Rompido")&gt;0),7,5),IF($G$8="—",0,5)))&amp;" acúmulos de "&amp;$G$8&amp;".","")),"Acúmulos precisa ser um número."))</f>
        <v/>
      </c>
      <c r="P8" s="33" t="s">
        <v>195</v>
      </c>
      <c r="Q8" s="35">
        <f>IF($G$8="Florescimento",MIN(5,IF(ISNUMBER($F$8),MAX(0,INT($F$8)),0)),0)</f>
        <v>0</v>
      </c>
      <c r="S8" s="35" t="str">
        <f>""&amp;Caminho!$I$28</f>
        <v/>
      </c>
      <c r="T8" s="35" t="str">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35">
        <f>IF(AND(LEN(Caminho!$I$28)&gt;0,LEN(Caminho!$H$28)&gt;0,Caminho!$H$28&lt;&gt;"Sem limite declarado"),1,0)</f>
        <v>0</v>
      </c>
      <c r="V8" s="35">
        <f t="shared" si="2"/>
        <v>0</v>
      </c>
      <c r="W8" s="35" t="s">
        <v>194</v>
      </c>
      <c r="X8" s="35" t="str">
        <f>X7+IF('Criação'!$E$76="Sim",1,0)</f>
        <v>#ERROR!</v>
      </c>
      <c r="Y8" s="35" t="str">
        <f>IF('Criação'!$E$76="Sim",X8,0)</f>
        <v>#ERROR!</v>
      </c>
      <c r="Z8" s="35" t="str">
        <f>Testes!$I$23</f>
        <v>#ERROR!</v>
      </c>
      <c r="AA8" s="35" t="str">
        <f>IF(LEN(Testes!$J$23)&gt;0,"Vantagem","")</f>
        <v/>
      </c>
      <c r="AB8" s="35" t="str">
        <f t="array" ref="AB8">IFERROR(INDEX($AA$2:$AA$19,MATCH(7,$Y$2:$Y$19,0)),"")</f>
        <v/>
      </c>
      <c r="AC8" s="35" t="str">
        <f t="array" ref="AC8">IFERROR(INDEX($T$2:$T$16,MATCH(7,$V$2:$V$16,0)),"")</f>
        <v/>
      </c>
    </row>
    <row r="9" ht="14.25" customHeight="1">
      <c r="A9" s="52" t="s">
        <v>205</v>
      </c>
      <c r="B9" s="12" t="str">
        <f>IF('Criação'!$B$108="","Habilidades "&amp;'Criação'!$C$57,"Ataque Básico "&amp;Equipamento!$B$13&amp;" · "&amp;Equipamento!$C$13&amp;" (média "&amp;Equipamento!$D$13&amp;")")</f>
        <v>#ERROR!</v>
      </c>
      <c r="C9" s="2"/>
      <c r="D9" s="3"/>
      <c r="E9" s="20" t="s">
        <v>206</v>
      </c>
      <c r="F9" s="22"/>
      <c r="G9" s="58" t="str">
        <f>IF((COUNTIF(Caminho!$I$27:$I$36,"Cicatriz da Destruição")&gt;0),"Marcas da Ruína","—")</f>
        <v>—</v>
      </c>
      <c r="H9" s="58" t="str">
        <f>IF($G$9="—","sem acúmulo","máx 5")</f>
        <v>sem acúmulo</v>
      </c>
      <c r="I9" s="12" t="str">
        <f>IF($J$5=0,"Preencha o dano para ver o resultado",IF($Q$3="Sim","Já Morrendo: 1 falha (2 se crítico ou Nível 5+)",IF($J$8=0,"Cai a 0 PV: fica Morrendo (23.4)","Continua de pé")))</f>
        <v>Preencha o dano para ver o resultado</v>
      </c>
      <c r="J9" s="2"/>
      <c r="K9" s="2"/>
      <c r="L9" s="3"/>
      <c r="N9" s="30" t="str">
        <f>IF(LEN($F$9)=0,"",IF(ISNUMBER($F$9),IF($G$9="—","Nenhuma Bênção sua tem acúmulo neste campo.",IF($F$9&gt;5,"Máximo 5 Marcas da Ruína.","")),"Acúmulos precisa ser um número."))</f>
        <v/>
      </c>
      <c r="P9" s="33" t="s">
        <v>225</v>
      </c>
      <c r="Q9" s="35">
        <f>IF($G$8="Fragmentos de Memória",MIN(5,IF(ISNUMBER($F$8),MAX(0,INT($F$8)),0)),0)</f>
        <v>0</v>
      </c>
      <c r="S9" s="35" t="str">
        <f>""&amp;Caminho!$I$29</f>
        <v/>
      </c>
      <c r="T9" s="35" t="str">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35">
        <f>IF(AND(LEN(Caminho!$I$29)&gt;0,LEN(Caminho!$H$29)&gt;0,Caminho!$H$29&lt;&gt;"Sem limite declarado"),1,0)</f>
        <v>0</v>
      </c>
      <c r="V9" s="35">
        <f t="shared" si="2"/>
        <v>0</v>
      </c>
      <c r="W9" s="35" t="s">
        <v>200</v>
      </c>
      <c r="X9" s="35" t="str">
        <f>X8+IF('Criação'!$E$77="Sim",1,0)</f>
        <v>#ERROR!</v>
      </c>
      <c r="Y9" s="35" t="str">
        <f>IF('Criação'!$E$77="Sim",X9,0)</f>
        <v>#ERROR!</v>
      </c>
      <c r="Z9" s="35" t="str">
        <f>Testes!$I$24</f>
        <v>#ERROR!</v>
      </c>
      <c r="AA9" s="35" t="str">
        <f>IF(LEN(Testes!$J$24)&gt;0,"Vantagem","")</f>
        <v/>
      </c>
      <c r="AB9" s="35" t="str">
        <f t="array" ref="AB9">IFERROR(INDEX($AA$2:$AA$19,MATCH(8,$Y$2:$Y$19,0)),"")</f>
        <v/>
      </c>
      <c r="AC9" s="35" t="str">
        <f t="array" ref="AC9">IFERROR(INDEX($T$2:$T$16,MATCH(8,$V$2:$V$16,0)),"")</f>
        <v/>
      </c>
    </row>
    <row r="10" ht="14.25" customHeight="1">
      <c r="A10" s="52" t="s">
        <v>228</v>
      </c>
      <c r="B10" s="12" t="str">
        <f>IF('Criação'!$B$25="Humano","Esforço (máximo 1 ponto)",IF('Criação'!$B$25="Intellitron","Tecnologia, Mecânica, descobrir Fraqueza",IF('Criação'!$B$25="Avginiano","Resistência e Percepção Mental, Força de Vontade",IF('Criação'!$B$25="Vulpes","Perícias de Presença e Força de Vontade",IF('Criação'!$B$25="Vidyadhara","Resistência Física contra água, frio e afogamento",IF('Criação'!$B$25="Xianzhouíta","todo Teste de Resistência, inclusive Morrendo","—"))))))</f>
        <v>Esforço (máximo 1 ponto)</v>
      </c>
      <c r="C10" s="2"/>
      <c r="D10" s="3"/>
      <c r="E10" s="12" t="str">
        <f>IF('Criação'!$B$33="","Recurso do Caminho: escolha o Caminho",IF('Criação'!$B$33="A Destruição","PV como moeda: "&amp;(2*'Criação'!$A$14)&amp;" PV por ativação",IF('Criação'!$B$33="A Preservação","Barreira: teto "&amp;$Q$17,IF('Criação'!$B$33="A Erudição","Acúmulos de Cálculo: máx "&amp;IF((COUNTIF(Caminho!$I$27:$I$36,"Teto Rompido")&gt;0),7,5),IF('Criação'!$B$33="A Caça","Marcação de Presa: 1 alvo · crítico "&amp;IF((COUNTIF(Caminho!$I$27:$I$36,"Olho de Lan")&gt;0),"19-20","20"),IF('Criação'!$B$33="A Euforia","Tabela do Riso: 1d6 (aba Caminho)",IF('Criação'!$B$33="A Recordação","Memoespírito: ficha na aba Caminho",IF('Criação'!$B$33="A Inexistência","Recurso: acúmulos de Marca do Vazio e Corrupção",IF('Criação'!$B$33="A Harmonia","Recurso: acúmulos de Eco da Vitória (máx 3)",IF('Criação'!$B$33="A Abundância","Recurso: acúmulos de Florescimento (máx 5)","Recurso do Caminho: escolha um Caminho da lista"))))))))))</f>
        <v>Recurso do Caminho: escolha o Caminho</v>
      </c>
      <c r="F10" s="2"/>
      <c r="G10" s="2"/>
      <c r="H10" s="3"/>
      <c r="I10" s="20" t="s">
        <v>230</v>
      </c>
      <c r="J10" s="22"/>
      <c r="K10" s="12" t="str">
        <f>"PV depois: "&amp;IF(ISNUMBER($J$10),MIN('Criação'!$D$95,$Q$2+MAX(0,$J$10)),$Q$2)</f>
        <v>#ERROR!</v>
      </c>
      <c r="L10" s="3"/>
      <c r="N10" s="30" t="str">
        <f>IF(LEN($J$2)=0,"",IF(ISNUMBER($J$2),IF($J$2&lt;0,"Dano não é negativo: use a cura.",""),"Dano recebido precisa ser um número."))</f>
        <v/>
      </c>
      <c r="P10" s="33" t="s">
        <v>231</v>
      </c>
      <c r="Q10" s="35">
        <f>IF($G$8="Acúmulos de Cálculo",MIN(IF((COUNTIF(Caminho!$I$27:$I$36,"Teto Rompido")&gt;0),7,5),IF(ISNUMBER($F$8),MAX(0,INT($F$8)),0)),0)</f>
        <v>0</v>
      </c>
      <c r="S10" s="35" t="str">
        <f>""&amp;Caminho!$I$30</f>
        <v/>
      </c>
      <c r="T10" s="35" t="str">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35">
        <f>IF(AND(LEN(Caminho!$I$30)&gt;0,LEN(Caminho!$H$30)&gt;0,Caminho!$H$30&lt;&gt;"Sem limite declarado"),1,0)</f>
        <v>0</v>
      </c>
      <c r="V10" s="35">
        <f t="shared" si="2"/>
        <v>0</v>
      </c>
      <c r="W10" s="35" t="s">
        <v>208</v>
      </c>
      <c r="X10" s="35" t="str">
        <f>X9+IF('Criação'!$E$78="Sim",1,0)</f>
        <v>#ERROR!</v>
      </c>
      <c r="Y10" s="35" t="str">
        <f>IF('Criação'!$E$78="Sim",X10,0)</f>
        <v>#ERROR!</v>
      </c>
      <c r="Z10" s="35" t="str">
        <f>Testes!$I$25</f>
        <v>#ERROR!</v>
      </c>
      <c r="AA10" s="35" t="str">
        <f>IF(LEN(Testes!$J$25)&gt;0,"Vantagem","")</f>
        <v/>
      </c>
      <c r="AB10" s="35" t="str">
        <f t="array" ref="AB10">IFERROR(INDEX($AA$2:$AA$19,MATCH(9,$Y$2:$Y$19,0)),"")</f>
        <v/>
      </c>
    </row>
    <row r="11" ht="14.25" customHeight="1">
      <c r="A11" s="52" t="s">
        <v>235</v>
      </c>
      <c r="B11" s="12" t="str">
        <f>IF($Q$24=0,"Nenhuma",$Q$25&amp;IF($Q$24&gt;1," + "&amp;($Q$24-1)&amp;" (linhas 37-40)",""))</f>
        <v>#ERROR!</v>
      </c>
      <c r="C11" s="2"/>
      <c r="D11" s="3"/>
      <c r="E11" s="12" t="str">
        <f>"Energia de equipamento: "&amp;IF(Equipamento!$G$41&gt;0,"Corda +"&amp;Equipamento!$G$41&amp;" ao entrar na Fila","sem Corda")&amp;IF(Equipamento!$P$28&gt;=3," · Cone +5 por Ciclo","")</f>
        <v>Energia de equipamento: sem Corda</v>
      </c>
      <c r="F11" s="2"/>
      <c r="G11" s="2"/>
      <c r="H11" s="3"/>
      <c r="I11" s="20" t="s">
        <v>238</v>
      </c>
      <c r="J11" s="53" t="str">
        <f>2*'Criação'!$A$14+'Criação'!$F$46</f>
        <v>#ERROR!</v>
      </c>
      <c r="K11" s="12" t="str">
        <f>"PV depois: "&amp;MIN('Criação'!$D$95,$Q$2+$J$11)</f>
        <v>#ERROR!</v>
      </c>
      <c r="L11" s="3"/>
      <c r="N11" s="30" t="str">
        <f>IF(AND(LEN($J$10)&gt;0,NOT(ISNUMBER($J$10))),"Cura precisa ser um número.","")</f>
        <v/>
      </c>
      <c r="P11" s="33" t="s">
        <v>240</v>
      </c>
      <c r="Q11" s="35">
        <f>IF($G$9="Marcas da Ruína",MIN(5,IF(ISNUMBER($F$9),MAX(0,INT($F$9)),0)),0)</f>
        <v>0</v>
      </c>
      <c r="S11" s="35" t="str">
        <f>""&amp;Caminho!$I$31</f>
        <v/>
      </c>
      <c r="T11" s="35" t="str">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35">
        <f>IF(AND(LEN(Caminho!$I$31)&gt;0,LEN(Caminho!$H$31)&gt;0,Caminho!$H$31&lt;&gt;"Sem limite declarado"),1,0)</f>
        <v>0</v>
      </c>
      <c r="V11" s="35">
        <f t="shared" si="2"/>
        <v>0</v>
      </c>
      <c r="W11" s="35" t="s">
        <v>227</v>
      </c>
      <c r="X11" s="35" t="str">
        <f>X10+IF('Criação'!$E$79="Sim",1,0)</f>
        <v>#ERROR!</v>
      </c>
      <c r="Y11" s="35" t="str">
        <f>IF('Criação'!$E$79="Sim",X11,0)</f>
        <v>#ERROR!</v>
      </c>
      <c r="Z11" s="35" t="str">
        <f>Testes!$I$26</f>
        <v>#ERROR!</v>
      </c>
      <c r="AA11" s="35" t="str">
        <f>IF(LEN(Testes!$J$26)&gt;0,"Vantagem","")</f>
        <v/>
      </c>
      <c r="AB11" s="35" t="str">
        <f t="array" ref="AB11">IFERROR(INDEX($AA$2:$AA$19,MATCH(10,$Y$2:$Y$19,0)),"")</f>
        <v/>
      </c>
    </row>
    <row r="12" ht="14.25" customHeight="1">
      <c r="A12" s="52" t="s">
        <v>245</v>
      </c>
      <c r="B12" s="12" t="str">
        <f>IF('Criação'!$B$25="Xianzhouíta","Não (Xianzhouíta, 23.5)",IF($Q$3="Sim","Sim: está Morrendo (23.5)","Só se estiver Morrendo (23.5)"))</f>
        <v>#ERROR!</v>
      </c>
      <c r="C12" s="2"/>
      <c r="D12" s="3"/>
      <c r="E12" s="12" t="str">
        <f>IF(Equipamento!$B$58="Não consegue se mover","Movimento: não se move (carga)",IF($Q$20=1,"Movimento: Lentidão, só Esforço Total move 1 passo","Movimento: 1 Distância por ação · Esforço Total: 2"))</f>
        <v>#ERROR!</v>
      </c>
      <c r="F12" s="2"/>
      <c r="G12" s="2"/>
      <c r="H12" s="3"/>
      <c r="I12" s="12" t="str">
        <f>"Descanso Longo: PV cheios, sem condições, Esforço de volta"</f>
        <v>Descanso Longo: PV cheios, sem condições, Esforço de volta</v>
      </c>
      <c r="J12" s="2"/>
      <c r="K12" s="2"/>
      <c r="L12" s="3"/>
      <c r="N12" s="30" t="str">
        <f>IF(OR(AND(LEN($D$33)&gt;0,NOT(ISNUMBER($D$33))),AND(LEN($F$33)&gt;0,NOT(ISNUMBER($F$33)))),"Sucessos e falhas precisam ser números de 0 a 3. ",IF(OR(IF(ISNUMBER($D$33),$D$33,0)&gt;3,IF(ISNUMBER($F$33),$F$33,0)&gt;3),"Sucessos e falhas vão de 0 a 3. ",""))&amp;IF(AND($Q$3="Não",IF(ISNUMBER($D$33),$D$33,0)+IF(ISNUMBER($F$33),$F$33,0)&gt;0),"Contador de Morrendo preenchido com PV acima de 0: a cura zera o contador (23.4).","")</f>
        <v>#ERROR!</v>
      </c>
      <c r="P12" s="33" t="s">
        <v>252</v>
      </c>
      <c r="Q12" s="35" t="str">
        <f>IF(AND((COUNTIF(Caminho!$I$27:$I$36,"Instinto de Sobrevivência")&gt;0),ISNUMBER($F$2),$Q$2*3&lt;='Criação'!$D$95),1,0)</f>
        <v>#ERROR!</v>
      </c>
      <c r="S12" s="35" t="str">
        <f>""&amp;Caminho!$I$32</f>
        <v/>
      </c>
      <c r="T12" s="35" t="str">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35">
        <f>IF(AND(LEN(Caminho!$I$32)&gt;0,LEN(Caminho!$H$32)&gt;0,Caminho!$H$32&lt;&gt;"Sem limite declarado"),1,0)</f>
        <v>0</v>
      </c>
      <c r="V12" s="35">
        <f t="shared" si="2"/>
        <v>0</v>
      </c>
      <c r="W12" s="35" t="s">
        <v>232</v>
      </c>
      <c r="X12" s="35" t="str">
        <f>X11+IF('Criação'!$E$80="Sim",1,0)</f>
        <v>#ERROR!</v>
      </c>
      <c r="Y12" s="35" t="str">
        <f>IF('Criação'!$E$80="Sim",X12,0)</f>
        <v>#ERROR!</v>
      </c>
      <c r="Z12" s="35" t="str">
        <f>Testes!$I$27</f>
        <v>#ERROR!</v>
      </c>
      <c r="AA12" s="35" t="str">
        <f>IF(LEN(Testes!$J$27)&gt;0,"Vantagem","")</f>
        <v/>
      </c>
    </row>
    <row r="13" ht="14.25" customHeight="1">
      <c r="A13" s="64" t="str">
        <f>IF((IF(LEN(N2)&gt;0,1,0)+IF(LEN(N3)&gt;0,1,0)+IF(LEN(N4)&gt;0,1,0)+IF(LEN(N5)&gt;0,1,0)+IF(LEN(N6)&gt;0,1,0)+IF(LEN(N7)&gt;0,1,0)+IF(LEN(N8)&gt;0,1,0)+IF(LEN(N9)&gt;0,1,0)+IF(LEN(N10)&gt;0,1,0)+IF(LEN(N11)&gt;0,1,0)+IF(LEN(N12)&gt;0,1,0)+IF(LEN(N13)&gt;0,1,0)+IF(LEN(N14)&gt;0,1,0)+IF(LEN(N15)&gt;0,1,0)+IF(LEN(N16)&gt;0,1,0)+IF(LEN(N17)&gt;0,1,0)+IF(LEN(N18)&gt;0,1,0)+IF(LEN(N19)&gt;0,1,0)+IF(LEN(N20)&gt;0,1,0))=0,"","Avisos ("&amp;(IF(LEN(N2)&gt;0,1,0)+IF(LEN(N3)&gt;0,1,0)+IF(LEN(N4)&gt;0,1,0)+IF(LEN(N5)&gt;0,1,0)+IF(LEN(N6)&gt;0,1,0)+IF(LEN(N7)&gt;0,1,0)+IF(LEN(N8)&gt;0,1,0)+IF(LEN(N9)&gt;0,1,0)+IF(LEN(N10)&gt;0,1,0)+IF(LEN(N11)&gt;0,1,0)+IF(LEN(N12)&gt;0,1,0)+IF(LEN(N13)&gt;0,1,0)+IF(LEN(N14)&gt;0,1,0)+IF(LEN(N15)&gt;0,1,0)+IF(LEN(N16)&gt;0,1,0)+IF(LEN(N17)&gt;0,1,0)+IF(LEN(N18)&gt;0,1,0)+IF(LEN(N19)&gt;0,1,0)+IF(LEN(N20)&gt;0,1,0))&amp;"): "&amp;IF(LEN(N2)&gt;0,N2,IF(LEN(N3)&gt;0,N3,IF(LEN(N4)&gt;0,N4,IF(LEN(N5)&gt;0,N5,IF(LEN(N6)&gt;0,N6,IF(LEN(N7)&gt;0,N7,IF(LEN(N8)&gt;0,N8,IF(LEN(N9)&gt;0,N9,IF(LEN(N10)&gt;0,N10,IF(LEN(N11)&gt;0,N11,IF(LEN(N12)&gt;0,N12,IF(LEN(N13)&gt;0,N13,IF(LEN(N14)&gt;0,N14,IF(LEN(N15)&gt;0,N15,IF(LEN(N16)&gt;0,N16,IF(LEN(N17)&gt;0,N17,IF(LEN(N18)&gt;0,N18,IF(LEN(N19)&gt;0,N19,IF(LEN(N20)&gt;0,N20,"")))))))))))))))))))&amp;IF((IF(LEN(N2)&gt;0,1,0)+IF(LEN(N3)&gt;0,1,0)+IF(LEN(N4)&gt;0,1,0)+IF(LEN(N5)&gt;0,1,0)+IF(LEN(N6)&gt;0,1,0)+IF(LEN(N7)&gt;0,1,0)+IF(LEN(N8)&gt;0,1,0)+IF(LEN(N9)&gt;0,1,0)+IF(LEN(N10)&gt;0,1,0)+IF(LEN(N11)&gt;0,1,0)+IF(LEN(N12)&gt;0,1,0)+IF(LEN(N13)&gt;0,1,0)+IF(LEN(N14)&gt;0,1,0)+IF(LEN(N15)&gt;0,1,0)+IF(LEN(N16)&gt;0,1,0)+IF(LEN(N17)&gt;0,1,0)+IF(LEN(N18)&gt;0,1,0)+IF(LEN(N19)&gt;0,1,0)+IF(LEN(N20)&gt;0,1,0))&gt;1," · os outros estão na coluna N",""))</f>
        <v>#ERROR!</v>
      </c>
      <c r="B13" s="2"/>
      <c r="C13" s="2"/>
      <c r="D13" s="2"/>
      <c r="E13" s="2"/>
      <c r="F13" s="2"/>
      <c r="G13" s="2"/>
      <c r="H13" s="2"/>
      <c r="I13" s="2"/>
      <c r="J13" s="2"/>
      <c r="K13" s="2"/>
      <c r="L13" s="3"/>
      <c r="N13" s="30" t="str">
        <f>IF($A$37="","",IF($A$37="Quebrado","Quebrado é só de inimigos (20.3).",IF($A$37="Morrendo","Morrendo liga sozinho com PV 0.",IF(COUNTIF(Dados!$Y$6:$Y$18,$A$37)=0,"Condição fora da lista de 21.5.",""))))</f>
        <v/>
      </c>
      <c r="P13" s="33" t="s">
        <v>266</v>
      </c>
      <c r="Q13" s="35" t="str">
        <f>2*$Q$12+IF(AND(($Q$6="Sim"),Caminho!$B$57="Catalisador"),1,0)+IF(AND(($Q$6="Sim"),COUNTIF(Caminho!$C$75:$C$77,"Fusão de Memórias")&gt;0),1,0)+IF(AND(($Q$6="Sim"),(COUNTIF(Caminho!$I$27:$I$36,"Memória Compartilhada")&gt;0)),1,0)+COUNTIF(Equipamento!$P$45:$P$47,"Teste de Ataque")</f>
        <v>#ERROR!</v>
      </c>
      <c r="S13" s="35" t="str">
        <f>""&amp;Caminho!$I$33</f>
        <v/>
      </c>
      <c r="T13" s="35" t="str">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35">
        <f>IF(AND(LEN(Caminho!$I$33)&gt;0,LEN(Caminho!$H$33)&gt;0,Caminho!$H$33&lt;&gt;"Sem limite declarado"),1,0)</f>
        <v>0</v>
      </c>
      <c r="V13" s="35">
        <f t="shared" si="2"/>
        <v>0</v>
      </c>
      <c r="W13" s="35" t="s">
        <v>241</v>
      </c>
      <c r="X13" s="35" t="str">
        <f>X12+IF('Criação'!$E$81="Sim",1,0)</f>
        <v>#ERROR!</v>
      </c>
      <c r="Y13" s="35" t="str">
        <f>IF('Criação'!$E$81="Sim",X13,0)</f>
        <v>#ERROR!</v>
      </c>
      <c r="Z13" s="35" t="str">
        <f>Testes!$I$28</f>
        <v>#ERROR!</v>
      </c>
      <c r="AA13" s="35" t="str">
        <f>IF(LEN(Testes!$J$28)&gt;0,"Vantagem","")</f>
        <v/>
      </c>
    </row>
    <row r="14" ht="14.25" customHeight="1">
      <c r="A14" s="5" t="s">
        <v>267</v>
      </c>
      <c r="B14" s="2"/>
      <c r="C14" s="2"/>
      <c r="D14" s="2"/>
      <c r="E14" s="2"/>
      <c r="F14" s="2"/>
      <c r="G14" s="2"/>
      <c r="H14" s="2"/>
      <c r="I14" s="2"/>
      <c r="J14" s="2"/>
      <c r="K14" s="2"/>
      <c r="L14" s="3"/>
      <c r="N14" s="30" t="str">
        <f>IF($A$38="","",IF($A$38="Quebrado","Quebrado é só de inimigos (20.3).",IF($A$38="Morrendo","Morrendo liga sozinho com PV 0.",IF(COUNTIF(Dados!$Y$6:$Y$18,$A$38)=0,"Condição fora da lista de 21.5.",""))))</f>
        <v/>
      </c>
      <c r="P14" s="33" t="s">
        <v>269</v>
      </c>
      <c r="Q14" s="35" t="str">
        <f>MIN('Criação'!$J$14,$Q$13)</f>
        <v>#ERROR!</v>
      </c>
      <c r="S14" s="35" t="str">
        <f>""&amp;Caminho!$I$34</f>
        <v/>
      </c>
      <c r="T14" s="35" t="str">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35">
        <f>IF(AND(LEN(Caminho!$I$34)&gt;0,LEN(Caminho!$H$34)&gt;0,Caminho!$H$34&lt;&gt;"Sem limite declarado"),1,0)</f>
        <v>0</v>
      </c>
      <c r="V14" s="35">
        <f t="shared" si="2"/>
        <v>0</v>
      </c>
      <c r="W14" s="35" t="s">
        <v>250</v>
      </c>
      <c r="X14" s="35" t="str">
        <f>X13+IF('Criação'!$E$82="Sim",1,0)</f>
        <v>#ERROR!</v>
      </c>
      <c r="Y14" s="35" t="str">
        <f>IF('Criação'!$E$82="Sim",X14,0)</f>
        <v>#ERROR!</v>
      </c>
      <c r="Z14" s="35" t="str">
        <f>Testes!$I$29</f>
        <v>#ERROR!</v>
      </c>
      <c r="AA14" s="35" t="str">
        <f>IF(LEN(Testes!$J$29)&gt;0,"Vantagem","")</f>
        <v/>
      </c>
    </row>
    <row r="15" ht="14.25" customHeight="1">
      <c r="A15" s="65" t="s">
        <v>270</v>
      </c>
      <c r="B15" s="24"/>
      <c r="C15" s="65" t="s">
        <v>271</v>
      </c>
      <c r="D15" s="65" t="s">
        <v>272</v>
      </c>
      <c r="E15" s="65" t="s">
        <v>273</v>
      </c>
      <c r="F15" s="65" t="s">
        <v>274</v>
      </c>
      <c r="G15" s="65" t="s">
        <v>107</v>
      </c>
      <c r="H15" s="65" t="s">
        <v>275</v>
      </c>
      <c r="I15" s="65" t="s">
        <v>276</v>
      </c>
      <c r="J15" s="65" t="s">
        <v>277</v>
      </c>
      <c r="K15" s="65" t="s">
        <v>278</v>
      </c>
      <c r="L15" s="24"/>
      <c r="N15" s="30" t="str">
        <f>IF($A$39="","",IF($A$39="Quebrado","Quebrado é só de inimigos (20.3).",IF($A$39="Morrendo","Morrendo liga sozinho com PV 0.",IF(COUNTIF(Dados!$Y$6:$Y$18,$A$39)=0,"Condição fora da lista de 21.5.",""))))</f>
        <v/>
      </c>
      <c r="P15" s="33" t="s">
        <v>279</v>
      </c>
      <c r="Q15" s="35">
        <f>$Q$8+IF(AND((COUNTIF(Caminho!$I$27:$I$36,"Fragmentos do Eu Perdido")&gt;0),($Q$6="Sim"),Caminho!$B$95="Guarda"),'Criação'!$C$14,0)</f>
        <v>0</v>
      </c>
      <c r="S15" s="35" t="str">
        <f>""&amp;Caminho!$I$35</f>
        <v/>
      </c>
      <c r="T15" s="35" t="str">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35">
        <f>IF(AND(LEN(Caminho!$I$35)&gt;0,LEN(Caminho!$H$35)&gt;0,Caminho!$H$35&lt;&gt;"Sem limite declarado"),1,0)</f>
        <v>0</v>
      </c>
      <c r="V15" s="35">
        <f t="shared" si="2"/>
        <v>0</v>
      </c>
      <c r="W15" s="35" t="s">
        <v>259</v>
      </c>
      <c r="X15" s="35" t="str">
        <f>X14+IF('Criação'!$E$84="Sim",1,0)</f>
        <v>#ERROR!</v>
      </c>
      <c r="Y15" s="35" t="str">
        <f>IF('Criação'!$E$84="Sim",X15,0)</f>
        <v>#ERROR!</v>
      </c>
      <c r="Z15" s="35" t="str">
        <f>Testes!$I$31</f>
        <v>#ERROR!</v>
      </c>
      <c r="AA15" s="35" t="str">
        <f>IF(LEN(Testes!$J$31)&gt;0,"Vantagem","")</f>
        <v/>
      </c>
    </row>
    <row r="16" ht="14.25" customHeight="1">
      <c r="A16" s="66" t="str">
        <f>IF('Criação'!$B$108="","Arma principal: —",IF(LEN('Criação'!$B$107)=0,"Arma "&amp;'Criação'!$B$108,""&amp;'Criação'!$B$107))</f>
        <v>Arma principal: —</v>
      </c>
      <c r="B16" s="67"/>
      <c r="C16" s="53" t="str">
        <f>Equipamento!$B$13</f>
        <v>—</v>
      </c>
      <c r="D16" s="53" t="str">
        <f>Equipamento!$C$13</f>
        <v/>
      </c>
      <c r="E16" s="58" t="str">
        <f>Equipamento!$D$13</f>
        <v/>
      </c>
      <c r="F16" s="58" t="str">
        <f>Equipamento!$E$13</f>
        <v/>
      </c>
      <c r="G16" s="58" t="str">
        <f>Equipamento!$F$13</f>
        <v/>
      </c>
      <c r="H16" s="58" t="str">
        <f>IF(LEN(Equipamento!$G$13)=0,"",Equipamento!$G$13&amp;" ("&amp;Equipamento!$H$13&amp;")")</f>
        <v/>
      </c>
      <c r="I16" s="58" t="str">
        <f>Equipamento!$I$13</f>
        <v/>
      </c>
      <c r="J16" s="58" t="str">
        <f>Equipamento!$J$13</f>
        <v/>
      </c>
      <c r="K16" s="12" t="str">
        <f>IF(LEN(Equipamento!$K$13)=0,"",Equipamento!$K$13&amp;" · "&amp;Equipamento!$L$13)</f>
        <v/>
      </c>
      <c r="L16" s="3"/>
      <c r="N16" s="30" t="str">
        <f>IF($A$40="","",IF($A$40="Quebrado","Quebrado é só de inimigos (20.3).",IF($A$40="Morrendo","Morrendo liga sozinho com PV 0.",IF(COUNTIF(Dados!$Y$6:$Y$18,$A$40)=0,"Condição fora da lista de 21.5.",""))))</f>
        <v/>
      </c>
      <c r="P16" s="33" t="s">
        <v>281</v>
      </c>
      <c r="Q16" s="35" t="str">
        <f>'Criação'!$D$96+MIN('Criação'!$J$14,$Q$15)</f>
        <v>#ERROR!</v>
      </c>
      <c r="S16" s="35" t="str">
        <f>""&amp;Caminho!$I$36</f>
        <v/>
      </c>
      <c r="T16" s="35" t="str">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35">
        <f>IF(AND(LEN(Caminho!$I$36)&gt;0,LEN(Caminho!$H$36)&gt;0,Caminho!$H$36&lt;&gt;"Sem limite declarado"),1,0)</f>
        <v>0</v>
      </c>
      <c r="V16" s="35">
        <f t="shared" si="2"/>
        <v>0</v>
      </c>
      <c r="W16" s="35" t="s">
        <v>265</v>
      </c>
      <c r="X16" s="35" t="str">
        <f>X15+IF('Criação'!$E$85="Sim",1,0)</f>
        <v>#ERROR!</v>
      </c>
      <c r="Y16" s="35" t="str">
        <f>IF('Criação'!$E$85="Sim",X16,0)</f>
        <v>#ERROR!</v>
      </c>
      <c r="Z16" s="35" t="str">
        <f>Testes!$I$32</f>
        <v>#ERROR!</v>
      </c>
      <c r="AA16" s="35" t="str">
        <f>IF(LEN(Testes!$J$32)&gt;0,"Vantagem","")</f>
        <v/>
      </c>
    </row>
    <row r="17" ht="14.25" customHeight="1">
      <c r="A17" s="68" t="str">
        <f>IF(Equipamento!$C$8="","Arma secundária: —",IF(LEN(Equipamento!$B$8)=0,"Arma "&amp;Equipamento!$C$8,""&amp;Equipamento!$B$8))</f>
        <v>Arma secundária: —</v>
      </c>
      <c r="B17" s="67"/>
      <c r="C17" s="69" t="str">
        <f>Equipamento!$B$14</f>
        <v>—</v>
      </c>
      <c r="D17" s="69" t="str">
        <f>Equipamento!$C$14</f>
        <v/>
      </c>
      <c r="E17" s="70" t="str">
        <f>Equipamento!$D$14</f>
        <v/>
      </c>
      <c r="F17" s="70" t="str">
        <f>Equipamento!$E$14</f>
        <v/>
      </c>
      <c r="G17" s="70" t="str">
        <f>Equipamento!$F$14</f>
        <v/>
      </c>
      <c r="H17" s="70" t="str">
        <f>IF(LEN(Equipamento!$G$14)=0,"",Equipamento!$G$14&amp;" ("&amp;Equipamento!$H$14&amp;")")</f>
        <v/>
      </c>
      <c r="I17" s="70" t="str">
        <f>Equipamento!$I$14</f>
        <v/>
      </c>
      <c r="J17" s="70" t="str">
        <f>Equipamento!$J$14</f>
        <v/>
      </c>
      <c r="K17" s="71" t="str">
        <f>IF(LEN(Equipamento!$K$14)=0,"",Equipamento!$K$14&amp;" · "&amp;Equipamento!$L$14)</f>
        <v/>
      </c>
      <c r="L17" s="3"/>
      <c r="N17" s="30" t="str">
        <f>IF(MAX($V$2:$V$16)&gt;8,"Mais usos do que cabem aqui: veja a frequência das Bênçãos na aba Caminho.","")</f>
        <v/>
      </c>
      <c r="P17" s="33" t="s">
        <v>284</v>
      </c>
      <c r="Q17" s="35" t="str">
        <f>IF('Criação'!$B$33="A Preservação",3*'Criação'!$C$14,"")</f>
        <v/>
      </c>
      <c r="W17" s="35" t="s">
        <v>268</v>
      </c>
      <c r="X17" s="35" t="str">
        <f>X16+IF('Criação'!$E$86="Sim",1,0)</f>
        <v>#ERROR!</v>
      </c>
      <c r="Y17" s="35" t="str">
        <f>IF('Criação'!$E$86="Sim",X17,0)</f>
        <v>#ERROR!</v>
      </c>
      <c r="Z17" s="35" t="str">
        <f>Testes!$I$33</f>
        <v>#ERROR!</v>
      </c>
      <c r="AA17" s="35" t="str">
        <f>IF(LEN(Testes!$J$33)&gt;0,"Vantagem","")</f>
        <v/>
      </c>
    </row>
    <row r="18" ht="14.25" customHeight="1">
      <c r="A18" s="65" t="s">
        <v>286</v>
      </c>
      <c r="B18" s="24"/>
      <c r="C18" s="65" t="s">
        <v>64</v>
      </c>
      <c r="D18" s="65" t="s">
        <v>288</v>
      </c>
      <c r="E18" s="65" t="s">
        <v>289</v>
      </c>
      <c r="F18" s="24"/>
      <c r="G18" s="65" t="s">
        <v>286</v>
      </c>
      <c r="H18" s="24"/>
      <c r="I18" s="65" t="s">
        <v>64</v>
      </c>
      <c r="J18" s="65" t="s">
        <v>288</v>
      </c>
      <c r="K18" s="65" t="s">
        <v>289</v>
      </c>
      <c r="L18" s="24"/>
      <c r="N18" s="30" t="str">
        <f>IF(AND(ISNUMBER($J$33),$J$33&gt;2),"Descanso Curto: até 2 por dia (23.6).","")</f>
        <v/>
      </c>
      <c r="P18" s="33" t="s">
        <v>292</v>
      </c>
      <c r="Q18" s="35">
        <f>IF(COUNTIF($A$37:$A$40,"Silenciado")&gt;0,1,0)</f>
        <v>0</v>
      </c>
      <c r="W18" s="35" t="s">
        <v>280</v>
      </c>
      <c r="X18" s="35" t="str">
        <f>X17+IF('Criação'!$E$87="Sim",1,0)</f>
        <v>#ERROR!</v>
      </c>
      <c r="Y18" s="35" t="str">
        <f>IF('Criação'!$E$87="Sim",X18,0)</f>
        <v>#ERROR!</v>
      </c>
      <c r="Z18" s="35" t="str">
        <f>Testes!$I$34</f>
        <v>#ERROR!</v>
      </c>
      <c r="AA18" s="35" t="str">
        <f>IF(LEN(Testes!$J$34)&gt;0,"Vantagem","")</f>
        <v/>
      </c>
    </row>
    <row r="19" ht="14.25" customHeight="1">
      <c r="A19" s="66" t="str">
        <f>IF(Habilidades!$P$12=0,"—",Habilidades!$B$34)</f>
        <v>—</v>
      </c>
      <c r="B19" s="67"/>
      <c r="C19" s="53" t="str">
        <f>IF(Habilidades!$P$12=0,"",IF(LEN(IF($Q$19=1,"BLOQUEADA",IF(AND($Q$18=1,Habilidades!$S$12&gt;=4),"BLOQUEADA","")))&gt;0,IF($Q$19=1,"BLOQUEADA",IF(AND($Q$18=1,Habilidades!$S$12&gt;=4),"BLOQUEADA","")),IF(LEN(Habilidades!$F$34)=0,IF(Habilidades!$C$12="Passiva","Passiva","—"),Habilidades!$F$34)))</f>
        <v/>
      </c>
      <c r="D19" s="58" t="str">
        <f>IF(LEN(Habilidades!$D$34)=0,"",Habilidades!$D$34&amp;" ("&amp;Habilidades!$E$34&amp;")")</f>
        <v/>
      </c>
      <c r="E19" s="12" t="str">
        <f>IF(Habilidades!$P$12=0,"",Habilidades!$S$12&amp;" · "&amp;Habilidades!$G$34&amp;" PH · RT "&amp;Habilidades!$H$34&amp;" · "&amp;Habilidades!$J$34&amp;IF(Habilidades!$J$34=1," alvo"," alvos"))</f>
        <v/>
      </c>
      <c r="F19" s="3"/>
      <c r="G19" s="12" t="str">
        <f>IF(Habilidades!$P$16=0,"—",Habilidades!$B$38)</f>
        <v>—</v>
      </c>
      <c r="H19" s="3"/>
      <c r="I19" s="53" t="str">
        <f>IF(Habilidades!$P$16=0,"",IF(LEN(IF($Q$19=1,"BLOQUEADA",IF(AND($Q$18=1,Habilidades!$S$16&gt;=4),"BLOQUEADA","")))&gt;0,IF($Q$19=1,"BLOQUEADA",IF(AND($Q$18=1,Habilidades!$S$16&gt;=4),"BLOQUEADA","")),IF(LEN(Habilidades!$F$38)=0,IF(Habilidades!$C$16="Passiva","Passiva","—"),Habilidades!$F$38)))</f>
        <v/>
      </c>
      <c r="J19" s="58" t="str">
        <f>IF(LEN(Habilidades!$D$38)=0,"",Habilidades!$D$38&amp;" ("&amp;Habilidades!$E$38&amp;")")</f>
        <v/>
      </c>
      <c r="K19" s="12" t="str">
        <f>IF(Habilidades!$P$16=0,"",Habilidades!$S$16&amp;" · "&amp;Habilidades!$G$38&amp;" PH · RT "&amp;Habilidades!$H$38&amp;" · "&amp;Habilidades!$J$38&amp;IF(Habilidades!$J$38=1," alvo"," alvos"))</f>
        <v/>
      </c>
      <c r="L19" s="3"/>
      <c r="N19" s="30" t="str">
        <f>IF($Q$13&gt;'Criação'!$J$14,"Bônus temporário no Teste de Ataque acima do teto (+"&amp;'Criação'!$J$14&amp;"): conta só o teto (26.6). ","")&amp;IF($Q$15&gt;'Criação'!$J$14,"Defesa temporária acima do teto (+"&amp;'Criação'!$J$14&amp;"): conta só o teto (26.6).","")</f>
        <v>#ERROR!</v>
      </c>
      <c r="P19" s="33" t="s">
        <v>297</v>
      </c>
      <c r="Q19" s="35">
        <f>IF(COUNTIF($A$37:$A$40,"Controlado")&gt;0,1,0)</f>
        <v>0</v>
      </c>
      <c r="W19" s="35" t="s">
        <v>282</v>
      </c>
      <c r="X19" s="35" t="str">
        <f>X18+IF('Criação'!$E$88="Sim",1,0)</f>
        <v>#ERROR!</v>
      </c>
      <c r="Y19" s="35" t="str">
        <f>IF('Criação'!$E$88="Sim",X19,0)</f>
        <v>#ERROR!</v>
      </c>
      <c r="Z19" s="35" t="str">
        <f>Testes!$I$35</f>
        <v>#ERROR!</v>
      </c>
      <c r="AA19" s="35" t="str">
        <f>IF(LEN(Testes!$J$35)&gt;0,"Vantagem","")</f>
        <v/>
      </c>
    </row>
    <row r="20" ht="14.25" customHeight="1">
      <c r="A20" s="68" t="str">
        <f>IF(Habilidades!$P$13=0,"—",Habilidades!$B$35)</f>
        <v>—</v>
      </c>
      <c r="B20" s="67"/>
      <c r="C20" s="69" t="str">
        <f>IF(Habilidades!$P$13=0,"",IF(LEN(IF($Q$19=1,"BLOQUEADA",IF(AND($Q$18=1,Habilidades!$S$13&gt;=4),"BLOQUEADA","")))&gt;0,IF($Q$19=1,"BLOQUEADA",IF(AND($Q$18=1,Habilidades!$S$13&gt;=4),"BLOQUEADA","")),IF(LEN(Habilidades!$F$35)=0,IF(Habilidades!$C$13="Passiva","Passiva","—"),Habilidades!$F$35)))</f>
        <v/>
      </c>
      <c r="D20" s="70" t="str">
        <f>IF(LEN(Habilidades!$D$35)=0,"",Habilidades!$D$35&amp;" ("&amp;Habilidades!$E$35&amp;")")</f>
        <v/>
      </c>
      <c r="E20" s="71" t="str">
        <f>IF(Habilidades!$P$13=0,"",Habilidades!$S$13&amp;" · "&amp;Habilidades!$G$35&amp;" PH · RT "&amp;Habilidades!$H$35&amp;" · "&amp;Habilidades!$J$35&amp;IF(Habilidades!$J$35=1," alvo"," alvos"))</f>
        <v/>
      </c>
      <c r="F20" s="3"/>
      <c r="G20" s="71" t="str">
        <f>IF(Habilidades!$P$17=0,"—",Habilidades!$B$39)</f>
        <v>—</v>
      </c>
      <c r="H20" s="3"/>
      <c r="I20" s="69" t="str">
        <f>IF(Habilidades!$P$17=0,"",IF(LEN(IF($Q$19=1,"BLOQUEADA",IF(AND($Q$18=1,Habilidades!$S$17&gt;=4),"BLOQUEADA","")))&gt;0,IF($Q$19=1,"BLOQUEADA",IF(AND($Q$18=1,Habilidades!$S$17&gt;=4),"BLOQUEADA","")),IF(LEN(Habilidades!$F$39)=0,IF(Habilidades!$C$17="Passiva","Passiva","—"),Habilidades!$F$39)))</f>
        <v/>
      </c>
      <c r="J20" s="70" t="str">
        <f>IF(LEN(Habilidades!$D$39)=0,"",Habilidades!$D$39&amp;" ("&amp;Habilidades!$E$39&amp;")")</f>
        <v/>
      </c>
      <c r="K20" s="71" t="str">
        <f>IF(Habilidades!$P$17=0,"",Habilidades!$S$17&amp;" · "&amp;Habilidades!$G$39&amp;" PH · RT "&amp;Habilidades!$H$39&amp;" · "&amp;Habilidades!$J$39&amp;IF(Habilidades!$J$39=1," alvo"," alvos"))</f>
        <v/>
      </c>
      <c r="L20" s="3"/>
      <c r="N20" s="30" t="str">
        <f>IF($Q$21=1,"Surpreso: a sua casa é pulada no primeiro Ciclo.","")</f>
        <v/>
      </c>
      <c r="P20" s="33" t="s">
        <v>315</v>
      </c>
      <c r="Q20" s="35" t="str">
        <f>IF(OR(COUNTIF($A$37:$A$40,"Lentidão")&gt;0,Equipamento!$B$58="Lentidão"),1,0)</f>
        <v>#ERROR!</v>
      </c>
    </row>
    <row r="21" ht="14.25" customHeight="1">
      <c r="A21" s="66" t="str">
        <f>IF(Habilidades!$P$14=0,"—",Habilidades!$B$36)</f>
        <v>—</v>
      </c>
      <c r="B21" s="67"/>
      <c r="C21" s="53" t="str">
        <f>IF(Habilidades!$P$14=0,"",IF(LEN(IF($Q$19=1,"BLOQUEADA",IF(AND($Q$18=1,Habilidades!$S$14&gt;=4),"BLOQUEADA","")))&gt;0,IF($Q$19=1,"BLOQUEADA",IF(AND($Q$18=1,Habilidades!$S$14&gt;=4),"BLOQUEADA","")),IF(LEN(Habilidades!$F$36)=0,IF(Habilidades!$C$14="Passiva","Passiva","—"),Habilidades!$F$36)))</f>
        <v/>
      </c>
      <c r="D21" s="58" t="str">
        <f>IF(LEN(Habilidades!$D$36)=0,"",Habilidades!$D$36&amp;" ("&amp;Habilidades!$E$36&amp;")")</f>
        <v/>
      </c>
      <c r="E21" s="12" t="str">
        <f>IF(Habilidades!$P$14=0,"",Habilidades!$S$14&amp;" · "&amp;Habilidades!$G$36&amp;" PH · RT "&amp;Habilidades!$H$36&amp;" · "&amp;Habilidades!$J$36&amp;IF(Habilidades!$J$36=1," alvo"," alvos"))</f>
        <v/>
      </c>
      <c r="F21" s="3"/>
      <c r="G21" s="12" t="str">
        <f>IF(Habilidades!$P$18=0,"—",Habilidades!$B$40)</f>
        <v>—</v>
      </c>
      <c r="H21" s="3"/>
      <c r="I21" s="53" t="str">
        <f>IF(Habilidades!$P$18=0,"",IF(LEN(IF($Q$19=1,"BLOQUEADA",IF(AND($Q$18=1,Habilidades!$S$18&gt;=4),"BLOQUEADA","")))&gt;0,IF($Q$19=1,"BLOQUEADA",IF(AND($Q$18=1,Habilidades!$S$18&gt;=4),"BLOQUEADA","")),IF(LEN(Habilidades!$F$40)=0,IF(Habilidades!$C$18="Passiva","Passiva","—"),Habilidades!$F$40)))</f>
        <v/>
      </c>
      <c r="J21" s="58" t="str">
        <f>IF(LEN(Habilidades!$D$40)=0,"",Habilidades!$D$40&amp;" ("&amp;Habilidades!$E$40&amp;")")</f>
        <v/>
      </c>
      <c r="K21" s="12" t="str">
        <f>IF(Habilidades!$P$18=0,"",Habilidades!$S$18&amp;" · "&amp;Habilidades!$G$40&amp;" PH · RT "&amp;Habilidades!$H$40&amp;" · "&amp;Habilidades!$J$40&amp;IF(Habilidades!$J$40=1," alvo"," alvos"))</f>
        <v/>
      </c>
      <c r="L21" s="3"/>
      <c r="P21" s="33" t="s">
        <v>327</v>
      </c>
      <c r="Q21" s="35">
        <f>IF(COUNTIF($A$37:$A$40,"Surpreso")&gt;0,1,0)</f>
        <v>0</v>
      </c>
    </row>
    <row r="22" ht="14.25" customHeight="1">
      <c r="A22" s="68" t="str">
        <f>IF(Habilidades!$P$15=0,"—",Habilidades!$B$37)</f>
        <v>—</v>
      </c>
      <c r="B22" s="67"/>
      <c r="C22" s="69" t="str">
        <f>IF(Habilidades!$P$15=0,"",IF(LEN(IF($Q$19=1,"BLOQUEADA",IF(AND($Q$18=1,Habilidades!$S$15&gt;=4),"BLOQUEADA","")))&gt;0,IF($Q$19=1,"BLOQUEADA",IF(AND($Q$18=1,Habilidades!$S$15&gt;=4),"BLOQUEADA","")),IF(LEN(Habilidades!$F$37)=0,IF(Habilidades!$C$15="Passiva","Passiva","—"),Habilidades!$F$37)))</f>
        <v/>
      </c>
      <c r="D22" s="70" t="str">
        <f>IF(LEN(Habilidades!$D$37)=0,"",Habilidades!$D$37&amp;" ("&amp;Habilidades!$E$37&amp;")")</f>
        <v/>
      </c>
      <c r="E22" s="71" t="str">
        <f>IF(Habilidades!$P$15=0,"",Habilidades!$S$15&amp;" · "&amp;Habilidades!$G$37&amp;" PH · RT "&amp;Habilidades!$H$37&amp;" · "&amp;Habilidades!$J$37&amp;IF(Habilidades!$J$37=1," alvo"," alvos"))</f>
        <v/>
      </c>
      <c r="F22" s="3"/>
      <c r="G22" s="71" t="str">
        <f>IF(Habilidades!$P$19=0,"—",Habilidades!$B$41)</f>
        <v>—</v>
      </c>
      <c r="H22" s="3"/>
      <c r="I22" s="69" t="str">
        <f>IF(Habilidades!$P$19=0,"",IF(LEN(IF($Q$19=1,"BLOQUEADA",IF(AND($Q$18=1,Habilidades!$S$19&gt;=4),"BLOQUEADA","")))&gt;0,IF($Q$19=1,"BLOQUEADA",IF(AND($Q$18=1,Habilidades!$S$19&gt;=4),"BLOQUEADA","")),IF(LEN(Habilidades!$F$41)=0,IF(Habilidades!$C$19="Passiva","Passiva","—"),Habilidades!$F$41)))</f>
        <v/>
      </c>
      <c r="J22" s="70" t="str">
        <f>IF(LEN(Habilidades!$D$41)=0,"",Habilidades!$D$41&amp;" ("&amp;Habilidades!$E$41&amp;")")</f>
        <v/>
      </c>
      <c r="K22" s="71" t="str">
        <f>IF(Habilidades!$P$19=0,"",Habilidades!$S$19&amp;" · "&amp;Habilidades!$G$41&amp;" PH · RT "&amp;Habilidades!$H$41&amp;" · "&amp;Habilidades!$J$41&amp;IF(Habilidades!$J$41=1," alvo"," alvos"))</f>
        <v/>
      </c>
      <c r="L22" s="3"/>
      <c r="P22" s="33" t="s">
        <v>349</v>
      </c>
      <c r="Q22" s="35" t="str">
        <f>IF($Q$5&gt;=Habilidades!$G$61,"Sim","Não")</f>
        <v>Não</v>
      </c>
    </row>
    <row r="23" ht="14.25" customHeight="1">
      <c r="A23" s="66" t="str">
        <f>IF(LEN(Habilidades!$C$54)=0,"Ultimate: —",""&amp;Habilidades!$C$54)</f>
        <v>Ultimate: —</v>
      </c>
      <c r="B23" s="67"/>
      <c r="C23" s="53" t="str">
        <f>IF(LEN(IF($Q$19=1,"BLOQUEADA",""))&gt;0,IF($Q$19=1,"BLOQUEADA",""),IF(LEN(Habilidades!$F$61)=0,"—",Habilidades!$F$61))</f>
        <v>—</v>
      </c>
      <c r="D23" s="58" t="str">
        <f>IF(LEN(Habilidades!$D$61)=0,"",Habilidades!$D$61&amp;" ("&amp;Habilidades!$E$61&amp;")")</f>
        <v/>
      </c>
      <c r="E23" s="12" t="str">
        <f>"RT "&amp;Habilidades!$H$61&amp;" · "&amp;Habilidades!$I$61&amp;IF(Habilidades!$I$61=1," alvo"," alvos")</f>
        <v>RT 5 · 1 alvo</v>
      </c>
      <c r="F23" s="3"/>
      <c r="G23" s="12" t="str">
        <f>"Ultimate ("&amp;$Q$5&amp;"/"&amp;Habilidades!$G$61&amp;" de Energia): "&amp;IF(LEN(IF($Q$19=1,"BLOQUEADA",""))&gt;0,"BLOQUEADA (Controlado)",IF($Q$22="Sim","pronta, diga o nome em voz alta","faltam "&amp;(Habilidades!$G$61-$Q$5)))</f>
        <v>Ultimate (0/100 de Energia): faltam 100</v>
      </c>
      <c r="H23" s="2"/>
      <c r="I23" s="2"/>
      <c r="J23" s="2"/>
      <c r="K23" s="2"/>
      <c r="L23" s="3"/>
      <c r="P23" s="33" t="s">
        <v>361</v>
      </c>
      <c r="Q23" s="35" t="str">
        <f>""&amp;A37&amp;IF(LEN(""&amp;A38)&gt;0,IF(LEN(""&amp;A37)&gt;0," · ","")&amp;""&amp;A38,"")&amp;IF(LEN(""&amp;A39)&gt;0,IF(LEN(""&amp;A37&amp;""&amp;A38)&gt;0," · ","")&amp;""&amp;A39,"")&amp;IF(LEN(""&amp;A40)&gt;0,IF(LEN(""&amp;A37&amp;""&amp;A38&amp;""&amp;A39)&gt;0," · ","")&amp;""&amp;A40,"")&amp;IF(LEN(IF($Q$3="Sim","Morrendo",""))&gt;0,IF(LEN(""&amp;A37&amp;""&amp;A38&amp;""&amp;A39&amp;""&amp;A40)&gt;0," · ","")&amp;IF($Q$3="Sim","Morrendo",""),"")&amp;IF(LEN(IF(Equipamento!$B$58&lt;&gt;"Normal","Lentidão (carga)",""))&gt;0,IF(LEN(""&amp;A37&amp;""&amp;A38&amp;""&amp;A39&amp;""&amp;A40&amp;IF($Q$3="Sim","Morrendo",""))&gt;0," · ","")&amp;IF(Equipamento!$B$58&lt;&gt;"Normal","Lentidão (carga)",""),"")</f>
        <v>#ERROR!</v>
      </c>
    </row>
    <row r="24" ht="14.25" customHeight="1">
      <c r="A24" s="68" t="str">
        <f>"Neste ataque: "&amp;IF(AND(($Q$6="Sim"),(COUNTIF(Caminho!$I$27:$I$36,"Memória Compartilhada")&gt;0)),"+1d6 (Memória Compartilhada) · ","")&amp;IF(AND(($Q$6="Sim"),(COUNTIF(Caminho!$I$27:$I$36,"Fragmentos do Eu Perdido")&gt;0),Caminho!$B$95="Fúria"),"+1d8 (Memória da Fúria) · ","")&amp;IF($Q$7&gt;0,"+"&amp;$Q$7&amp;"d6 (Fúria) · ","")&amp;IF($Q$11&gt;0,"+"&amp;MIN('Criação'!$J$14,$Q$11)&amp;" de dano (Cicatriz) · ","")&amp;IF($Q$12=1,"+2 no ataque, já somado (Instinto) · ","")&amp;"temporários: no máximo +3 por rolagem, fora a Fraqueza (26.6)"</f>
        <v>#ERROR!</v>
      </c>
      <c r="B24" s="2"/>
      <c r="C24" s="2"/>
      <c r="D24" s="2"/>
      <c r="E24" s="2"/>
      <c r="F24" s="2"/>
      <c r="G24" s="2"/>
      <c r="H24" s="2"/>
      <c r="I24" s="2"/>
      <c r="J24" s="2"/>
      <c r="K24" s="2"/>
      <c r="L24" s="67"/>
      <c r="P24" s="33" t="s">
        <v>367</v>
      </c>
      <c r="Q24" s="35" t="str">
        <f>IF(LEN(""&amp;A37)&gt;0,1,0)+IF(LEN(""&amp;A38)&gt;0,1,0)+IF(LEN(""&amp;A39)&gt;0,1,0)+IF(LEN(""&amp;A40)&gt;0,1,0)+IF(LEN(IF($Q$3="Sim","Morrendo",""))&gt;0,1,0)+IF(LEN(IF(Equipamento!$B$58&lt;&gt;"Normal","Lentidão (carga)",""))&gt;0,1,0)</f>
        <v>#ERROR!</v>
      </c>
    </row>
    <row r="25" ht="14.25" customHeight="1">
      <c r="A25" s="54"/>
      <c r="B25" s="54"/>
      <c r="C25" s="54"/>
      <c r="D25" s="54"/>
      <c r="E25" s="54"/>
      <c r="F25" s="54"/>
      <c r="G25" s="54"/>
      <c r="H25" s="54"/>
      <c r="I25" s="54"/>
      <c r="J25" s="54"/>
      <c r="K25" s="54"/>
      <c r="L25" s="54"/>
      <c r="P25" s="33" t="s">
        <v>368</v>
      </c>
      <c r="Q25" s="35" t="str">
        <f>IF(LEN(""&amp;A37)&gt;0,""&amp;A37,IF(LEN(""&amp;A38)&gt;0,""&amp;A38,IF(LEN(""&amp;A39)&gt;0,""&amp;A39,IF(LEN(""&amp;A40)&gt;0,""&amp;A40,IF(LEN(IF($Q$3="Sim","Morrendo",""))&gt;0,IF($Q$3="Sim","Morrendo",""),IF(LEN(IF(Equipamento!$B$58&lt;&gt;"Normal","Lentidão (carga)",""))&gt;0,IF(Equipamento!$B$58&lt;&gt;"Normal","Lentidão (carga)",""),""))))))</f>
        <v>#ERROR!</v>
      </c>
    </row>
    <row r="26" ht="14.25" customHeight="1">
      <c r="A26" s="5" t="s">
        <v>369</v>
      </c>
      <c r="B26" s="2"/>
      <c r="C26" s="2"/>
      <c r="D26" s="2"/>
      <c r="E26" s="2"/>
      <c r="F26" s="3"/>
      <c r="G26" s="5" t="s">
        <v>370</v>
      </c>
      <c r="H26" s="2"/>
      <c r="I26" s="2"/>
      <c r="J26" s="2"/>
      <c r="K26" s="2"/>
      <c r="L26" s="3"/>
    </row>
    <row r="27" ht="14.25" customHeight="1">
      <c r="A27" s="52" t="s">
        <v>293</v>
      </c>
      <c r="B27" s="53" t="str">
        <f>Testes!$I$40</f>
        <v>d20+2</v>
      </c>
      <c r="C27" s="12" t="str">
        <f>IF(OR('Criação'!$B$25="Xianzhouíta"),"Vantagem ("&amp;'Criação'!$B$25&amp;")","")</f>
        <v/>
      </c>
      <c r="D27" s="3"/>
      <c r="E27" s="12" t="str">
        <f>IF(Testes!$G$40=0,"",IF(Testes!$G$40&gt;=0,"+","")&amp;Testes!$G$40&amp;" de equipamento/Bênção")</f>
        <v/>
      </c>
      <c r="F27" s="3"/>
      <c r="G27" s="66" t="str">
        <f t="array" ref="G27">IFERROR(INDEX($W$2:$W$19,MATCH(1,$Y$2:$Y$19,0))&amp;IF(LEN($AB$2)&gt;0," · Vantagem",""),"")</f>
        <v/>
      </c>
      <c r="H27" s="3"/>
      <c r="I27" s="53" t="str">
        <f t="array" ref="I27">IFERROR(INDEX($Z$2:$Z$19,MATCH(1,$Y$2:$Y$19,0)),"")</f>
        <v/>
      </c>
      <c r="J27" s="66" t="str">
        <f t="array" ref="J27">IFERROR(INDEX($W$2:$W$19,MATCH(6,$Y$2:$Y$19,0))&amp;IF(LEN($AB$7)&gt;0," · Vantagem",""),"")</f>
        <v/>
      </c>
      <c r="K27" s="3"/>
      <c r="L27" s="53" t="str">
        <f t="array" ref="L27">IFERROR(INDEX($Z$2:$Z$19,MATCH(6,$Y$2:$Y$19,0)),"")</f>
        <v/>
      </c>
    </row>
    <row r="28" ht="14.25" customHeight="1">
      <c r="A28" s="52" t="s">
        <v>294</v>
      </c>
      <c r="B28" s="53" t="str">
        <f>Testes!$I$41</f>
        <v>d20+2</v>
      </c>
      <c r="C28" s="12" t="str">
        <f>IF(OR('Criação'!$B$25="Xianzhouíta"),"Vantagem ("&amp;'Criação'!$B$25&amp;")","")</f>
        <v/>
      </c>
      <c r="D28" s="3"/>
      <c r="E28" s="12" t="str">
        <f>IF(Testes!$G$41=0,"",IF(Testes!$G$41&gt;=0,"+","")&amp;Testes!$G$41&amp;" de equipamento/Bênção")</f>
        <v/>
      </c>
      <c r="F28" s="3"/>
      <c r="G28" s="66" t="str">
        <f t="array" ref="G28">IFERROR(INDEX($W$2:$W$19,MATCH(2,$Y$2:$Y$19,0))&amp;IF(LEN($AB$3)&gt;0," · Vantagem",""),"")</f>
        <v/>
      </c>
      <c r="H28" s="3"/>
      <c r="I28" s="53" t="str">
        <f t="array" ref="I28">IFERROR(INDEX($Z$2:$Z$19,MATCH(2,$Y$2:$Y$19,0)),"")</f>
        <v/>
      </c>
      <c r="J28" s="66" t="str">
        <f t="array" ref="J28">IFERROR(INDEX($W$2:$W$19,MATCH(7,$Y$2:$Y$19,0))&amp;IF(LEN($AB$8)&gt;0," · Vantagem",""),"")</f>
        <v/>
      </c>
      <c r="K28" s="3"/>
      <c r="L28" s="53" t="str">
        <f t="array" ref="L28">IFERROR(INDEX($Z$2:$Z$19,MATCH(7,$Y$2:$Y$19,0)),"")</f>
        <v/>
      </c>
    </row>
    <row r="29" ht="14.25" customHeight="1">
      <c r="A29" s="52" t="s">
        <v>310</v>
      </c>
      <c r="B29" s="53" t="str">
        <f>Testes!$I$42</f>
        <v>d20+2</v>
      </c>
      <c r="C29" s="12" t="str">
        <f>IF(OR('Criação'!$B$25="Xianzhouíta"),"Vantagem ("&amp;'Criação'!$B$25&amp;")",IF(OR('Criação'!$B$25="Vidyadhara"),"Vantagem condicional",""))</f>
        <v/>
      </c>
      <c r="D29" s="3"/>
      <c r="E29" s="12" t="str">
        <f>IF(Testes!$G$42=0,"",IF(Testes!$G$42&gt;=0,"+","")&amp;Testes!$G$42&amp;" de equipamento/Bênção")</f>
        <v/>
      </c>
      <c r="F29" s="3"/>
      <c r="G29" s="66" t="str">
        <f t="array" ref="G29">IFERROR(INDEX($W$2:$W$19,MATCH(3,$Y$2:$Y$19,0))&amp;IF(LEN($AB$4)&gt;0," · Vantagem",""),"")</f>
        <v/>
      </c>
      <c r="H29" s="3"/>
      <c r="I29" s="53" t="str">
        <f t="array" ref="I29">IFERROR(INDEX($Z$2:$Z$19,MATCH(3,$Y$2:$Y$19,0)),"")</f>
        <v/>
      </c>
      <c r="J29" s="66" t="str">
        <f t="array" ref="J29">IFERROR(INDEX($W$2:$W$19,MATCH(8,$Y$2:$Y$19,0))&amp;IF(LEN($AB$9)&gt;0," · Vantagem",""),"")</f>
        <v/>
      </c>
      <c r="K29" s="3"/>
      <c r="L29" s="53" t="str">
        <f t="array" ref="L29">IFERROR(INDEX($Z$2:$Z$19,MATCH(8,$Y$2:$Y$19,0)),"")</f>
        <v/>
      </c>
    </row>
    <row r="30" ht="14.25" customHeight="1">
      <c r="A30" s="52" t="s">
        <v>317</v>
      </c>
      <c r="B30" s="53" t="str">
        <f>Testes!$I$43</f>
        <v>d20+2</v>
      </c>
      <c r="C30" s="12" t="str">
        <f>IF(OR('Criação'!$B$25="Xianzhouíta",'Criação'!$B$25="Avginiano"),"Vantagem ("&amp;'Criação'!$B$25&amp;")","")</f>
        <v/>
      </c>
      <c r="D30" s="3"/>
      <c r="E30" s="12" t="str">
        <f>IF(Testes!$G$43=0,"",IF(Testes!$G$43&gt;=0,"+","")&amp;Testes!$G$43&amp;" de equipamento/Bênção")</f>
        <v/>
      </c>
      <c r="F30" s="3"/>
      <c r="G30" s="66" t="str">
        <f t="array" ref="G30">IFERROR(INDEX($W$2:$W$19,MATCH(4,$Y$2:$Y$19,0))&amp;IF(LEN($AB$5)&gt;0," · Vantagem",""),"")</f>
        <v/>
      </c>
      <c r="H30" s="3"/>
      <c r="I30" s="53" t="str">
        <f t="array" ref="I30">IFERROR(INDEX($Z$2:$Z$19,MATCH(4,$Y$2:$Y$19,0)),"")</f>
        <v/>
      </c>
      <c r="J30" s="66" t="str">
        <f t="array" ref="J30">IFERROR(INDEX($W$2:$W$19,MATCH(9,$Y$2:$Y$19,0))&amp;IF(LEN($AB$10)&gt;0," · Vantagem",""),"")</f>
        <v/>
      </c>
      <c r="K30" s="3"/>
      <c r="L30" s="53" t="str">
        <f t="array" ref="L30">IFERROR(INDEX($Z$2:$Z$19,MATCH(9,$Y$2:$Y$19,0)),"")</f>
        <v/>
      </c>
    </row>
    <row r="31" ht="14.25" customHeight="1">
      <c r="A31" s="52" t="s">
        <v>330</v>
      </c>
      <c r="B31" s="53" t="str">
        <f>Testes!$I$44</f>
        <v>d20+2</v>
      </c>
      <c r="C31" s="12" t="str">
        <f>IF(OR('Criação'!$B$25="Xianzhouíta",'Criação'!$B$25="Avginiano"),"Vantagem ("&amp;'Criação'!$B$25&amp;")","")</f>
        <v/>
      </c>
      <c r="D31" s="3"/>
      <c r="E31" s="12" t="str">
        <f>IF(Testes!$G$44=0,"",IF(Testes!$G$44&gt;=0,"+","")&amp;Testes!$G$44&amp;" de equipamento/Bênção")</f>
        <v/>
      </c>
      <c r="F31" s="3"/>
      <c r="G31" s="66" t="str">
        <f t="array" ref="G31">IFERROR(INDEX($W$2:$W$19,MATCH(5,$Y$2:$Y$19,0))&amp;IF(LEN($AB$6)&gt;0," · Vantagem",""),"")</f>
        <v/>
      </c>
      <c r="H31" s="3"/>
      <c r="I31" s="53" t="str">
        <f t="array" ref="I31">IFERROR(INDEX($Z$2:$Z$19,MATCH(5,$Y$2:$Y$19,0)),"")</f>
        <v/>
      </c>
      <c r="J31" s="66" t="str">
        <f t="array" ref="J31">IFERROR(INDEX($W$2:$W$19,MATCH(10,$Y$2:$Y$19,0))&amp;IF(LEN($AB$11)&gt;0," · Vantagem",""),"")</f>
        <v/>
      </c>
      <c r="K31" s="3"/>
      <c r="L31" s="53" t="str">
        <f t="array" ref="L31">IFERROR(INDEX($Z$2:$Z$19,MATCH(10,$Y$2:$Y$19,0)),"")</f>
        <v/>
      </c>
    </row>
    <row r="32" ht="14.25" customHeight="1">
      <c r="A32" s="52" t="s">
        <v>345</v>
      </c>
      <c r="B32" s="53" t="str">
        <f>Testes!$I$45</f>
        <v>d20+2</v>
      </c>
      <c r="C32" s="12" t="str">
        <f>IF(OR('Criação'!$B$25="Xianzhouíta",'Criação'!$B$25="Vulpes",'Criação'!$B$25="Avginiano"),"Vantagem ("&amp;'Criação'!$B$25&amp;")","")</f>
        <v/>
      </c>
      <c r="D32" s="3"/>
      <c r="E32" s="12" t="str">
        <f>IF(Testes!$G$45=0,"",IF(Testes!$G$45&gt;=0,"+","")&amp;Testes!$G$45&amp;" de equipamento/Bênção")</f>
        <v/>
      </c>
      <c r="F32" s="3"/>
      <c r="G32" s="5" t="s">
        <v>385</v>
      </c>
      <c r="H32" s="2"/>
      <c r="I32" s="2"/>
      <c r="J32" s="2"/>
      <c r="K32" s="2"/>
      <c r="L32" s="3"/>
    </row>
    <row r="33" ht="14.25" customHeight="1">
      <c r="A33" s="52" t="s">
        <v>392</v>
      </c>
      <c r="B33" s="53" t="str">
        <f>Testes!$I$46</f>
        <v>#ERROR!</v>
      </c>
      <c r="C33" s="20" t="s">
        <v>396</v>
      </c>
      <c r="D33" s="22"/>
      <c r="E33" s="20" t="s">
        <v>397</v>
      </c>
      <c r="F33" s="22"/>
      <c r="G33" s="12" t="str">
        <f t="array" ref="G33">IFERROR(INDEX($S$2:$S$16,MATCH(1,$V$2:$V$16,0))&amp;IF(LEN($AC$2)&gt;0," · "&amp;$AC$2,""),"—")</f>
        <v>Descanso Curto · 2/dia</v>
      </c>
      <c r="H33" s="2"/>
      <c r="I33" s="3"/>
      <c r="J33" s="22"/>
      <c r="K33" s="54"/>
      <c r="L33" s="54"/>
    </row>
    <row r="34" ht="14.25" customHeight="1">
      <c r="A34" s="52" t="s">
        <v>398</v>
      </c>
      <c r="B34" s="12" t="str">
        <f>IF(IF(ISNUMBER($D$33),$D$33,0)&gt;=3,"Estabiliza com 1 PV",IF(IF(ISNUMBER($F$33),$F$33,0)&gt;=3,"Morre",IF($Q$3="Sim",IF(ISNUMBER($D$33),$D$33,0)&amp;" sucesso(s), "&amp;IF(ISNUMBER($F$33),$F$33,0)&amp;" falha(s) (0 a 3 cada)","Não está Morrendo")))&amp;IF(LEN(Testes!$J$46)&gt;0," · Vantagem","")</f>
        <v>#ERROR!</v>
      </c>
      <c r="C34" s="2"/>
      <c r="D34" s="2"/>
      <c r="E34" s="2"/>
      <c r="F34" s="3"/>
      <c r="G34" s="12" t="str">
        <f t="array" ref="G34">IFERROR(INDEX($S$2:$S$16,MATCH(2,$V$2:$V$16,0))&amp;IF(LEN($AC$3)&gt;0," · "&amp;$AC$3,""),"—")</f>
        <v>Técnica · 2/Desc. Longo</v>
      </c>
      <c r="H34" s="2"/>
      <c r="I34" s="3"/>
      <c r="J34" s="22"/>
      <c r="K34" s="54"/>
      <c r="L34" s="54"/>
    </row>
    <row r="35" ht="14.25" customHeight="1">
      <c r="A35" s="5" t="s">
        <v>400</v>
      </c>
      <c r="B35" s="2"/>
      <c r="C35" s="2"/>
      <c r="D35" s="2"/>
      <c r="E35" s="2"/>
      <c r="F35" s="3"/>
      <c r="G35" s="12" t="str">
        <f t="array" ref="G35">IFERROR(INDEX($S$2:$S$16,MATCH(3,$V$2:$V$16,0))&amp;IF(LEN($AC$4)&gt;0," · "&amp;$AC$4,""),"—")</f>
        <v>—</v>
      </c>
      <c r="H35" s="2"/>
      <c r="I35" s="3"/>
      <c r="J35" s="22"/>
      <c r="K35" s="54"/>
      <c r="L35" s="54"/>
    </row>
    <row r="36" ht="14.25" customHeight="1">
      <c r="A36" s="65" t="s">
        <v>401</v>
      </c>
      <c r="B36" s="24"/>
      <c r="C36" s="65" t="s">
        <v>402</v>
      </c>
      <c r="D36" s="65" t="s">
        <v>403</v>
      </c>
      <c r="E36" s="65" t="s">
        <v>404</v>
      </c>
      <c r="F36" s="24"/>
      <c r="G36" s="12" t="str">
        <f t="array" ref="G36">IFERROR(INDEX($S$2:$S$16,MATCH(4,$V$2:$V$16,0))&amp;IF(LEN($AC$5)&gt;0," · "&amp;$AC$5,""),"—")</f>
        <v>—</v>
      </c>
      <c r="H36" s="2"/>
      <c r="I36" s="3"/>
      <c r="J36" s="22"/>
      <c r="K36" s="54"/>
      <c r="L36" s="54"/>
    </row>
    <row r="37" ht="14.25" customHeight="1">
      <c r="A37" s="76"/>
      <c r="B37" s="32"/>
      <c r="C37" s="22"/>
      <c r="D37" s="22"/>
      <c r="E37" s="12" t="str">
        <f>IF($A$37="","",IF(AND(ISNUMBER($D$37),OR($A$37="Sangramento",$A$37="Queimadura",$A$37="Choque",$A$37="Aprisionamento")),IF($A$37="Sangramento",$AD$2,$AD$2&amp;" por turno")&amp;IF($A$37="Aprisionamento"," · Atrasa 2",""),IF($A$37="Sangramento","5% dos PV máx. por turno",IF($A$37="Queimadura","Contínuo 2d6 + Eficiência",IF($A$37="Choque","Contínuo 1d6 + Eficiência",IF($A$37="Cisalhamento de Vento","Contínuo 1d6 por acúmulo",IF($A$37="Embaraço","1d6/acúmulo · Atrasa 1 casa",IF($A$37="Aprisionamento","1d6 + Ef. · Atrasa 2 casas",IF($A$37="Lentidão","só move com Esforço Total",IF($A$37="Marcado","+1 Ataque de quem marcou",IF($A$37="Silenciado","sem Habilidade de Nível 4+",IF($A$37="Vulnerável","+1 dado de dano da fonte",IF($A$37="Controlado","quem aplicou decide ações",IF($A$37="Corrupção","+1 em toda DC do aplicador",IF($A$37="Surpreso","casa pulada no 1º Ciclo","veja Regras Rápidas (21.5)")))))))))))))))</f>
        <v/>
      </c>
      <c r="F37" s="3"/>
      <c r="G37" s="12" t="str">
        <f t="array" ref="G37">IFERROR(INDEX($S$2:$S$16,MATCH(5,$V$2:$V$16,0))&amp;IF(LEN($AC$6)&gt;0," · "&amp;$AC$6,""),"—")</f>
        <v>—</v>
      </c>
      <c r="H37" s="2"/>
      <c r="I37" s="3"/>
      <c r="J37" s="22"/>
      <c r="K37" s="54"/>
      <c r="L37" s="54"/>
    </row>
    <row r="38" ht="14.25" customHeight="1">
      <c r="A38" s="77"/>
      <c r="B38" s="32"/>
      <c r="C38" s="78"/>
      <c r="D38" s="78"/>
      <c r="E38" s="71" t="str">
        <f>IF($A$38="","",IF(AND(ISNUMBER($D$38),OR($A$38="Sangramento",$A$38="Queimadura",$A$38="Choque",$A$38="Aprisionamento")),IF($A$38="Sangramento",$AD$3,$AD$3&amp;" por turno")&amp;IF($A$38="Aprisionamento"," · Atrasa 2",""),IF($A$38="Sangramento","5% dos PV máx. por turno",IF($A$38="Queimadura","Contínuo 2d6 + Eficiência",IF($A$38="Choque","Contínuo 1d6 + Eficiência",IF($A$38="Cisalhamento de Vento","Contínuo 1d6 por acúmulo",IF($A$38="Embaraço","1d6/acúmulo · Atrasa 1 casa",IF($A$38="Aprisionamento","1d6 + Ef. · Atrasa 2 casas",IF($A$38="Lentidão","só move com Esforço Total",IF($A$38="Marcado","+1 Ataque de quem marcou",IF($A$38="Silenciado","sem Habilidade de Nível 4+",IF($A$38="Vulnerável","+1 dado de dano da fonte",IF($A$38="Controlado","quem aplicou decide ações",IF($A$38="Corrupção","+1 em toda DC do aplicador",IF($A$38="Surpreso","casa pulada no 1º Ciclo","veja Regras Rápidas (21.5)")))))))))))))))</f>
        <v/>
      </c>
      <c r="F38" s="3"/>
      <c r="G38" s="12" t="str">
        <f t="array" ref="G38">IFERROR(INDEX($S$2:$S$16,MATCH(6,$V$2:$V$16,0))&amp;IF(LEN($AC$7)&gt;0," · "&amp;$AC$7,""),"—")</f>
        <v>—</v>
      </c>
      <c r="H38" s="2"/>
      <c r="I38" s="3"/>
      <c r="J38" s="22"/>
      <c r="K38" s="54"/>
      <c r="L38" s="54"/>
    </row>
    <row r="39" ht="14.25" customHeight="1">
      <c r="A39" s="76"/>
      <c r="B39" s="32"/>
      <c r="C39" s="22"/>
      <c r="D39" s="22"/>
      <c r="E39" s="12" t="str">
        <f>IF($A$39="","",IF(AND(ISNUMBER($D$39),OR($A$39="Sangramento",$A$39="Queimadura",$A$39="Choque",$A$39="Aprisionamento")),IF($A$39="Sangramento",$AD$4,$AD$4&amp;" por turno")&amp;IF($A$39="Aprisionamento"," · Atrasa 2",""),IF($A$39="Sangramento","5% dos PV máx. por turno",IF($A$39="Queimadura","Contínuo 2d6 + Eficiência",IF($A$39="Choque","Contínuo 1d6 + Eficiência",IF($A$39="Cisalhamento de Vento","Contínuo 1d6 por acúmulo",IF($A$39="Embaraço","1d6/acúmulo · Atrasa 1 casa",IF($A$39="Aprisionamento","1d6 + Ef. · Atrasa 2 casas",IF($A$39="Lentidão","só move com Esforço Total",IF($A$39="Marcado","+1 Ataque de quem marcou",IF($A$39="Silenciado","sem Habilidade de Nível 4+",IF($A$39="Vulnerável","+1 dado de dano da fonte",IF($A$39="Controlado","quem aplicou decide ações",IF($A$39="Corrupção","+1 em toda DC do aplicador",IF($A$39="Surpreso","casa pulada no 1º Ciclo","veja Regras Rápidas (21.5)")))))))))))))))</f>
        <v/>
      </c>
      <c r="F39" s="3"/>
      <c r="G39" s="12" t="str">
        <f t="array" ref="G39">IFERROR(INDEX($S$2:$S$16,MATCH(7,$V$2:$V$16,0))&amp;IF(LEN($AC$8)&gt;0," · "&amp;$AC$8,""),"—")</f>
        <v>—</v>
      </c>
      <c r="H39" s="2"/>
      <c r="I39" s="3"/>
      <c r="J39" s="22"/>
      <c r="K39" s="54"/>
      <c r="L39" s="54"/>
    </row>
    <row r="40" ht="14.25" customHeight="1">
      <c r="A40" s="77"/>
      <c r="B40" s="32"/>
      <c r="C40" s="78"/>
      <c r="D40" s="78"/>
      <c r="E40" s="71" t="str">
        <f>IF($A$40="","",IF(AND(ISNUMBER($D$40),OR($A$40="Sangramento",$A$40="Queimadura",$A$40="Choque",$A$40="Aprisionamento")),IF($A$40="Sangramento",$AD$5,$AD$5&amp;" por turno")&amp;IF($A$40="Aprisionamento"," · Atrasa 2",""),IF($A$40="Sangramento","5% dos PV máx. por turno",IF($A$40="Queimadura","Contínuo 2d6 + Eficiência",IF($A$40="Choque","Contínuo 1d6 + Eficiência",IF($A$40="Cisalhamento de Vento","Contínuo 1d6 por acúmulo",IF($A$40="Embaraço","1d6/acúmulo · Atrasa 1 casa",IF($A$40="Aprisionamento","1d6 + Ef. · Atrasa 2 casas",IF($A$40="Lentidão","só move com Esforço Total",IF($A$40="Marcado","+1 Ataque de quem marcou",IF($A$40="Silenciado","sem Habilidade de Nível 4+",IF($A$40="Vulnerável","+1 dado de dano da fonte",IF($A$40="Controlado","quem aplicou decide ações",IF($A$40="Corrupção","+1 em toda DC do aplicador",IF($A$40="Surpreso","casa pulada no 1º Ciclo","veja Regras Rápidas (21.5)")))))))))))))))</f>
        <v/>
      </c>
      <c r="F40" s="3"/>
      <c r="G40" s="12" t="str">
        <f t="array" ref="G40">IFERROR(INDEX($S$2:$S$16,MATCH(8,$V$2:$V$16,0))&amp;IF(LEN($AC$9)&gt;0," · "&amp;$AC$9,""),"—")</f>
        <v>—</v>
      </c>
      <c r="H40" s="2"/>
      <c r="I40" s="3"/>
      <c r="J40" s="22"/>
      <c r="K40" s="54"/>
      <c r="L40" s="54"/>
    </row>
    <row r="41" ht="15.75" customHeight="1"/>
    <row r="42" ht="24.0" customHeight="1">
      <c r="A42" s="1" t="s">
        <v>440</v>
      </c>
      <c r="B42" s="2"/>
      <c r="C42" s="2"/>
      <c r="D42" s="2"/>
      <c r="E42" s="2"/>
      <c r="F42" s="2"/>
      <c r="G42" s="2"/>
      <c r="H42" s="2"/>
      <c r="I42" s="2"/>
      <c r="J42" s="2"/>
      <c r="K42" s="2"/>
      <c r="L42" s="3"/>
    </row>
    <row r="43" ht="25.5" customHeight="1">
      <c r="A43" s="26" t="s">
        <v>3</v>
      </c>
      <c r="B43" s="6" t="s">
        <v>5</v>
      </c>
      <c r="C43" s="9" t="s">
        <v>13</v>
      </c>
      <c r="D43" s="10" t="s">
        <v>18</v>
      </c>
      <c r="E43" s="13" t="s">
        <v>19</v>
      </c>
      <c r="F43" s="14" t="s">
        <v>21</v>
      </c>
      <c r="G43" s="15" t="s">
        <v>22</v>
      </c>
      <c r="H43" s="16" t="s">
        <v>23</v>
      </c>
      <c r="I43" s="17" t="s">
        <v>24</v>
      </c>
    </row>
    <row r="44" ht="15.75" customHeight="1">
      <c r="A44" s="18" t="s">
        <v>442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0">
    <mergeCell ref="B9:D9"/>
    <mergeCell ref="I9:L9"/>
    <mergeCell ref="B10:D10"/>
    <mergeCell ref="E10:H10"/>
    <mergeCell ref="K10:L10"/>
    <mergeCell ref="E11:H11"/>
    <mergeCell ref="K11:L11"/>
    <mergeCell ref="B11:D11"/>
    <mergeCell ref="B12:D12"/>
    <mergeCell ref="E12:H12"/>
    <mergeCell ref="I12:L12"/>
    <mergeCell ref="A13:L13"/>
    <mergeCell ref="A14:L14"/>
    <mergeCell ref="K15:L15"/>
    <mergeCell ref="E19:F19"/>
    <mergeCell ref="G19:H19"/>
    <mergeCell ref="A15:B15"/>
    <mergeCell ref="A16:B16"/>
    <mergeCell ref="A17:B17"/>
    <mergeCell ref="A18:B18"/>
    <mergeCell ref="E18:F18"/>
    <mergeCell ref="G18:H18"/>
    <mergeCell ref="A19:B19"/>
    <mergeCell ref="E22:F22"/>
    <mergeCell ref="G22:H22"/>
    <mergeCell ref="A20:B20"/>
    <mergeCell ref="E20:F20"/>
    <mergeCell ref="G20:H20"/>
    <mergeCell ref="A21:B21"/>
    <mergeCell ref="E21:F21"/>
    <mergeCell ref="G21:H21"/>
    <mergeCell ref="A22:B22"/>
    <mergeCell ref="E27:F27"/>
    <mergeCell ref="G27:H27"/>
    <mergeCell ref="C28:D28"/>
    <mergeCell ref="E28:F28"/>
    <mergeCell ref="G28:H28"/>
    <mergeCell ref="J28:K28"/>
    <mergeCell ref="C29:D29"/>
    <mergeCell ref="J29:K29"/>
    <mergeCell ref="E29:F29"/>
    <mergeCell ref="G29:H29"/>
    <mergeCell ref="C30:D30"/>
    <mergeCell ref="E30:F30"/>
    <mergeCell ref="G30:H30"/>
    <mergeCell ref="J30:K30"/>
    <mergeCell ref="C31:D31"/>
    <mergeCell ref="J31:K31"/>
    <mergeCell ref="E31:F31"/>
    <mergeCell ref="G31:H31"/>
    <mergeCell ref="C32:D32"/>
    <mergeCell ref="E32:F32"/>
    <mergeCell ref="G32:L32"/>
    <mergeCell ref="G33:I33"/>
    <mergeCell ref="G34:I34"/>
    <mergeCell ref="E37:F37"/>
    <mergeCell ref="G37:I37"/>
    <mergeCell ref="B34:F34"/>
    <mergeCell ref="A35:F35"/>
    <mergeCell ref="G35:I35"/>
    <mergeCell ref="A36:B36"/>
    <mergeCell ref="E36:F36"/>
    <mergeCell ref="G36:I36"/>
    <mergeCell ref="A37:B37"/>
    <mergeCell ref="E40:F40"/>
    <mergeCell ref="G40:I40"/>
    <mergeCell ref="A42:L42"/>
    <mergeCell ref="A44:L44"/>
    <mergeCell ref="A38:B38"/>
    <mergeCell ref="E38:F38"/>
    <mergeCell ref="G38:I38"/>
    <mergeCell ref="A39:B39"/>
    <mergeCell ref="E39:F39"/>
    <mergeCell ref="G39:I39"/>
    <mergeCell ref="A40:B40"/>
    <mergeCell ref="K2:L2"/>
    <mergeCell ref="K3:L3"/>
    <mergeCell ref="G3:H3"/>
    <mergeCell ref="G4:H4"/>
    <mergeCell ref="A1:D1"/>
    <mergeCell ref="E1:H1"/>
    <mergeCell ref="I1:L1"/>
    <mergeCell ref="B2:D2"/>
    <mergeCell ref="G2:H2"/>
    <mergeCell ref="B3:D3"/>
    <mergeCell ref="B4:D4"/>
    <mergeCell ref="K6:L6"/>
    <mergeCell ref="K8:L8"/>
    <mergeCell ref="B5:D5"/>
    <mergeCell ref="G5:H5"/>
    <mergeCell ref="K5:L5"/>
    <mergeCell ref="B6:D6"/>
    <mergeCell ref="G6:H6"/>
    <mergeCell ref="B7:D7"/>
    <mergeCell ref="B8:D8"/>
    <mergeCell ref="K16:L16"/>
    <mergeCell ref="K17:L17"/>
    <mergeCell ref="K18:L18"/>
    <mergeCell ref="K19:L19"/>
    <mergeCell ref="K20:L20"/>
    <mergeCell ref="K21:L21"/>
    <mergeCell ref="K22:L22"/>
    <mergeCell ref="A23:B23"/>
    <mergeCell ref="E23:F23"/>
    <mergeCell ref="G23:L23"/>
    <mergeCell ref="A24:L24"/>
    <mergeCell ref="A26:F26"/>
    <mergeCell ref="G26:L26"/>
    <mergeCell ref="C27:D27"/>
    <mergeCell ref="J27:K27"/>
  </mergeCells>
  <conditionalFormatting sqref="A13">
    <cfRule type="expression" dxfId="0" priority="1">
      <formula>LEN(A13)&gt;0</formula>
    </cfRule>
  </conditionalFormatting>
  <conditionalFormatting sqref="N2">
    <cfRule type="expression" dxfId="0" priority="2">
      <formula>LEN(N2)&gt;0</formula>
    </cfRule>
  </conditionalFormatting>
  <conditionalFormatting sqref="N3">
    <cfRule type="expression" dxfId="0" priority="3">
      <formula>LEN(N3)&gt;0</formula>
    </cfRule>
  </conditionalFormatting>
  <conditionalFormatting sqref="N4">
    <cfRule type="expression" dxfId="0" priority="4">
      <formula>LEN(N4)&gt;0</formula>
    </cfRule>
  </conditionalFormatting>
  <conditionalFormatting sqref="N5">
    <cfRule type="expression" dxfId="0" priority="5">
      <formula>LEN(N5)&gt;0</formula>
    </cfRule>
  </conditionalFormatting>
  <conditionalFormatting sqref="N6">
    <cfRule type="expression" dxfId="0" priority="6">
      <formula>LEN(N6)&gt;0</formula>
    </cfRule>
  </conditionalFormatting>
  <conditionalFormatting sqref="N7">
    <cfRule type="expression" dxfId="0" priority="7">
      <formula>LEN(N7)&gt;0</formula>
    </cfRule>
  </conditionalFormatting>
  <conditionalFormatting sqref="N8">
    <cfRule type="expression" dxfId="0" priority="8">
      <formula>LEN(N8)&gt;0</formula>
    </cfRule>
  </conditionalFormatting>
  <conditionalFormatting sqref="N9">
    <cfRule type="expression" dxfId="0" priority="9">
      <formula>LEN(N9)&gt;0</formula>
    </cfRule>
  </conditionalFormatting>
  <conditionalFormatting sqref="N10">
    <cfRule type="expression" dxfId="0" priority="10">
      <formula>LEN(N10)&gt;0</formula>
    </cfRule>
  </conditionalFormatting>
  <conditionalFormatting sqref="N11">
    <cfRule type="expression" dxfId="0" priority="11">
      <formula>LEN(N11)&gt;0</formula>
    </cfRule>
  </conditionalFormatting>
  <conditionalFormatting sqref="N12">
    <cfRule type="expression" dxfId="0" priority="12">
      <formula>LEN(N12)&gt;0</formula>
    </cfRule>
  </conditionalFormatting>
  <conditionalFormatting sqref="N13">
    <cfRule type="expression" dxfId="0" priority="13">
      <formula>LEN(N13)&gt;0</formula>
    </cfRule>
  </conditionalFormatting>
  <conditionalFormatting sqref="N14">
    <cfRule type="expression" dxfId="0" priority="14">
      <formula>LEN(N14)&gt;0</formula>
    </cfRule>
  </conditionalFormatting>
  <conditionalFormatting sqref="N15">
    <cfRule type="expression" dxfId="0" priority="15">
      <formula>LEN(N15)&gt;0</formula>
    </cfRule>
  </conditionalFormatting>
  <conditionalFormatting sqref="N16">
    <cfRule type="expression" dxfId="0" priority="16">
      <formula>LEN(N16)&gt;0</formula>
    </cfRule>
  </conditionalFormatting>
  <conditionalFormatting sqref="N17">
    <cfRule type="expression" dxfId="0" priority="17">
      <formula>LEN(N17)&gt;0</formula>
    </cfRule>
  </conditionalFormatting>
  <conditionalFormatting sqref="N18">
    <cfRule type="expression" dxfId="0" priority="18">
      <formula>LEN(N18)&gt;0</formula>
    </cfRule>
  </conditionalFormatting>
  <conditionalFormatting sqref="N19">
    <cfRule type="expression" dxfId="0" priority="19">
      <formula>LEN(N19)&gt;0</formula>
    </cfRule>
  </conditionalFormatting>
  <conditionalFormatting sqref="N20">
    <cfRule type="expression" dxfId="0" priority="20">
      <formula>LEN(N20)&gt;0</formula>
    </cfRule>
  </conditionalFormatting>
  <dataValidations>
    <dataValidation type="decimal" allowBlank="1" showInputMessage="1" prompt="Valor fora da faixa - Dano recebido: use um número inteiro de 0 a 9999." sqref="J2">
      <formula1>0.0</formula1>
      <formula2>9999.0</formula2>
    </dataValidation>
    <dataValidation type="decimal" allowBlank="1" showInputMessage="1" prompt="Valor fora da faixa - PV atual do Memoespírito: use um número inteiro de 0 a 999." sqref="H7">
      <formula1>0.0</formula1>
      <formula2>999.0</formula2>
    </dataValidation>
    <dataValidation type="decimal" allowBlank="1" showInputMessage="1" prompt="Valor fora da faixa - Esforço: use um número inteiro de 0 a 1." sqref="F6">
      <formula1>0.0</formula1>
      <formula2>1.0</formula2>
    </dataValidation>
    <dataValidation type="list" allowBlank="1" showInputMessage="1" prompt="Fora da lista - Condição 4: escolha um valor da lista. A ficha pode não reconhecer outro valor." sqref="A40">
      <formula1>Dados!$Y$6:$Y$18</formula1>
    </dataValidation>
    <dataValidation type="list" allowBlank="1" showInputMessage="1" prompt="Fora da lista - Condição 3: escolha um valor da lista. A ficha pode não reconhecer outro valor." sqref="A39">
      <formula1>Dados!$Y$6:$Y$18</formula1>
    </dataValidation>
    <dataValidation type="decimal" allowBlank="1" showInputMessage="1" prompt="Valor fora da faixa - Usados: use um número inteiro de 0 a 9." sqref="J33:J40">
      <formula1>0.0</formula1>
      <formula2>9.0</formula2>
    </dataValidation>
    <dataValidation type="decimal" allowBlank="1" showInputMessage="1" prompt="Valor fora da faixa - Eficiência de quem aplicou: use um número inteiro de 2 a 8." sqref="D37:D40">
      <formula1>2.0</formula1>
      <formula2>8.0</formula2>
    </dataValidation>
    <dataValidation type="decimal" allowBlank="1" showInputMessage="1" prompt="Valor fora da faixa - Falhas no Teste de Morrendo: use um número inteiro de 0 a 3." sqref="F33">
      <formula1>0.0</formula1>
      <formula2>3.0</formula2>
    </dataValidation>
    <dataValidation type="list" allowBlank="1" showInputMessage="1" prompt="Fora da lista - Condição 1: escolha um valor da lista. A ficha pode não reconhecer outro valor." sqref="A37">
      <formula1>Dados!$Y$6:$Y$18</formula1>
    </dataValidation>
    <dataValidation type="decimal" allowBlank="1" showInputMessage="1" prompt="Valor fora da faixa - PV atual: use um número inteiro de 0 a 9999." sqref="F2">
      <formula1>0.0</formula1>
      <formula2>9999.0</formula2>
    </dataValidation>
    <dataValidation type="decimal" allowBlank="1" showInputMessage="1" prompt="Valor fora da faixa - Turnos: use um número inteiro de 0 a 99." sqref="C37:C40">
      <formula1>0.0</formula1>
      <formula2>99.0</formula2>
    </dataValidation>
    <dataValidation type="decimal" allowBlank="1" showInputMessage="1" prompt="Valor fora da faixa - Acúmulos: use um número inteiro de 0 a 7." sqref="F8">
      <formula1>0.0</formula1>
      <formula2>7.0</formula2>
    </dataValidation>
    <dataValidation type="list" allowBlank="1" showInputMessage="1" prompt="Fora da lista - Condição 2: escolha um valor da lista. A ficha pode não reconhecer outro valor." sqref="A38">
      <formula1>Dados!$Y$6:$Y$18</formula1>
    </dataValidation>
    <dataValidation type="decimal" allowBlank="1" showInputMessage="1" prompt="Valor fora da faixa - Energia: use um número inteiro de 0 a 100." sqref="F4">
      <formula1>0.0</formula1>
      <formula2>100.0</formula2>
    </dataValidation>
    <dataValidation type="list" allowBlank="1" showInputMessage="1" prompt="Fora da lista - Dano Contínuo: escolha um valor da lista. A ficha pode não reconhecer outro valor." sqref="J3">
      <formula1>Dados!$AG$6:$AG$7</formula1>
    </dataValidation>
    <dataValidation type="decimal" allowBlank="1" showInputMessage="1" prompt="Valor fora da faixa - PH do grupo: use um número inteiro de 0 a 20." sqref="F5">
      <formula1>0.0</formula1>
      <formula2>20.0</formula2>
    </dataValidation>
    <dataValidation type="decimal" allowBlank="1" showInputMessage="1" prompt="Valor fora da faixa - Sucessos no Teste de Morrendo: use um número inteiro de 0 a 3." sqref="D33">
      <formula1>0.0</formula1>
      <formula2>3.0</formula2>
    </dataValidation>
    <dataValidation type="decimal" allowBlank="1" showInputMessage="1" prompt="Valor fora da faixa - Marcas da Ruína: use um número inteiro de 0 a 5." sqref="F9">
      <formula1>0.0</formula1>
      <formula2>5.0</formula2>
    </dataValidation>
    <dataValidation type="decimal" allowBlank="1" showInputMessage="1" prompt="Valor fora da faixa - Cura recebida: use um número inteiro de 0 a 9999." sqref="J10">
      <formula1>0.0</formula1>
      <formula2>9999.0</formula2>
    </dataValidation>
    <dataValidation type="list" allowBlank="1" showInputMessage="1" prompt="Fora da lista - Memoespírito ativo: escolha um valor da lista. A ficha pode não reconhecer outro valor." sqref="F7">
      <formula1>Dados!$AG$6:$AG$7</formula1>
    </dataValidation>
    <dataValidation type="decimal" allowBlank="1" showInputMessage="1" prompt="Valor fora da faixa - PV temporários: use um número inteiro de 0 a 99." sqref="F3">
      <formula1>0.0</formula1>
      <formula2>99.0</formula2>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4.0"/>
    <col customWidth="1" min="3" max="3" width="7.0"/>
    <col customWidth="1" min="4" max="4" width="15.0"/>
    <col customWidth="1" min="5" max="5" width="12.0"/>
    <col customWidth="1" min="6" max="6" width="11.5"/>
    <col customWidth="1" min="7" max="7" width="14.63"/>
    <col customWidth="1" min="8" max="8" width="7.0"/>
    <col customWidth="1" min="9" max="9" width="11.0"/>
    <col customWidth="1" min="10" max="10" width="30.0"/>
    <col customWidth="1" min="11" max="11" width="16.0"/>
    <col customWidth="1" min="12" max="12" width="25.75"/>
    <col customWidth="1" min="13" max="26" width="8.63"/>
  </cols>
  <sheetData>
    <row r="1" ht="24.0" customHeight="1">
      <c r="A1" s="1" t="s">
        <v>1</v>
      </c>
      <c r="B1" s="2"/>
      <c r="C1" s="2"/>
      <c r="D1" s="2"/>
      <c r="E1" s="2"/>
      <c r="F1" s="2"/>
      <c r="G1" s="2"/>
      <c r="H1" s="2"/>
      <c r="I1" s="2"/>
      <c r="J1" s="2"/>
      <c r="K1" s="2"/>
      <c r="L1" s="3"/>
    </row>
    <row r="2" ht="36.75" customHeight="1">
      <c r="A2" s="4" t="s">
        <v>3</v>
      </c>
      <c r="B2" s="6" t="s">
        <v>5</v>
      </c>
      <c r="C2" s="7" t="s">
        <v>13</v>
      </c>
      <c r="D2" s="3"/>
      <c r="E2" s="11" t="s">
        <v>18</v>
      </c>
      <c r="F2" s="3"/>
      <c r="G2" s="13" t="s">
        <v>19</v>
      </c>
      <c r="H2" s="14" t="s">
        <v>21</v>
      </c>
      <c r="I2" s="23"/>
      <c r="J2" s="15" t="s">
        <v>22</v>
      </c>
      <c r="K2" s="16" t="s">
        <v>23</v>
      </c>
      <c r="L2" s="17" t="s">
        <v>24</v>
      </c>
    </row>
    <row r="3">
      <c r="A3" s="18" t="s">
        <v>34</v>
      </c>
    </row>
    <row r="5">
      <c r="A5" s="5" t="s">
        <v>35</v>
      </c>
      <c r="B5" s="2"/>
      <c r="C5" s="2"/>
      <c r="D5" s="3"/>
      <c r="F5" s="19" t="s">
        <v>38</v>
      </c>
      <c r="I5" s="27">
        <f>'Criação'!$B$56</f>
        <v>10</v>
      </c>
      <c r="J5" s="19" t="s">
        <v>41</v>
      </c>
    </row>
    <row r="6">
      <c r="A6" s="14" t="s">
        <v>42</v>
      </c>
      <c r="B6" s="14" t="s">
        <v>43</v>
      </c>
    </row>
    <row r="7">
      <c r="A7" s="31" t="str">
        <f t="array" ref="A7">INDEX(Dados!$A$417:$A$422,1)</f>
        <v>Trivial</v>
      </c>
      <c r="B7" s="27">
        <f t="array" ref="B7">INDEX(Dados!$A$417:$F$422,1,'Criação'!$B$14+1)</f>
        <v>8</v>
      </c>
    </row>
    <row r="8">
      <c r="A8" s="36" t="str">
        <f t="array" ref="A8">INDEX(Dados!$A$417:$A$422,2)</f>
        <v>Fácil</v>
      </c>
      <c r="B8" s="38">
        <f t="array" ref="B8">INDEX(Dados!$A$417:$F$422,2,'Criação'!$B$14+1)</f>
        <v>10</v>
      </c>
    </row>
    <row r="9">
      <c r="A9" s="31" t="str">
        <f t="array" ref="A9">INDEX(Dados!$A$417:$A$422,3)</f>
        <v>Média</v>
      </c>
      <c r="B9" s="27">
        <f t="array" ref="B9">INDEX(Dados!$A$417:$F$422,3,'Criação'!$B$14+1)</f>
        <v>13</v>
      </c>
    </row>
    <row r="10">
      <c r="A10" s="36" t="str">
        <f t="array" ref="A10">INDEX(Dados!$A$417:$A$422,4)</f>
        <v>Difícil</v>
      </c>
      <c r="B10" s="38">
        <f t="array" ref="B10">INDEX(Dados!$A$417:$F$422,4,'Criação'!$B$14+1)</f>
        <v>16</v>
      </c>
    </row>
    <row r="11">
      <c r="A11" s="31" t="str">
        <f t="array" ref="A11">INDEX(Dados!$A$417:$A$422,5)</f>
        <v>Muito Difícil</v>
      </c>
      <c r="B11" s="27">
        <f t="array" ref="B11">INDEX(Dados!$A$417:$F$422,5,'Criação'!$B$14+1)</f>
        <v>19</v>
      </c>
    </row>
    <row r="12">
      <c r="A12" s="36" t="str">
        <f t="array" ref="A12">INDEX(Dados!$A$417:$A$422,6)</f>
        <v>Heroica</v>
      </c>
      <c r="B12" s="38">
        <f t="array" ref="B12">INDEX(Dados!$A$417:$F$422,6,'Criação'!$B$14+1)</f>
        <v>22</v>
      </c>
    </row>
    <row r="14">
      <c r="A14" s="5" t="s">
        <v>54</v>
      </c>
      <c r="B14" s="2"/>
      <c r="C14" s="2"/>
      <c r="D14" s="2"/>
      <c r="E14" s="2"/>
      <c r="F14" s="2"/>
      <c r="G14" s="2"/>
      <c r="H14" s="2"/>
      <c r="I14" s="2"/>
      <c r="J14" s="2"/>
      <c r="K14" s="2"/>
      <c r="L14" s="3"/>
    </row>
    <row r="15" ht="39.75" customHeight="1">
      <c r="A15" s="14" t="s">
        <v>56</v>
      </c>
      <c r="B15" s="14" t="s">
        <v>57</v>
      </c>
      <c r="C15" s="14" t="s">
        <v>58</v>
      </c>
      <c r="D15" s="14" t="s">
        <v>59</v>
      </c>
      <c r="E15" s="14" t="s">
        <v>60</v>
      </c>
      <c r="F15" s="14" t="s">
        <v>61</v>
      </c>
      <c r="G15" s="14" t="s">
        <v>62</v>
      </c>
      <c r="H15" s="14" t="s">
        <v>63</v>
      </c>
      <c r="I15" s="14" t="s">
        <v>64</v>
      </c>
      <c r="J15" s="14" t="s">
        <v>65</v>
      </c>
      <c r="K15" s="14" t="s">
        <v>66</v>
      </c>
      <c r="L15" s="14" t="s">
        <v>67</v>
      </c>
    </row>
    <row r="16" ht="25.5" customHeight="1">
      <c r="A16" s="26" t="s">
        <v>50</v>
      </c>
      <c r="B16" s="41" t="str">
        <f>'Criação'!$B$69</f>
        <v>Poder</v>
      </c>
      <c r="C16" s="41">
        <f t="array" ref="C16">IFERROR(INDEX('Criação'!$F$44:$F$49,MATCH($B$16,'Criação'!$A$44:$A$49,0)),0)</f>
        <v>0</v>
      </c>
      <c r="D16" s="41" t="str">
        <f>IF('Criação'!$E$69="Sim","Sim ("&amp;'Criação'!$F$69&amp;")","Não")</f>
        <v>#ERROR!</v>
      </c>
      <c r="E16" s="34"/>
      <c r="F16" s="41">
        <f>IF($B$16="Agilidade",'Criação'!$E$93,0)</f>
        <v>0</v>
      </c>
      <c r="G16" s="41">
        <f>IF(Equipamento!$L$31="Atletismo",Equipamento!$K$31,0)+MIN('Criação'!$J$14,COUNTIF(Equipamento!$P$45:$P$47,"Atletismo"))</f>
        <v>0</v>
      </c>
      <c r="H16" s="27" t="str">
        <f>$C$16+IF('Criação'!$E$69="Sim",IF(AND($E$16="Sim",'Criação'!$E$69="Sim",COUNTIF($E$16:E16,"Sim")&lt;='Criação'!$E$14),2*'Criação'!$C$14,'Criação'!$C$14),0)+$F$16+$G$16</f>
        <v>#ERROR!</v>
      </c>
      <c r="I16" s="27" t="str">
        <f>"d20"&amp;IF($H$16&gt;=0,"+","")&amp;$H$16</f>
        <v>#ERROR!</v>
      </c>
      <c r="J16" s="9" t="str">
        <f t="shared" ref="J16:J20" si="1">""</f>
        <v/>
      </c>
      <c r="K16" s="9" t="str">
        <f>IF($H$16&gt;=$B$12,"Heroica ("&amp;$B$12&amp;")",IF($H$16&gt;=$B$11,"Muito Difícil ("&amp;$B$11&amp;")",IF($H$16&gt;=$B$10,"Difícil ("&amp;$B$10&amp;")",IF($H$16&gt;=$B$9,"Média ("&amp;$B$9&amp;")",IF($H$16&gt;=$B$8,"Fácil ("&amp;$B$8&amp;")",IF($H$16&gt;=$B$7,"Trivial ("&amp;$B$7&amp;")","—"))))))</f>
        <v>#ERROR!</v>
      </c>
      <c r="L16" s="30" t="str">
        <f>IF($E$16&lt;&gt;"Sim","",IF('Criação'!$E$69&lt;&gt;"Sim","Eficácia exige Eficiência nesta Perícia",IF(COUNTIF($E$16:E16,"Sim")&gt;'Criação'!$E$14,"Acima dos slots de Eficácia em Perícias ("&amp;'Criação'!$E$14&amp;")","")))</f>
        <v/>
      </c>
    </row>
    <row r="17" ht="25.5" customHeight="1">
      <c r="A17" s="40" t="s">
        <v>100</v>
      </c>
      <c r="B17" s="47" t="str">
        <f>'Criação'!$B$70</f>
        <v>Agilidade</v>
      </c>
      <c r="C17" s="47">
        <f t="array" ref="C17">IFERROR(INDEX('Criação'!$F$44:$F$49,MATCH($B$17,'Criação'!$A$44:$A$49,0)),0)</f>
        <v>0</v>
      </c>
      <c r="D17" s="47" t="str">
        <f>IF('Criação'!$E$70="Sim","Sim ("&amp;'Criação'!$F$70&amp;")","Não")</f>
        <v>#ERROR!</v>
      </c>
      <c r="E17" s="50"/>
      <c r="F17" s="47">
        <f>IF($B$17="Agilidade",'Criação'!$E$93,0)</f>
        <v>0</v>
      </c>
      <c r="G17" s="47">
        <f>IF(Equipamento!$L$31="Acrobacia",Equipamento!$K$31,0)+MIN('Criação'!$J$14,COUNTIF(Equipamento!$P$45:$P$47,"Acrobacia"))</f>
        <v>0</v>
      </c>
      <c r="H17" s="38" t="str">
        <f>$C$17+IF('Criação'!$E$70="Sim",IF(AND($E$17="Sim",'Criação'!$E$70="Sim",COUNTIF($E$16:E17,"Sim")&lt;='Criação'!$E$14),2*'Criação'!$C$14,'Criação'!$C$14),0)+$F$17+$G$17</f>
        <v>#ERROR!</v>
      </c>
      <c r="I17" s="38" t="str">
        <f>"d20"&amp;IF($H$17&gt;=0,"+","")&amp;$H$17</f>
        <v>#ERROR!</v>
      </c>
      <c r="J17" s="16" t="str">
        <f t="shared" si="1"/>
        <v/>
      </c>
      <c r="K17" s="16" t="str">
        <f>IF($H$17&gt;=$B$12,"Heroica ("&amp;$B$12&amp;")",IF($H$17&gt;=$B$11,"Muito Difícil ("&amp;$B$11&amp;")",IF($H$17&gt;=$B$10,"Difícil ("&amp;$B$10&amp;")",IF($H$17&gt;=$B$9,"Média ("&amp;$B$9&amp;")",IF($H$17&gt;=$B$8,"Fácil ("&amp;$B$8&amp;")",IF($H$17&gt;=$B$7,"Trivial ("&amp;$B$7&amp;")","—"))))))</f>
        <v>#ERROR!</v>
      </c>
      <c r="L17" s="55" t="str">
        <f>IF($E$17&lt;&gt;"Sim","",IF('Criação'!$E$70&lt;&gt;"Sim","Eficácia exige Eficiência nesta Perícia",IF(COUNTIF($E$16:E17,"Sim")&gt;'Criação'!$E$14,"Acima dos slots de Eficácia em Perícias ("&amp;'Criação'!$E$14&amp;")","")))</f>
        <v/>
      </c>
    </row>
    <row r="18" ht="25.5" customHeight="1">
      <c r="A18" s="26" t="s">
        <v>116</v>
      </c>
      <c r="B18" s="41" t="str">
        <f>'Criação'!$B$71</f>
        <v>Agilidade</v>
      </c>
      <c r="C18" s="41">
        <f t="array" ref="C18">IFERROR(INDEX('Criação'!$F$44:$F$49,MATCH($B$18,'Criação'!$A$44:$A$49,0)),0)</f>
        <v>0</v>
      </c>
      <c r="D18" s="41" t="str">
        <f>IF('Criação'!$E$71="Sim","Sim ("&amp;'Criação'!$F$71&amp;")","Não")</f>
        <v>#ERROR!</v>
      </c>
      <c r="E18" s="34"/>
      <c r="F18" s="41">
        <f>IF($B$18="Agilidade",'Criação'!$E$93,0)</f>
        <v>0</v>
      </c>
      <c r="G18" s="41">
        <f>IF(Equipamento!$L$31="Furtividade",Equipamento!$K$31,0)+MIN('Criação'!$J$14,COUNTIF(Equipamento!$P$45:$P$47,"Furtividade"))</f>
        <v>0</v>
      </c>
      <c r="H18" s="27" t="str">
        <f>$C$18+IF('Criação'!$E$71="Sim",IF(AND($E$18="Sim",'Criação'!$E$71="Sim",COUNTIF($E$16:E18,"Sim")&lt;='Criação'!$E$14),2*'Criação'!$C$14,'Criação'!$C$14),0)+$F$18+$G$18</f>
        <v>#ERROR!</v>
      </c>
      <c r="I18" s="27" t="str">
        <f>"d20"&amp;IF($H$18&gt;=0,"+","")&amp;$H$18</f>
        <v>#ERROR!</v>
      </c>
      <c r="J18" s="9" t="str">
        <f t="shared" si="1"/>
        <v/>
      </c>
      <c r="K18" s="9" t="str">
        <f>IF($H$18&gt;=$B$12,"Heroica ("&amp;$B$12&amp;")",IF($H$18&gt;=$B$11,"Muito Difícil ("&amp;$B$11&amp;")",IF($H$18&gt;=$B$10,"Difícil ("&amp;$B$10&amp;")",IF($H$18&gt;=$B$9,"Média ("&amp;$B$9&amp;")",IF($H$18&gt;=$B$8,"Fácil ("&amp;$B$8&amp;")",IF($H$18&gt;=$B$7,"Trivial ("&amp;$B$7&amp;")","—"))))))</f>
        <v>#ERROR!</v>
      </c>
      <c r="L18" s="30" t="str">
        <f>IF($E$18&lt;&gt;"Sim","",IF('Criação'!$E$71&lt;&gt;"Sim","Eficácia exige Eficiência nesta Perícia",IF(COUNTIF($E$16:E18,"Sim")&gt;'Criação'!$E$14,"Acima dos slots de Eficácia em Perícias ("&amp;'Criação'!$E$14&amp;")","")))</f>
        <v/>
      </c>
    </row>
    <row r="19" ht="25.5" customHeight="1">
      <c r="A19" s="40" t="s">
        <v>143</v>
      </c>
      <c r="B19" s="47" t="str">
        <f>'Criação'!$B$72</f>
        <v>Agilidade</v>
      </c>
      <c r="C19" s="47">
        <f t="array" ref="C19">IFERROR(INDEX('Criação'!$F$44:$F$49,MATCH($B$19,'Criação'!$A$44:$A$49,0)),0)</f>
        <v>0</v>
      </c>
      <c r="D19" s="47" t="str">
        <f>IF('Criação'!$E$72="Sim","Sim ("&amp;'Criação'!$F$72&amp;")","Não")</f>
        <v>#ERROR!</v>
      </c>
      <c r="E19" s="50"/>
      <c r="F19" s="47">
        <f>IF($B$19="Agilidade",'Criação'!$E$93,0)</f>
        <v>0</v>
      </c>
      <c r="G19" s="47">
        <f>IF(Equipamento!$L$31="Pilotagem",Equipamento!$K$31,0)+MIN('Criação'!$J$14,COUNTIF(Equipamento!$P$45:$P$47,"Pilotagem"))</f>
        <v>0</v>
      </c>
      <c r="H19" s="38" t="str">
        <f>$C$19+IF('Criação'!$E$72="Sim",IF(AND($E$19="Sim",'Criação'!$E$72="Sim",COUNTIF($E$16:E19,"Sim")&lt;='Criação'!$E$14),2*'Criação'!$C$14,'Criação'!$C$14),0)+$F$19+$G$19</f>
        <v>#ERROR!</v>
      </c>
      <c r="I19" s="38" t="str">
        <f>"d20"&amp;IF($H$19&gt;=0,"+","")&amp;$H$19</f>
        <v>#ERROR!</v>
      </c>
      <c r="J19" s="16" t="str">
        <f t="shared" si="1"/>
        <v/>
      </c>
      <c r="K19" s="16" t="str">
        <f>IF($H$19&gt;=$B$12,"Heroica ("&amp;$B$12&amp;")",IF($H$19&gt;=$B$11,"Muito Difícil ("&amp;$B$11&amp;")",IF($H$19&gt;=$B$10,"Difícil ("&amp;$B$10&amp;")",IF($H$19&gt;=$B$9,"Média ("&amp;$B$9&amp;")",IF($H$19&gt;=$B$8,"Fácil ("&amp;$B$8&amp;")",IF($H$19&gt;=$B$7,"Trivial ("&amp;$B$7&amp;")","—"))))))</f>
        <v>#ERROR!</v>
      </c>
      <c r="L19" s="55" t="str">
        <f>IF($E$19&lt;&gt;"Sim","",IF('Criação'!$E$72&lt;&gt;"Sim","Eficácia exige Eficiência nesta Perícia",IF(COUNTIF($E$16:E19,"Sim")&gt;'Criação'!$E$14,"Acima dos slots de Eficácia em Perícias ("&amp;'Criação'!$E$14&amp;")","")))</f>
        <v/>
      </c>
    </row>
    <row r="20" ht="25.5" customHeight="1">
      <c r="A20" s="26" t="s">
        <v>172</v>
      </c>
      <c r="B20" s="41" t="str">
        <f>'Criação'!$B$73</f>
        <v>Vigor</v>
      </c>
      <c r="C20" s="41">
        <f t="array" ref="C20">IFERROR(INDEX('Criação'!$F$44:$F$49,MATCH($B$20,'Criação'!$A$44:$A$49,0)),0)</f>
        <v>0</v>
      </c>
      <c r="D20" s="41" t="str">
        <f>IF('Criação'!$E$73="Sim","Sim ("&amp;'Criação'!$F$73&amp;")","Não")</f>
        <v>#ERROR!</v>
      </c>
      <c r="E20" s="34"/>
      <c r="F20" s="41">
        <f>IF($B$20="Agilidade",'Criação'!$E$93,0)</f>
        <v>0</v>
      </c>
      <c r="G20" s="41">
        <f>IF(Equipamento!$L$31="Resistência",Equipamento!$K$31,0)+MIN('Criação'!$J$14,COUNTIF(Equipamento!$P$45:$P$47,"Resistência"))</f>
        <v>0</v>
      </c>
      <c r="H20" s="27" t="str">
        <f>$C$20+IF('Criação'!$E$73="Sim",IF(AND($E$20="Sim",'Criação'!$E$73="Sim",COUNTIF($E$16:E20,"Sim")&lt;='Criação'!$E$14),2*'Criação'!$C$14,'Criação'!$C$14),0)+$F$20+$G$20</f>
        <v>#ERROR!</v>
      </c>
      <c r="I20" s="27" t="str">
        <f>"d20"&amp;IF($H$20&gt;=0,"+","")&amp;$H$20</f>
        <v>#ERROR!</v>
      </c>
      <c r="J20" s="9" t="str">
        <f t="shared" si="1"/>
        <v/>
      </c>
      <c r="K20" s="9" t="str">
        <f>IF($H$20&gt;=$B$12,"Heroica ("&amp;$B$12&amp;")",IF($H$20&gt;=$B$11,"Muito Difícil ("&amp;$B$11&amp;")",IF($H$20&gt;=$B$10,"Difícil ("&amp;$B$10&amp;")",IF($H$20&gt;=$B$9,"Média ("&amp;$B$9&amp;")",IF($H$20&gt;=$B$8,"Fácil ("&amp;$B$8&amp;")",IF($H$20&gt;=$B$7,"Trivial ("&amp;$B$7&amp;")","—"))))))</f>
        <v>#ERROR!</v>
      </c>
      <c r="L20" s="30" t="str">
        <f>IF($E$20&lt;&gt;"Sim","",IF('Criação'!$E$73&lt;&gt;"Sim","Eficácia exige Eficiência nesta Perícia",IF(COUNTIF($E$16:E20,"Sim")&gt;'Criação'!$E$14,"Acima dos slots de Eficácia em Perícias ("&amp;'Criação'!$E$14&amp;")","")))</f>
        <v/>
      </c>
    </row>
    <row r="21" ht="39.75" customHeight="1">
      <c r="A21" s="14" t="s">
        <v>189</v>
      </c>
      <c r="B21" s="14" t="s">
        <v>57</v>
      </c>
      <c r="C21" s="14" t="s">
        <v>58</v>
      </c>
      <c r="D21" s="14" t="s">
        <v>59</v>
      </c>
      <c r="E21" s="14" t="s">
        <v>60</v>
      </c>
      <c r="F21" s="14" t="s">
        <v>61</v>
      </c>
      <c r="G21" s="14" t="s">
        <v>62</v>
      </c>
      <c r="H21" s="14" t="s">
        <v>63</v>
      </c>
      <c r="I21" s="14" t="s">
        <v>64</v>
      </c>
      <c r="J21" s="14" t="s">
        <v>65</v>
      </c>
      <c r="K21" s="14" t="s">
        <v>66</v>
      </c>
      <c r="L21" s="14" t="s">
        <v>67</v>
      </c>
    </row>
    <row r="22" ht="25.5" customHeight="1">
      <c r="A22" s="26" t="s">
        <v>188</v>
      </c>
      <c r="B22" s="41" t="str">
        <f>'Criação'!$B$75</f>
        <v>Sincronia</v>
      </c>
      <c r="C22" s="41">
        <f t="array" ref="C22">IFERROR(INDEX('Criação'!$F$44:$F$49,MATCH($B$22,'Criação'!$A$44:$A$49,0)),0)</f>
        <v>0</v>
      </c>
      <c r="D22" s="41" t="str">
        <f>IF('Criação'!$E$75="Sim","Sim ("&amp;'Criação'!$F$75&amp;")","Não")</f>
        <v>#ERROR!</v>
      </c>
      <c r="E22" s="34"/>
      <c r="F22" s="41">
        <f>IF($B$22="Agilidade",'Criação'!$E$93,0)</f>
        <v>0</v>
      </c>
      <c r="G22" s="41">
        <f>IF(Equipamento!$L$31="Tecnologia",Equipamento!$K$31,0)+MIN('Criação'!$J$14,COUNTIF(Equipamento!$P$45:$P$47,"Tecnologia"))</f>
        <v>0</v>
      </c>
      <c r="H22" s="27" t="str">
        <f>$C$22+IF('Criação'!$E$75="Sim",IF(AND($E$22="Sim",'Criação'!$E$75="Sim",COUNTIF($E$16:E22,"Sim")&lt;='Criação'!$E$14),2*'Criação'!$C$14,'Criação'!$C$14),0)+$F$22+$G$22</f>
        <v>#ERROR!</v>
      </c>
      <c r="I22" s="27" t="str">
        <f>"d20"&amp;IF($H$22&gt;=0,"+","")&amp;$H$22</f>
        <v>#ERROR!</v>
      </c>
      <c r="J22" s="9" t="str">
        <f>IF(OR('Criação'!$B$25="Intellitron"),"Vantagem ("&amp;'Criação'!$B$25&amp;")","")</f>
        <v/>
      </c>
      <c r="K22" s="9" t="str">
        <f>IF($H$22&gt;=$B$12,"Heroica ("&amp;$B$12&amp;")",IF($H$22&gt;=$B$11,"Muito Difícil ("&amp;$B$11&amp;")",IF($H$22&gt;=$B$10,"Difícil ("&amp;$B$10&amp;")",IF($H$22&gt;=$B$9,"Média ("&amp;$B$9&amp;")",IF($H$22&gt;=$B$8,"Fácil ("&amp;$B$8&amp;")",IF($H$22&gt;=$B$7,"Trivial ("&amp;$B$7&amp;")","—"))))))</f>
        <v>#ERROR!</v>
      </c>
      <c r="L22" s="30" t="str">
        <f>IF($E$22&lt;&gt;"Sim","",IF('Criação'!$E$75&lt;&gt;"Sim","Eficácia exige Eficiência nesta Perícia",IF(COUNTIF($E$16:E22,"Sim")&gt;'Criação'!$E$14,"Acima dos slots de Eficácia em Perícias ("&amp;'Criação'!$E$14&amp;")","")))</f>
        <v/>
      </c>
    </row>
    <row r="23" ht="25.5" customHeight="1">
      <c r="A23" s="40" t="s">
        <v>194</v>
      </c>
      <c r="B23" s="47" t="str">
        <f>'Criação'!$B$76</f>
        <v>Sincronia</v>
      </c>
      <c r="C23" s="47">
        <f t="array" ref="C23">IFERROR(INDEX('Criação'!$F$44:$F$49,MATCH($B$23,'Criação'!$A$44:$A$49,0)),0)</f>
        <v>0</v>
      </c>
      <c r="D23" s="47" t="str">
        <f>IF('Criação'!$E$76="Sim","Sim ("&amp;'Criação'!$F$76&amp;")","Não")</f>
        <v>#ERROR!</v>
      </c>
      <c r="E23" s="50"/>
      <c r="F23" s="47">
        <f>IF($B$23="Agilidade",'Criação'!$E$93,0)</f>
        <v>0</v>
      </c>
      <c r="G23" s="47">
        <f>IF(Equipamento!$L$31="Pesquisa",Equipamento!$K$31,0)+MIN('Criação'!$J$14,COUNTIF(Equipamento!$P$45:$P$47,"Pesquisa"))</f>
        <v>0</v>
      </c>
      <c r="H23" s="38" t="str">
        <f>$C$23+IF('Criação'!$E$76="Sim",IF(AND($E$23="Sim",'Criação'!$E$76="Sim",COUNTIF($E$16:E23,"Sim")&lt;='Criação'!$E$14),2*'Criação'!$C$14,'Criação'!$C$14),0)+$F$23+$G$23</f>
        <v>#ERROR!</v>
      </c>
      <c r="I23" s="38" t="str">
        <f>"d20"&amp;IF($H$23&gt;=0,"+","")&amp;$H$23</f>
        <v>#ERROR!</v>
      </c>
      <c r="J23" s="16" t="str">
        <f t="shared" ref="J23:J24" si="2">""</f>
        <v/>
      </c>
      <c r="K23" s="16" t="str">
        <f>IF($H$23&gt;=$B$12,"Heroica ("&amp;$B$12&amp;")",IF($H$23&gt;=$B$11,"Muito Difícil ("&amp;$B$11&amp;")",IF($H$23&gt;=$B$10,"Difícil ("&amp;$B$10&amp;")",IF($H$23&gt;=$B$9,"Média ("&amp;$B$9&amp;")",IF($H$23&gt;=$B$8,"Fácil ("&amp;$B$8&amp;")",IF($H$23&gt;=$B$7,"Trivial ("&amp;$B$7&amp;")","—"))))))</f>
        <v>#ERROR!</v>
      </c>
      <c r="L23" s="55" t="str">
        <f>IF($E$23&lt;&gt;"Sim","",IF('Criação'!$E$76&lt;&gt;"Sim","Eficácia exige Eficiência nesta Perícia",IF(COUNTIF($E$16:E23,"Sim")&gt;'Criação'!$E$14,"Acima dos slots de Eficácia em Perícias ("&amp;'Criação'!$E$14&amp;")","")))</f>
        <v/>
      </c>
    </row>
    <row r="24" ht="25.5" customHeight="1">
      <c r="A24" s="26" t="s">
        <v>200</v>
      </c>
      <c r="B24" s="41" t="str">
        <f>'Criação'!$B$77</f>
        <v>Sincronia</v>
      </c>
      <c r="C24" s="41">
        <f t="array" ref="C24">IFERROR(INDEX('Criação'!$F$44:$F$49,MATCH($B$24,'Criação'!$A$44:$A$49,0)),0)</f>
        <v>0</v>
      </c>
      <c r="D24" s="41" t="str">
        <f>IF('Criação'!$E$77="Sim","Sim ("&amp;'Criação'!$F$77&amp;")","Não")</f>
        <v>#ERROR!</v>
      </c>
      <c r="E24" s="34"/>
      <c r="F24" s="41">
        <f>IF($B$24="Agilidade",'Criação'!$E$93,0)</f>
        <v>0</v>
      </c>
      <c r="G24" s="41">
        <f>IF(Equipamento!$L$31="Ciência",Equipamento!$K$31,0)+MIN('Criação'!$J$14,COUNTIF(Equipamento!$P$45:$P$47,"Ciência"))</f>
        <v>0</v>
      </c>
      <c r="H24" s="27" t="str">
        <f>$C$24+IF('Criação'!$E$77="Sim",IF(AND($E$24="Sim",'Criação'!$E$77="Sim",COUNTIF($E$16:E24,"Sim")&lt;='Criação'!$E$14),2*'Criação'!$C$14,'Criação'!$C$14),0)+$F$24+$G$24</f>
        <v>#ERROR!</v>
      </c>
      <c r="I24" s="27" t="str">
        <f>"d20"&amp;IF($H$24&gt;=0,"+","")&amp;$H$24</f>
        <v>#ERROR!</v>
      </c>
      <c r="J24" s="9" t="str">
        <f t="shared" si="2"/>
        <v/>
      </c>
      <c r="K24" s="9" t="str">
        <f>IF($H$24&gt;=$B$12,"Heroica ("&amp;$B$12&amp;")",IF($H$24&gt;=$B$11,"Muito Difícil ("&amp;$B$11&amp;")",IF($H$24&gt;=$B$10,"Difícil ("&amp;$B$10&amp;")",IF($H$24&gt;=$B$9,"Média ("&amp;$B$9&amp;")",IF($H$24&gt;=$B$8,"Fácil ("&amp;$B$8&amp;")",IF($H$24&gt;=$B$7,"Trivial ("&amp;$B$7&amp;")","—"))))))</f>
        <v>#ERROR!</v>
      </c>
      <c r="L24" s="30" t="str">
        <f>IF($E$24&lt;&gt;"Sim","",IF('Criação'!$E$77&lt;&gt;"Sim","Eficácia exige Eficiência nesta Perícia",IF(COUNTIF($E$16:E24,"Sim")&gt;'Criação'!$E$14,"Acima dos slots de Eficácia em Perícias ("&amp;'Criação'!$E$14&amp;")","")))</f>
        <v/>
      </c>
    </row>
    <row r="25" ht="25.5" customHeight="1">
      <c r="A25" s="40" t="s">
        <v>208</v>
      </c>
      <c r="B25" s="47" t="str">
        <f>'Criação'!$B$78</f>
        <v>Sincronia</v>
      </c>
      <c r="C25" s="47">
        <f t="array" ref="C25">IFERROR(INDEX('Criação'!$F$44:$F$49,MATCH($B$25,'Criação'!$A$44:$A$49,0)),0)</f>
        <v>0</v>
      </c>
      <c r="D25" s="47" t="str">
        <f>IF('Criação'!$E$78="Sim","Sim ("&amp;'Criação'!$F$78&amp;")","Não")</f>
        <v>#ERROR!</v>
      </c>
      <c r="E25" s="50"/>
      <c r="F25" s="47">
        <f>IF($B$25="Agilidade",'Criação'!$E$93,0)</f>
        <v>0</v>
      </c>
      <c r="G25" s="47">
        <f>IF(Equipamento!$L$31="Mecânica",Equipamento!$K$31,0)+MIN('Criação'!$J$14,COUNTIF(Equipamento!$P$45:$P$47,"Mecânica"))</f>
        <v>0</v>
      </c>
      <c r="H25" s="38" t="str">
        <f>$C$25+IF('Criação'!$E$78="Sim",IF(AND($E$25="Sim",'Criação'!$E$78="Sim",COUNTIF($E$16:E25,"Sim")&lt;='Criação'!$E$14),2*'Criação'!$C$14,'Criação'!$C$14),0)+$F$25+$G$25</f>
        <v>#ERROR!</v>
      </c>
      <c r="I25" s="38" t="str">
        <f>"d20"&amp;IF($H$25&gt;=0,"+","")&amp;$H$25</f>
        <v>#ERROR!</v>
      </c>
      <c r="J25" s="16" t="str">
        <f>IF(OR('Criação'!$B$25="Intellitron"),"Vantagem ("&amp;'Criação'!$B$25&amp;")","")</f>
        <v/>
      </c>
      <c r="K25" s="16" t="str">
        <f>IF($H$25&gt;=$B$12,"Heroica ("&amp;$B$12&amp;")",IF($H$25&gt;=$B$11,"Muito Difícil ("&amp;$B$11&amp;")",IF($H$25&gt;=$B$10,"Difícil ("&amp;$B$10&amp;")",IF($H$25&gt;=$B$9,"Média ("&amp;$B$9&amp;")",IF($H$25&gt;=$B$8,"Fácil ("&amp;$B$8&amp;")",IF($H$25&gt;=$B$7,"Trivial ("&amp;$B$7&amp;")","—"))))))</f>
        <v>#ERROR!</v>
      </c>
      <c r="L25" s="55" t="str">
        <f>IF($E$25&lt;&gt;"Sim","",IF('Criação'!$E$78&lt;&gt;"Sim","Eficácia exige Eficiência nesta Perícia",IF(COUNTIF($E$16:E25,"Sim")&gt;'Criação'!$E$14,"Acima dos slots de Eficácia em Perícias ("&amp;'Criação'!$E$14&amp;")","")))</f>
        <v/>
      </c>
    </row>
    <row r="26" ht="25.5" customHeight="1">
      <c r="A26" s="26" t="s">
        <v>227</v>
      </c>
      <c r="B26" s="41" t="str">
        <f>'Criação'!$B$79</f>
        <v>Discernimento</v>
      </c>
      <c r="C26" s="41">
        <f t="array" ref="C26">IFERROR(INDEX('Criação'!$F$44:$F$49,MATCH($B$26,'Criação'!$A$44:$A$49,0)),0)</f>
        <v>0</v>
      </c>
      <c r="D26" s="41" t="str">
        <f>IF('Criação'!$E$79="Sim","Sim ("&amp;'Criação'!$F$79&amp;")","Não")</f>
        <v>#ERROR!</v>
      </c>
      <c r="E26" s="34"/>
      <c r="F26" s="41">
        <f>IF($B$26="Agilidade",'Criação'!$E$93,0)</f>
        <v>0</v>
      </c>
      <c r="G26" s="41">
        <f>IF(Equipamento!$L$31="Percepção",Equipamento!$K$31,0)+MIN('Criação'!$J$14,COUNTIF(Equipamento!$P$45:$P$47,"Percepção"))</f>
        <v>0</v>
      </c>
      <c r="H26" s="27" t="str">
        <f>$C$26+IF('Criação'!$E$79="Sim",IF(AND($E$26="Sim",'Criação'!$E$79="Sim",COUNTIF($E$16:E26,"Sim")&lt;='Criação'!$E$14),2*'Criação'!$C$14,'Criação'!$C$14),0)+$F$26+$G$26</f>
        <v>#ERROR!</v>
      </c>
      <c r="I26" s="27" t="str">
        <f>"d20"&amp;IF($H$26&gt;=0,"+","")&amp;$H$26</f>
        <v>#ERROR!</v>
      </c>
      <c r="J26" s="9" t="str">
        <f t="shared" ref="J26:J29" si="3">""</f>
        <v/>
      </c>
      <c r="K26" s="9" t="str">
        <f>IF($H$26&gt;=$B$12,"Heroica ("&amp;$B$12&amp;")",IF($H$26&gt;=$B$11,"Muito Difícil ("&amp;$B$11&amp;")",IF($H$26&gt;=$B$10,"Difícil ("&amp;$B$10&amp;")",IF($H$26&gt;=$B$9,"Média ("&amp;$B$9&amp;")",IF($H$26&gt;=$B$8,"Fácil ("&amp;$B$8&amp;")",IF($H$26&gt;=$B$7,"Trivial ("&amp;$B$7&amp;")","—"))))))</f>
        <v>#ERROR!</v>
      </c>
      <c r="L26" s="30" t="str">
        <f>IF($E$26&lt;&gt;"Sim","",IF('Criação'!$E$79&lt;&gt;"Sim","Eficácia exige Eficiência nesta Perícia",IF(COUNTIF($E$16:E26,"Sim")&gt;'Criação'!$E$14,"Acima dos slots de Eficácia em Perícias ("&amp;'Criação'!$E$14&amp;")","")))</f>
        <v/>
      </c>
    </row>
    <row r="27" ht="25.5" customHeight="1">
      <c r="A27" s="40" t="s">
        <v>232</v>
      </c>
      <c r="B27" s="47" t="str">
        <f>'Criação'!$B$80</f>
        <v>Discernimento</v>
      </c>
      <c r="C27" s="47">
        <f t="array" ref="C27">IFERROR(INDEX('Criação'!$F$44:$F$49,MATCH($B$27,'Criação'!$A$44:$A$49,0)),0)</f>
        <v>0</v>
      </c>
      <c r="D27" s="47" t="str">
        <f>IF('Criação'!$E$80="Sim","Sim ("&amp;'Criação'!$F$80&amp;")","Não")</f>
        <v>#ERROR!</v>
      </c>
      <c r="E27" s="50"/>
      <c r="F27" s="47">
        <f>IF($B$27="Agilidade",'Criação'!$E$93,0)</f>
        <v>0</v>
      </c>
      <c r="G27" s="47">
        <f>IF(Equipamento!$L$31="Sobrevivência",Equipamento!$K$31,0)+MIN('Criação'!$J$14,COUNTIF(Equipamento!$P$45:$P$47,"Sobrevivência"))</f>
        <v>0</v>
      </c>
      <c r="H27" s="38" t="str">
        <f>$C$27+IF('Criação'!$E$80="Sim",IF(AND($E$27="Sim",'Criação'!$E$80="Sim",COUNTIF($E$16:E27,"Sim")&lt;='Criação'!$E$14),2*'Criação'!$C$14,'Criação'!$C$14),0)+$F$27+$G$27</f>
        <v>#ERROR!</v>
      </c>
      <c r="I27" s="38" t="str">
        <f>"d20"&amp;IF($H$27&gt;=0,"+","")&amp;$H$27</f>
        <v>#ERROR!</v>
      </c>
      <c r="J27" s="16" t="str">
        <f t="shared" si="3"/>
        <v/>
      </c>
      <c r="K27" s="16" t="str">
        <f>IF($H$27&gt;=$B$12,"Heroica ("&amp;$B$12&amp;")",IF($H$27&gt;=$B$11,"Muito Difícil ("&amp;$B$11&amp;")",IF($H$27&gt;=$B$10,"Difícil ("&amp;$B$10&amp;")",IF($H$27&gt;=$B$9,"Média ("&amp;$B$9&amp;")",IF($H$27&gt;=$B$8,"Fácil ("&amp;$B$8&amp;")",IF($H$27&gt;=$B$7,"Trivial ("&amp;$B$7&amp;")","—"))))))</f>
        <v>#ERROR!</v>
      </c>
      <c r="L27" s="55" t="str">
        <f>IF($E$27&lt;&gt;"Sim","",IF('Criação'!$E$80&lt;&gt;"Sim","Eficácia exige Eficiência nesta Perícia",IF(COUNTIF($E$16:E27,"Sim")&gt;'Criação'!$E$14,"Acima dos slots de Eficácia em Perícias ("&amp;'Criação'!$E$14&amp;")","")))</f>
        <v/>
      </c>
    </row>
    <row r="28" ht="25.5" customHeight="1">
      <c r="A28" s="26" t="s">
        <v>241</v>
      </c>
      <c r="B28" s="41" t="str">
        <f>'Criação'!$B$81</f>
        <v>Discernimento</v>
      </c>
      <c r="C28" s="41">
        <f t="array" ref="C28">IFERROR(INDEX('Criação'!$F$44:$F$49,MATCH($B$28,'Criação'!$A$44:$A$49,0)),0)</f>
        <v>0</v>
      </c>
      <c r="D28" s="41" t="str">
        <f>IF('Criação'!$E$81="Sim","Sim ("&amp;'Criação'!$F$81&amp;")","Não")</f>
        <v>#ERROR!</v>
      </c>
      <c r="E28" s="34"/>
      <c r="F28" s="41">
        <f>IF($B$28="Agilidade",'Criação'!$E$93,0)</f>
        <v>0</v>
      </c>
      <c r="G28" s="41">
        <f>IF(Equipamento!$L$31="Intuição",Equipamento!$K$31,0)+MIN('Criação'!$J$14,COUNTIF(Equipamento!$P$45:$P$47,"Intuição"))</f>
        <v>0</v>
      </c>
      <c r="H28" s="27" t="str">
        <f>$C$28+IF('Criação'!$E$81="Sim",IF(AND($E$28="Sim",'Criação'!$E$81="Sim",COUNTIF($E$16:E28,"Sim")&lt;='Criação'!$E$14),2*'Criação'!$C$14,'Criação'!$C$14),0)+$F$28+$G$28</f>
        <v>#ERROR!</v>
      </c>
      <c r="I28" s="27" t="str">
        <f>"d20"&amp;IF($H$28&gt;=0,"+","")&amp;$H$28</f>
        <v>#ERROR!</v>
      </c>
      <c r="J28" s="9" t="str">
        <f t="shared" si="3"/>
        <v/>
      </c>
      <c r="K28" s="9" t="str">
        <f>IF($H$28&gt;=$B$12,"Heroica ("&amp;$B$12&amp;")",IF($H$28&gt;=$B$11,"Muito Difícil ("&amp;$B$11&amp;")",IF($H$28&gt;=$B$10,"Difícil ("&amp;$B$10&amp;")",IF($H$28&gt;=$B$9,"Média ("&amp;$B$9&amp;")",IF($H$28&gt;=$B$8,"Fácil ("&amp;$B$8&amp;")",IF($H$28&gt;=$B$7,"Trivial ("&amp;$B$7&amp;")","—"))))))</f>
        <v>#ERROR!</v>
      </c>
      <c r="L28" s="30" t="str">
        <f>IF($E$28&lt;&gt;"Sim","",IF('Criação'!$E$81&lt;&gt;"Sim","Eficácia exige Eficiência nesta Perícia",IF(COUNTIF($E$16:E28,"Sim")&gt;'Criação'!$E$14,"Acima dos slots de Eficácia em Perícias ("&amp;'Criação'!$E$14&amp;")","")))</f>
        <v/>
      </c>
    </row>
    <row r="29" ht="25.5" customHeight="1">
      <c r="A29" s="40" t="s">
        <v>250</v>
      </c>
      <c r="B29" s="47" t="str">
        <f>'Criação'!$B$82</f>
        <v>Discernimento</v>
      </c>
      <c r="C29" s="47">
        <f t="array" ref="C29">IFERROR(INDEX('Criação'!$F$44:$F$49,MATCH($B$29,'Criação'!$A$44:$A$49,0)),0)</f>
        <v>0</v>
      </c>
      <c r="D29" s="47" t="str">
        <f>IF('Criação'!$E$82="Sim","Sim ("&amp;'Criação'!$F$82&amp;")","Não")</f>
        <v>#ERROR!</v>
      </c>
      <c r="E29" s="50"/>
      <c r="F29" s="47">
        <f>IF($B$29="Agilidade",'Criação'!$E$93,0)</f>
        <v>0</v>
      </c>
      <c r="G29" s="47">
        <f>IF(Equipamento!$L$31="Investigação",Equipamento!$K$31,0)+MIN('Criação'!$J$14,COUNTIF(Equipamento!$P$45:$P$47,"Investigação"))</f>
        <v>0</v>
      </c>
      <c r="H29" s="38" t="str">
        <f>$C$29+IF('Criação'!$E$82="Sim",IF(AND($E$29="Sim",'Criação'!$E$82="Sim",COUNTIF($E$16:E29,"Sim")&lt;='Criação'!$E$14),2*'Criação'!$C$14,'Criação'!$C$14),0)+$F$29+$G$29</f>
        <v>#ERROR!</v>
      </c>
      <c r="I29" s="38" t="str">
        <f>"d20"&amp;IF($H$29&gt;=0,"+","")&amp;$H$29</f>
        <v>#ERROR!</v>
      </c>
      <c r="J29" s="16" t="str">
        <f t="shared" si="3"/>
        <v/>
      </c>
      <c r="K29" s="16" t="str">
        <f>IF($H$29&gt;=$B$12,"Heroica ("&amp;$B$12&amp;")",IF($H$29&gt;=$B$11,"Muito Difícil ("&amp;$B$11&amp;")",IF($H$29&gt;=$B$10,"Difícil ("&amp;$B$10&amp;")",IF($H$29&gt;=$B$9,"Média ("&amp;$B$9&amp;")",IF($H$29&gt;=$B$8,"Fácil ("&amp;$B$8&amp;")",IF($H$29&gt;=$B$7,"Trivial ("&amp;$B$7&amp;")","—"))))))</f>
        <v>#ERROR!</v>
      </c>
      <c r="L29" s="55" t="str">
        <f>IF($E$29&lt;&gt;"Sim","",IF('Criação'!$E$82&lt;&gt;"Sim","Eficácia exige Eficiência nesta Perícia",IF(COUNTIF($E$16:E29,"Sim")&gt;'Criação'!$E$14,"Acima dos slots de Eficácia em Perícias ("&amp;'Criação'!$E$14&amp;")","")))</f>
        <v/>
      </c>
    </row>
    <row r="30" ht="39.75" customHeight="1">
      <c r="A30" s="14" t="s">
        <v>257</v>
      </c>
      <c r="B30" s="14" t="s">
        <v>57</v>
      </c>
      <c r="C30" s="14" t="s">
        <v>58</v>
      </c>
      <c r="D30" s="14" t="s">
        <v>59</v>
      </c>
      <c r="E30" s="14" t="s">
        <v>60</v>
      </c>
      <c r="F30" s="14" t="s">
        <v>61</v>
      </c>
      <c r="G30" s="14" t="s">
        <v>62</v>
      </c>
      <c r="H30" s="14" t="s">
        <v>63</v>
      </c>
      <c r="I30" s="14" t="s">
        <v>64</v>
      </c>
      <c r="J30" s="14" t="s">
        <v>65</v>
      </c>
      <c r="K30" s="14" t="s">
        <v>66</v>
      </c>
      <c r="L30" s="14" t="s">
        <v>67</v>
      </c>
    </row>
    <row r="31" ht="25.5" customHeight="1">
      <c r="A31" s="26" t="s">
        <v>259</v>
      </c>
      <c r="B31" s="41" t="str">
        <f>'Criação'!$B$84</f>
        <v>Presença</v>
      </c>
      <c r="C31" s="41">
        <f t="array" ref="C31">IFERROR(INDEX('Criação'!$F$44:$F$49,MATCH($B$31,'Criação'!$A$44:$A$49,0)),0)</f>
        <v>0</v>
      </c>
      <c r="D31" s="41" t="str">
        <f>IF('Criação'!$E$84="Sim","Sim ("&amp;'Criação'!$F$84&amp;")","Não")</f>
        <v>#ERROR!</v>
      </c>
      <c r="E31" s="34"/>
      <c r="F31" s="41">
        <f>IF($B$31="Agilidade",'Criação'!$E$93,0)</f>
        <v>0</v>
      </c>
      <c r="G31" s="41">
        <f>IF(Equipamento!$L$31="Persuasão",Equipamento!$K$31,0)+MIN('Criação'!$J$14,COUNTIF(Equipamento!$P$45:$P$47,"Persuasão"))</f>
        <v>0</v>
      </c>
      <c r="H31" s="27" t="str">
        <f>$C$31+IF('Criação'!$E$84="Sim",IF(AND($E$31="Sim",'Criação'!$E$84="Sim",COUNTIF($E$16:E31,"Sim")&lt;='Criação'!$E$14),2*'Criação'!$C$14,'Criação'!$C$14),0)+$F$31+$G$31</f>
        <v>#ERROR!</v>
      </c>
      <c r="I31" s="27" t="str">
        <f>"d20"&amp;IF($H$31&gt;=0,"+","")&amp;$H$31</f>
        <v>#ERROR!</v>
      </c>
      <c r="J31" s="9" t="str">
        <f>IF(OR('Criação'!$B$25="Vulpes"),"Vantagem ("&amp;'Criação'!$B$25&amp;")","")</f>
        <v/>
      </c>
      <c r="K31" s="9" t="str">
        <f>IF($H$31&gt;=$B$12,"Heroica ("&amp;$B$12&amp;")",IF($H$31&gt;=$B$11,"Muito Difícil ("&amp;$B$11&amp;")",IF($H$31&gt;=$B$10,"Difícil ("&amp;$B$10&amp;")",IF($H$31&gt;=$B$9,"Média ("&amp;$B$9&amp;")",IF($H$31&gt;=$B$8,"Fácil ("&amp;$B$8&amp;")",IF($H$31&gt;=$B$7,"Trivial ("&amp;$B$7&amp;")","—"))))))</f>
        <v>#ERROR!</v>
      </c>
      <c r="L31" s="30" t="str">
        <f>IF($E$31&lt;&gt;"Sim","",IF('Criação'!$E$84&lt;&gt;"Sim","Eficácia exige Eficiência nesta Perícia",IF(COUNTIF($E$16:E31,"Sim")&gt;'Criação'!$E$14,"Acima dos slots de Eficácia em Perícias ("&amp;'Criação'!$E$14&amp;")","")))</f>
        <v/>
      </c>
    </row>
    <row r="32" ht="25.5" customHeight="1">
      <c r="A32" s="40" t="s">
        <v>265</v>
      </c>
      <c r="B32" s="47" t="str">
        <f>'Criação'!$B$85</f>
        <v>Presença</v>
      </c>
      <c r="C32" s="47">
        <f t="array" ref="C32">IFERROR(INDEX('Criação'!$F$44:$F$49,MATCH($B$32,'Criação'!$A$44:$A$49,0)),0)</f>
        <v>0</v>
      </c>
      <c r="D32" s="47" t="str">
        <f>IF('Criação'!$E$85="Sim","Sim ("&amp;'Criação'!$F$85&amp;")","Não")</f>
        <v>#ERROR!</v>
      </c>
      <c r="E32" s="50"/>
      <c r="F32" s="47">
        <f>IF($B$32="Agilidade",'Criação'!$E$93,0)</f>
        <v>0</v>
      </c>
      <c r="G32" s="47">
        <f>IF(Equipamento!$L$31="Intimidação",Equipamento!$K$31,0)+MIN('Criação'!$J$14,COUNTIF(Equipamento!$P$45:$P$47,"Intimidação"))</f>
        <v>0</v>
      </c>
      <c r="H32" s="38" t="str">
        <f>$C$32+IF('Criação'!$E$85="Sim",IF(AND($E$32="Sim",'Criação'!$E$85="Sim",COUNTIF($E$16:E32,"Sim")&lt;='Criação'!$E$14),2*'Criação'!$C$14,'Criação'!$C$14),0)+$F$32+$G$32</f>
        <v>#ERROR!</v>
      </c>
      <c r="I32" s="38" t="str">
        <f>"d20"&amp;IF($H$32&gt;=0,"+","")&amp;$H$32</f>
        <v>#ERROR!</v>
      </c>
      <c r="J32" s="16" t="str">
        <f>IF(OR('Criação'!$B$25="Vulpes"),"Vantagem ("&amp;'Criação'!$B$25&amp;")","")</f>
        <v/>
      </c>
      <c r="K32" s="16" t="str">
        <f>IF($H$32&gt;=$B$12,"Heroica ("&amp;$B$12&amp;")",IF($H$32&gt;=$B$11,"Muito Difícil ("&amp;$B$11&amp;")",IF($H$32&gt;=$B$10,"Difícil ("&amp;$B$10&amp;")",IF($H$32&gt;=$B$9,"Média ("&amp;$B$9&amp;")",IF($H$32&gt;=$B$8,"Fácil ("&amp;$B$8&amp;")",IF($H$32&gt;=$B$7,"Trivial ("&amp;$B$7&amp;")","—"))))))</f>
        <v>#ERROR!</v>
      </c>
      <c r="L32" s="55" t="str">
        <f>IF($E$32&lt;&gt;"Sim","",IF('Criação'!$E$85&lt;&gt;"Sim","Eficácia exige Eficiência nesta Perícia",IF(COUNTIF($E$16:E32,"Sim")&gt;'Criação'!$E$14,"Acima dos slots de Eficácia em Perícias ("&amp;'Criação'!$E$14&amp;")","")))</f>
        <v/>
      </c>
    </row>
    <row r="33" ht="25.5" customHeight="1">
      <c r="A33" s="26" t="s">
        <v>268</v>
      </c>
      <c r="B33" s="41" t="str">
        <f>'Criação'!$B$86</f>
        <v>Presença</v>
      </c>
      <c r="C33" s="41">
        <f t="array" ref="C33">IFERROR(INDEX('Criação'!$F$44:$F$49,MATCH($B$33,'Criação'!$A$44:$A$49,0)),0)</f>
        <v>0</v>
      </c>
      <c r="D33" s="41" t="str">
        <f>IF('Criação'!$E$86="Sim","Sim ("&amp;'Criação'!$F$86&amp;")","Não")</f>
        <v>#ERROR!</v>
      </c>
      <c r="E33" s="34"/>
      <c r="F33" s="41">
        <f>IF($B$33="Agilidade",'Criação'!$E$93,0)</f>
        <v>0</v>
      </c>
      <c r="G33" s="41">
        <f>IF(Equipamento!$L$31="Enganação",Equipamento!$K$31,0)+MIN('Criação'!$J$14,COUNTIF(Equipamento!$P$45:$P$47,"Enganação"))</f>
        <v>0</v>
      </c>
      <c r="H33" s="27" t="str">
        <f>$C$33+IF('Criação'!$E$86="Sim",IF(AND($E$33="Sim",'Criação'!$E$86="Sim",COUNTIF($E$16:E33,"Sim")&lt;='Criação'!$E$14),2*'Criação'!$C$14,'Criação'!$C$14),0)+$F$33+$G$33</f>
        <v>#ERROR!</v>
      </c>
      <c r="I33" s="27" t="str">
        <f>"d20"&amp;IF($H$33&gt;=0,"+","")&amp;$H$33</f>
        <v>#ERROR!</v>
      </c>
      <c r="J33" s="9" t="str">
        <f>IF(OR('Criação'!$B$25="Vulpes"),"Vantagem ("&amp;'Criação'!$B$25&amp;")","")</f>
        <v/>
      </c>
      <c r="K33" s="9" t="str">
        <f>IF($H$33&gt;=$B$12,"Heroica ("&amp;$B$12&amp;")",IF($H$33&gt;=$B$11,"Muito Difícil ("&amp;$B$11&amp;")",IF($H$33&gt;=$B$10,"Difícil ("&amp;$B$10&amp;")",IF($H$33&gt;=$B$9,"Média ("&amp;$B$9&amp;")",IF($H$33&gt;=$B$8,"Fácil ("&amp;$B$8&amp;")",IF($H$33&gt;=$B$7,"Trivial ("&amp;$B$7&amp;")","—"))))))</f>
        <v>#ERROR!</v>
      </c>
      <c r="L33" s="30" t="str">
        <f>IF($E$33&lt;&gt;"Sim","",IF('Criação'!$E$86&lt;&gt;"Sim","Eficácia exige Eficiência nesta Perícia",IF(COUNTIF($E$16:E33,"Sim")&gt;'Criação'!$E$14,"Acima dos slots de Eficácia em Perícias ("&amp;'Criação'!$E$14&amp;")","")))</f>
        <v/>
      </c>
    </row>
    <row r="34" ht="25.5" customHeight="1">
      <c r="A34" s="40" t="s">
        <v>280</v>
      </c>
      <c r="B34" s="47" t="str">
        <f>'Criação'!$B$87</f>
        <v>Presença</v>
      </c>
      <c r="C34" s="47">
        <f t="array" ref="C34">IFERROR(INDEX('Criação'!$F$44:$F$49,MATCH($B$34,'Criação'!$A$44:$A$49,0)),0)</f>
        <v>0</v>
      </c>
      <c r="D34" s="47" t="str">
        <f>IF('Criação'!$E$87="Sim","Sim ("&amp;'Criação'!$F$87&amp;")","Não")</f>
        <v>#ERROR!</v>
      </c>
      <c r="E34" s="50"/>
      <c r="F34" s="47">
        <f>IF($B$34="Agilidade",'Criação'!$E$93,0)</f>
        <v>0</v>
      </c>
      <c r="G34" s="47">
        <f>IF(Equipamento!$L$31="Liderança",Equipamento!$K$31,0)+MIN('Criação'!$J$14,COUNTIF(Equipamento!$P$45:$P$47,"Liderança"))</f>
        <v>0</v>
      </c>
      <c r="H34" s="38" t="str">
        <f>$C$34+IF('Criação'!$E$87="Sim",IF(AND($E$34="Sim",'Criação'!$E$87="Sim",COUNTIF($E$16:E34,"Sim")&lt;='Criação'!$E$14),2*'Criação'!$C$14,'Criação'!$C$14),0)+$F$34+$G$34</f>
        <v>#ERROR!</v>
      </c>
      <c r="I34" s="38" t="str">
        <f>"d20"&amp;IF($H$34&gt;=0,"+","")&amp;$H$34</f>
        <v>#ERROR!</v>
      </c>
      <c r="J34" s="16" t="str">
        <f>IF(OR('Criação'!$B$25="Vulpes"),"Vantagem ("&amp;'Criação'!$B$25&amp;")","")</f>
        <v/>
      </c>
      <c r="K34" s="16" t="str">
        <f>IF($H$34&gt;=$B$12,"Heroica ("&amp;$B$12&amp;")",IF($H$34&gt;=$B$11,"Muito Difícil ("&amp;$B$11&amp;")",IF($H$34&gt;=$B$10,"Difícil ("&amp;$B$10&amp;")",IF($H$34&gt;=$B$9,"Média ("&amp;$B$9&amp;")",IF($H$34&gt;=$B$8,"Fácil ("&amp;$B$8&amp;")",IF($H$34&gt;=$B$7,"Trivial ("&amp;$B$7&amp;")","—"))))))</f>
        <v>#ERROR!</v>
      </c>
      <c r="L34" s="55" t="str">
        <f>IF($E$34&lt;&gt;"Sim","",IF('Criação'!$E$87&lt;&gt;"Sim","Eficácia exige Eficiência nesta Perícia",IF(COUNTIF($E$16:E34,"Sim")&gt;'Criação'!$E$14,"Acima dos slots de Eficácia em Perícias ("&amp;'Criação'!$E$14&amp;")","")))</f>
        <v/>
      </c>
    </row>
    <row r="35" ht="25.5" customHeight="1">
      <c r="A35" s="26" t="s">
        <v>282</v>
      </c>
      <c r="B35" s="41" t="str">
        <f>'Criação'!$B$88</f>
        <v>Discernimento</v>
      </c>
      <c r="C35" s="41">
        <f t="array" ref="C35">IFERROR(INDEX('Criação'!$F$44:$F$49,MATCH($B$35,'Criação'!$A$44:$A$49,0)),0)</f>
        <v>0</v>
      </c>
      <c r="D35" s="41" t="str">
        <f>IF('Criação'!$E$88="Sim","Sim ("&amp;'Criação'!$F$88&amp;")","Não")</f>
        <v>#ERROR!</v>
      </c>
      <c r="E35" s="34"/>
      <c r="F35" s="41">
        <f>IF($B$35="Agilidade",'Criação'!$E$93,0)</f>
        <v>0</v>
      </c>
      <c r="G35" s="41">
        <f>IF(Equipamento!$L$31="Sintonia",Equipamento!$K$31,0)+MIN('Criação'!$J$14,COUNTIF(Equipamento!$P$45:$P$47,"Sintonia"))</f>
        <v>0</v>
      </c>
      <c r="H35" s="27" t="str">
        <f>$C$35+IF('Criação'!$E$88="Sim",IF(AND($E$35="Sim",'Criação'!$E$88="Sim",COUNTIF($E$16:E35,"Sim")&lt;='Criação'!$E$14),2*'Criação'!$C$14,'Criação'!$C$14),0)+$F$35+$G$35</f>
        <v>#ERROR!</v>
      </c>
      <c r="I35" s="27" t="str">
        <f>"d20"&amp;IF($H$35&gt;=0,"+","")&amp;$H$35</f>
        <v>#ERROR!</v>
      </c>
      <c r="J35" s="9" t="str">
        <f>""</f>
        <v/>
      </c>
      <c r="K35" s="9" t="str">
        <f>IF($H$35&gt;=$B$12,"Heroica ("&amp;$B$12&amp;")",IF($H$35&gt;=$B$11,"Muito Difícil ("&amp;$B$11&amp;")",IF($H$35&gt;=$B$10,"Difícil ("&amp;$B$10&amp;")",IF($H$35&gt;=$B$9,"Média ("&amp;$B$9&amp;")",IF($H$35&gt;=$B$8,"Fácil ("&amp;$B$8&amp;")",IF($H$35&gt;=$B$7,"Trivial ("&amp;$B$7&amp;")","—"))))))</f>
        <v>#ERROR!</v>
      </c>
      <c r="L35" s="30" t="str">
        <f>IF($E$35&lt;&gt;"Sim","",IF('Criação'!$E$88&lt;&gt;"Sim","Eficácia exige Eficiência nesta Perícia",IF(COUNTIF($E$16:E35,"Sim")&gt;'Criação'!$E$14,"Acima dos slots de Eficácia em Perícias ("&amp;'Criação'!$E$14&amp;")","")))</f>
        <v/>
      </c>
    </row>
    <row r="36" ht="36.75" customHeight="1">
      <c r="A36" s="46" t="s">
        <v>283</v>
      </c>
      <c r="B36" s="38">
        <f>COUNTIF($E$16:$E$35,"Sim")</f>
        <v>0</v>
      </c>
      <c r="C36" s="38">
        <f>'Criação'!$E$14</f>
        <v>0</v>
      </c>
      <c r="D36" s="62" t="s">
        <v>285</v>
      </c>
      <c r="E36" s="38">
        <f>'Criação'!$D$67</f>
        <v>0</v>
      </c>
      <c r="F36" s="49"/>
      <c r="G36" s="49"/>
      <c r="H36" s="49"/>
      <c r="I36" s="49"/>
      <c r="J36" s="49"/>
      <c r="K36" s="49"/>
      <c r="L36" s="49"/>
    </row>
    <row r="37" ht="15.75" customHeight="1"/>
    <row r="38" ht="15.75" customHeight="1">
      <c r="A38" s="5" t="s">
        <v>287</v>
      </c>
      <c r="B38" s="2"/>
      <c r="C38" s="2"/>
      <c r="D38" s="2"/>
      <c r="E38" s="2"/>
      <c r="F38" s="2"/>
      <c r="G38" s="2"/>
      <c r="H38" s="2"/>
      <c r="I38" s="2"/>
      <c r="J38" s="2"/>
      <c r="K38" s="2"/>
      <c r="L38" s="3"/>
    </row>
    <row r="39" ht="39.75" customHeight="1">
      <c r="A39" s="14" t="s">
        <v>290</v>
      </c>
      <c r="B39" s="14" t="s">
        <v>57</v>
      </c>
      <c r="C39" s="14" t="s">
        <v>58</v>
      </c>
      <c r="D39" s="14" t="s">
        <v>71</v>
      </c>
      <c r="E39" s="14" t="s">
        <v>60</v>
      </c>
      <c r="F39" s="14" t="s">
        <v>61</v>
      </c>
      <c r="G39" s="14" t="s">
        <v>291</v>
      </c>
      <c r="H39" s="14" t="s">
        <v>63</v>
      </c>
      <c r="I39" s="14" t="s">
        <v>64</v>
      </c>
      <c r="J39" s="14" t="s">
        <v>65</v>
      </c>
      <c r="K39" s="14" t="s">
        <v>67</v>
      </c>
      <c r="L39" s="24"/>
    </row>
    <row r="40" ht="36.75" customHeight="1">
      <c r="A40" s="26" t="s">
        <v>293</v>
      </c>
      <c r="B40" s="41" t="str">
        <f t="array" ref="B40">INDEX(Dados!$B$75:$B$80,1)</f>
        <v>Poder</v>
      </c>
      <c r="C40" s="41">
        <f t="array" ref="C40">IFERROR(INDEX('Criação'!$F$44:$F$49,MATCH($B$40,'Criação'!$A$44:$A$49,0)),0)</f>
        <v>0</v>
      </c>
      <c r="D40" s="41" t="str">
        <f>"+"&amp;'Criação'!$C$14</f>
        <v>+2</v>
      </c>
      <c r="E40" s="34"/>
      <c r="F40" s="41">
        <f>IF($B$40="Agilidade",'Criação'!$E$93,0)</f>
        <v>0</v>
      </c>
      <c r="G40" s="41">
        <f>IF(Equipamento!$J$31="Potência Física",Equipamento!$I$31,0)+MIN('Criação'!$J$14,COUNTIF(Equipamento!$P$45:$P$47,"Potência Física")+'Em Jogo'!$Q$8)</f>
        <v>0</v>
      </c>
      <c r="H40" s="27">
        <f>$C$40+IF(AND($E$40="Sim",COUNTIF($E$40:E40,"Sim")&lt;='Criação'!$F$14),2*'Criação'!$C$14,'Criação'!$C$14)+$F$40+$G$40</f>
        <v>2</v>
      </c>
      <c r="I40" s="27" t="str">
        <f>"d20"&amp;IF($H$40&gt;=0,"+","")&amp;$H$40</f>
        <v>d20+2</v>
      </c>
      <c r="J40" s="9" t="str">
        <f>IF(OR('Criação'!$B$25="Xianzhouíta"),"Vantagem ("&amp;'Criação'!$B$25&amp;")","")</f>
        <v/>
      </c>
      <c r="K40" s="30" t="str">
        <f>IF(AND($E$40="Sim",COUNTIF($E$40:E40,"Sim")&gt;'Criação'!$F$14),"Acima dos slots de Eficácia em Testes de Resistência ("&amp;'Criação'!$F$14&amp;"). ","")&amp;IF((COUNTIF(Equipamento!$P$45:$P$47,"Potência Física")+'Em Jogo'!$Q$8)&gt;'Criação'!$J$14,"Bônus temporário acima do teto (+"&amp;'Criação'!$J$14&amp;"): conta só o teto (26.6).","")</f>
        <v/>
      </c>
    </row>
    <row r="41" ht="36.75" customHeight="1">
      <c r="A41" s="40" t="s">
        <v>294</v>
      </c>
      <c r="B41" s="47" t="str">
        <f t="array" ref="B41">INDEX(Dados!$B$75:$B$80,2)</f>
        <v>Agilidade</v>
      </c>
      <c r="C41" s="47">
        <f t="array" ref="C41">IFERROR(INDEX('Criação'!$F$44:$F$49,MATCH($B$41,'Criação'!$A$44:$A$49,0)),0)</f>
        <v>0</v>
      </c>
      <c r="D41" s="47" t="str">
        <f>"+"&amp;'Criação'!$C$14</f>
        <v>+2</v>
      </c>
      <c r="E41" s="50"/>
      <c r="F41" s="47">
        <f>IF($B$41="Agilidade",'Criação'!$E$93,0)</f>
        <v>0</v>
      </c>
      <c r="G41" s="47">
        <f>IF(Equipamento!$J$31="Reflexos",Equipamento!$I$31,0)+MIN('Criação'!$J$14,COUNTIF(Equipamento!$P$45:$P$47,"Reflexos")+'Em Jogo'!$Q$8)</f>
        <v>0</v>
      </c>
      <c r="H41" s="38">
        <f>$C$41+IF(AND($E$41="Sim",COUNTIF($E$40:E41,"Sim")&lt;='Criação'!$F$14),2*'Criação'!$C$14,'Criação'!$C$14)+$F$41+$G$41</f>
        <v>2</v>
      </c>
      <c r="I41" s="38" t="str">
        <f>"d20"&amp;IF($H$41&gt;=0,"+","")&amp;$H$41</f>
        <v>d20+2</v>
      </c>
      <c r="J41" s="16" t="str">
        <f>IF(OR('Criação'!$B$25="Xianzhouíta"),"Vantagem ("&amp;'Criação'!$B$25&amp;")","")</f>
        <v/>
      </c>
      <c r="K41" s="43" t="str">
        <f>IF(AND($E$41="Sim",COUNTIF($E$40:E41,"Sim")&gt;'Criação'!$F$14),"Acima dos slots de Eficácia em Testes de Resistência ("&amp;'Criação'!$F$14&amp;"). ","")&amp;IF((COUNTIF(Equipamento!$P$45:$P$47,"Reflexos")+'Em Jogo'!$Q$8)&gt;'Criação'!$J$14,"Bônus temporário acima do teto (+"&amp;'Criação'!$J$14&amp;"): conta só o teto (26.6).","")</f>
        <v/>
      </c>
      <c r="L41" s="3"/>
    </row>
    <row r="42" ht="48.0" customHeight="1">
      <c r="A42" s="26" t="s">
        <v>310</v>
      </c>
      <c r="B42" s="41" t="str">
        <f t="array" ref="B42">INDEX(Dados!$B$75:$B$80,3)</f>
        <v>Vigor</v>
      </c>
      <c r="C42" s="41">
        <f t="array" ref="C42">IFERROR(INDEX('Criação'!$F$44:$F$49,MATCH($B$42,'Criação'!$A$44:$A$49,0)),0)</f>
        <v>0</v>
      </c>
      <c r="D42" s="41" t="str">
        <f>"+"&amp;'Criação'!$C$14</f>
        <v>+2</v>
      </c>
      <c r="E42" s="34"/>
      <c r="F42" s="41">
        <f>IF($B$42="Agilidade",'Criação'!$E$93,0)</f>
        <v>0</v>
      </c>
      <c r="G42" s="41">
        <f>IF(Equipamento!$J$31="Resistência Física",Equipamento!$I$31,0)+MIN('Criação'!$J$14,COUNTIF(Equipamento!$P$45:$P$47,"Resistência Física")+'Em Jogo'!$Q$8)</f>
        <v>0</v>
      </c>
      <c r="H42" s="27">
        <f>$C$42+IF(AND($E$42="Sim",COUNTIF($E$40:E42,"Sim")&lt;='Criação'!$F$14),2*'Criação'!$C$14,'Criação'!$C$14)+$F$42+$G$42</f>
        <v>2</v>
      </c>
      <c r="I42" s="27" t="str">
        <f>"d20"&amp;IF($H$42&gt;=0,"+","")&amp;$H$42</f>
        <v>d20+2</v>
      </c>
      <c r="J42" s="9" t="str">
        <f>IF(OR('Criação'!$B$25="Xianzhouíta"),"Vantagem ("&amp;'Criação'!$B$25&amp;")","")&amp;IF(OR('Criação'!$B$25="Vidyadhara"),"Vantagem condicional ("&amp;'Criação'!$B$25&amp;": água, frio e afogamento)","")</f>
        <v/>
      </c>
      <c r="K42" s="30" t="str">
        <f>IF(AND($E$42="Sim",COUNTIF($E$40:E42,"Sim")&gt;'Criação'!$F$14),"Acima dos slots de Eficácia em Testes de Resistência ("&amp;'Criação'!$F$14&amp;"). ","")&amp;IF((COUNTIF(Equipamento!$P$45:$P$47,"Resistência Física")+'Em Jogo'!$Q$8)&gt;'Criação'!$J$14,"Bônus temporário acima do teto (+"&amp;'Criação'!$J$14&amp;"): conta só o teto (26.6).","")</f>
        <v/>
      </c>
    </row>
    <row r="43" ht="36.75" customHeight="1">
      <c r="A43" s="40" t="s">
        <v>317</v>
      </c>
      <c r="B43" s="47" t="str">
        <f t="array" ref="B43">INDEX(Dados!$B$75:$B$80,4)</f>
        <v>Sincronia</v>
      </c>
      <c r="C43" s="47">
        <f t="array" ref="C43">IFERROR(INDEX('Criação'!$F$44:$F$49,MATCH($B$43,'Criação'!$A$44:$A$49,0)),0)</f>
        <v>0</v>
      </c>
      <c r="D43" s="47" t="str">
        <f>"+"&amp;'Criação'!$C$14</f>
        <v>+2</v>
      </c>
      <c r="E43" s="50"/>
      <c r="F43" s="47">
        <f>IF($B$43="Agilidade",'Criação'!$E$93,0)</f>
        <v>0</v>
      </c>
      <c r="G43" s="47">
        <f>IF(Equipamento!$J$31="Resistência Mental",Equipamento!$I$31,0)+MIN('Criação'!$J$14,COUNTIF(Equipamento!$P$45:$P$47,"Resistência Mental")+'Em Jogo'!$Q$8+'Em Jogo'!$Q$11)</f>
        <v>0</v>
      </c>
      <c r="H43" s="38">
        <f>$C$43+IF(AND($E$43="Sim",COUNTIF($E$40:E43,"Sim")&lt;='Criação'!$F$14),2*'Criação'!$C$14,'Criação'!$C$14)+$F$43+$G$43</f>
        <v>2</v>
      </c>
      <c r="I43" s="38" t="str">
        <f>"d20"&amp;IF($H$43&gt;=0,"+","")&amp;$H$43</f>
        <v>d20+2</v>
      </c>
      <c r="J43" s="16" t="str">
        <f>IF(OR('Criação'!$B$25="Xianzhouíta",'Criação'!$B$25="Avginiano"),"Vantagem ("&amp;'Criação'!$B$25&amp;")","")</f>
        <v/>
      </c>
      <c r="K43" s="43" t="str">
        <f>IF(AND($E$43="Sim",COUNTIF($E$40:E43,"Sim")&gt;'Criação'!$F$14),"Acima dos slots de Eficácia em Testes de Resistência ("&amp;'Criação'!$F$14&amp;"). ","")&amp;IF((COUNTIF(Equipamento!$P$45:$P$47,"Resistência Mental")+'Em Jogo'!$Q$8+'Em Jogo'!$Q$11)&gt;'Criação'!$J$14,"Bônus temporário acima do teto (+"&amp;'Criação'!$J$14&amp;"): conta só o teto (26.6).","")</f>
        <v/>
      </c>
      <c r="L43" s="3"/>
    </row>
    <row r="44" ht="36.75" customHeight="1">
      <c r="A44" s="26" t="s">
        <v>330</v>
      </c>
      <c r="B44" s="41" t="str">
        <f t="array" ref="B44">INDEX(Dados!$B$75:$B$80,5)</f>
        <v>Discernimento</v>
      </c>
      <c r="C44" s="41">
        <f t="array" ref="C44">IFERROR(INDEX('Criação'!$F$44:$F$49,MATCH($B$44,'Criação'!$A$44:$A$49,0)),0)</f>
        <v>0</v>
      </c>
      <c r="D44" s="41" t="str">
        <f>"+"&amp;'Criação'!$C$14</f>
        <v>+2</v>
      </c>
      <c r="E44" s="34"/>
      <c r="F44" s="41">
        <f>IF($B$44="Agilidade",'Criação'!$E$93,0)</f>
        <v>0</v>
      </c>
      <c r="G44" s="41">
        <f>IF(Equipamento!$J$31="Percepção Mental",Equipamento!$I$31,0)+MIN('Criação'!$J$14,COUNTIF(Equipamento!$P$45:$P$47,"Percepção Mental")+'Em Jogo'!$Q$8)</f>
        <v>0</v>
      </c>
      <c r="H44" s="27">
        <f>$C$44+IF(AND($E$44="Sim",COUNTIF($E$40:E44,"Sim")&lt;='Criação'!$F$14),2*'Criação'!$C$14,'Criação'!$C$14)+$F$44+$G$44</f>
        <v>2</v>
      </c>
      <c r="I44" s="27" t="str">
        <f>"d20"&amp;IF($H$44&gt;=0,"+","")&amp;$H$44</f>
        <v>d20+2</v>
      </c>
      <c r="J44" s="9" t="str">
        <f>IF(OR('Criação'!$B$25="Xianzhouíta",'Criação'!$B$25="Avginiano"),"Vantagem ("&amp;'Criação'!$B$25&amp;")","")</f>
        <v/>
      </c>
      <c r="K44" s="30" t="str">
        <f>IF(AND($E$44="Sim",COUNTIF($E$40:E44,"Sim")&gt;'Criação'!$F$14),"Acima dos slots de Eficácia em Testes de Resistência ("&amp;'Criação'!$F$14&amp;"). ","")&amp;IF((COUNTIF(Equipamento!$P$45:$P$47,"Percepção Mental")+'Em Jogo'!$Q$8)&gt;'Criação'!$J$14,"Bônus temporário acima do teto (+"&amp;'Criação'!$J$14&amp;"): conta só o teto (26.6).","")</f>
        <v/>
      </c>
    </row>
    <row r="45" ht="36.75" customHeight="1">
      <c r="A45" s="40" t="s">
        <v>345</v>
      </c>
      <c r="B45" s="47" t="str">
        <f t="array" ref="B45">INDEX(Dados!$B$75:$B$80,6)</f>
        <v>Presença</v>
      </c>
      <c r="C45" s="47">
        <f t="array" ref="C45">IFERROR(INDEX('Criação'!$F$44:$F$49,MATCH($B$45,'Criação'!$A$44:$A$49,0)),0)</f>
        <v>0</v>
      </c>
      <c r="D45" s="47" t="str">
        <f>"+"&amp;'Criação'!$C$14</f>
        <v>+2</v>
      </c>
      <c r="E45" s="50"/>
      <c r="F45" s="47">
        <f>IF($B$45="Agilidade",'Criação'!$E$93,0)</f>
        <v>0</v>
      </c>
      <c r="G45" s="47">
        <f>IF(Equipamento!$J$31="Força de Vontade",Equipamento!$I$31,0)+MIN('Criação'!$J$14,COUNTIF(Equipamento!$P$45:$P$47,"Força de Vontade")+'Em Jogo'!$Q$8+'Em Jogo'!$Q$11)</f>
        <v>0</v>
      </c>
      <c r="H45" s="38">
        <f>$C$45+IF(AND($E$45="Sim",COUNTIF($E$40:E45,"Sim")&lt;='Criação'!$F$14),2*'Criação'!$C$14,'Criação'!$C$14)+$F$45+$G$45</f>
        <v>2</v>
      </c>
      <c r="I45" s="38" t="str">
        <f>"d20"&amp;IF($H$45&gt;=0,"+","")&amp;$H$45</f>
        <v>d20+2</v>
      </c>
      <c r="J45" s="16" t="str">
        <f>IF(OR('Criação'!$B$25="Xianzhouíta",'Criação'!$B$25="Vulpes",'Criação'!$B$25="Avginiano"),"Vantagem ("&amp;'Criação'!$B$25&amp;")","")</f>
        <v/>
      </c>
      <c r="K45" s="43" t="str">
        <f>IF(AND($E$45="Sim",COUNTIF($E$40:E45,"Sim")&gt;'Criação'!$F$14),"Acima dos slots de Eficácia em Testes de Resistência ("&amp;'Criação'!$F$14&amp;"). ","")&amp;IF((COUNTIF(Equipamento!$P$45:$P$47,"Força de Vontade")+'Em Jogo'!$Q$8+'Em Jogo'!$Q$11)&gt;'Criação'!$J$14,"Bônus temporário acima do teto (+"&amp;'Criação'!$J$14&amp;"): conta só o teto (26.6).","")</f>
        <v/>
      </c>
      <c r="L45" s="3"/>
    </row>
    <row r="46" ht="36.75" customHeight="1">
      <c r="A46" s="15" t="s">
        <v>358</v>
      </c>
      <c r="B46" s="41" t="s">
        <v>226</v>
      </c>
      <c r="C46" s="41" t="str">
        <f>'Criação'!$F$49</f>
        <v>#ERROR!</v>
      </c>
      <c r="D46" s="41" t="s">
        <v>359</v>
      </c>
      <c r="H46" s="27" t="str">
        <f>$C$46</f>
        <v>#ERROR!</v>
      </c>
      <c r="I46" s="27" t="str">
        <f>"d20"&amp;IF($H$46&gt;=0,"+","")&amp;$H$46&amp;" ≥ 10"</f>
        <v>#ERROR!</v>
      </c>
      <c r="J46" s="41" t="str">
        <f>IF(OR('Criação'!$B$25="Xianzhouíta",'Criação'!$B$25="Vulpes",'Criação'!$B$25="Avginiano"),"Vantagem ("&amp;'Criação'!$B$25&amp;", 23.5)","")</f>
        <v/>
      </c>
      <c r="K46" s="19" t="s">
        <v>364</v>
      </c>
    </row>
    <row r="47" ht="60.0" customHeight="1">
      <c r="A47" s="46" t="s">
        <v>365</v>
      </c>
      <c r="B47" s="38">
        <f>COUNTIF($E$40:$E$45,"Sim")</f>
        <v>0</v>
      </c>
      <c r="C47" s="38">
        <f>'Criação'!$F$14</f>
        <v>0</v>
      </c>
      <c r="D47" s="49"/>
      <c r="E47" s="49"/>
      <c r="F47" s="49"/>
      <c r="G47" s="49"/>
      <c r="H47" s="49"/>
      <c r="I47" s="49"/>
      <c r="J47" s="49"/>
      <c r="K47" s="49"/>
      <c r="L47" s="49"/>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L1"/>
    <mergeCell ref="C2:D2"/>
    <mergeCell ref="E2:F2"/>
    <mergeCell ref="H2:I2"/>
    <mergeCell ref="A3:L3"/>
    <mergeCell ref="F5:H5"/>
    <mergeCell ref="J5:L5"/>
    <mergeCell ref="K43:L43"/>
    <mergeCell ref="K44:L44"/>
    <mergeCell ref="K45:L45"/>
    <mergeCell ref="K46:L46"/>
    <mergeCell ref="A5:D5"/>
    <mergeCell ref="A14:L14"/>
    <mergeCell ref="A38:L38"/>
    <mergeCell ref="K39:L39"/>
    <mergeCell ref="K40:L40"/>
    <mergeCell ref="K41:L41"/>
    <mergeCell ref="K42:L42"/>
  </mergeCells>
  <conditionalFormatting sqref="L16">
    <cfRule type="expression" dxfId="0" priority="1">
      <formula>LEN(L16)&gt;0</formula>
    </cfRule>
  </conditionalFormatting>
  <conditionalFormatting sqref="L17">
    <cfRule type="expression" dxfId="0" priority="2">
      <formula>LEN(L17)&gt;0</formula>
    </cfRule>
  </conditionalFormatting>
  <conditionalFormatting sqref="L18">
    <cfRule type="expression" dxfId="0" priority="3">
      <formula>LEN(L18)&gt;0</formula>
    </cfRule>
  </conditionalFormatting>
  <conditionalFormatting sqref="L19">
    <cfRule type="expression" dxfId="0" priority="4">
      <formula>LEN(L19)&gt;0</formula>
    </cfRule>
  </conditionalFormatting>
  <conditionalFormatting sqref="L20">
    <cfRule type="expression" dxfId="0" priority="5">
      <formula>LEN(L20)&gt;0</formula>
    </cfRule>
  </conditionalFormatting>
  <conditionalFormatting sqref="L22">
    <cfRule type="expression" dxfId="0" priority="6">
      <formula>LEN(L22)&gt;0</formula>
    </cfRule>
  </conditionalFormatting>
  <conditionalFormatting sqref="L23">
    <cfRule type="expression" dxfId="0" priority="7">
      <formula>LEN(L23)&gt;0</formula>
    </cfRule>
  </conditionalFormatting>
  <conditionalFormatting sqref="L24">
    <cfRule type="expression" dxfId="0" priority="8">
      <formula>LEN(L24)&gt;0</formula>
    </cfRule>
  </conditionalFormatting>
  <conditionalFormatting sqref="L25">
    <cfRule type="expression" dxfId="0" priority="9">
      <formula>LEN(L25)&gt;0</formula>
    </cfRule>
  </conditionalFormatting>
  <conditionalFormatting sqref="L26">
    <cfRule type="expression" dxfId="0" priority="10">
      <formula>LEN(L26)&gt;0</formula>
    </cfRule>
  </conditionalFormatting>
  <conditionalFormatting sqref="L27">
    <cfRule type="expression" dxfId="0" priority="11">
      <formula>LEN(L27)&gt;0</formula>
    </cfRule>
  </conditionalFormatting>
  <conditionalFormatting sqref="L28">
    <cfRule type="expression" dxfId="0" priority="12">
      <formula>LEN(L28)&gt;0</formula>
    </cfRule>
  </conditionalFormatting>
  <conditionalFormatting sqref="L29">
    <cfRule type="expression" dxfId="0" priority="13">
      <formula>LEN(L29)&gt;0</formula>
    </cfRule>
  </conditionalFormatting>
  <conditionalFormatting sqref="L31">
    <cfRule type="expression" dxfId="0" priority="14">
      <formula>LEN(L31)&gt;0</formula>
    </cfRule>
  </conditionalFormatting>
  <conditionalFormatting sqref="L32">
    <cfRule type="expression" dxfId="0" priority="15">
      <formula>LEN(L32)&gt;0</formula>
    </cfRule>
  </conditionalFormatting>
  <conditionalFormatting sqref="L33">
    <cfRule type="expression" dxfId="0" priority="16">
      <formula>LEN(L33)&gt;0</formula>
    </cfRule>
  </conditionalFormatting>
  <conditionalFormatting sqref="L34">
    <cfRule type="expression" dxfId="0" priority="17">
      <formula>LEN(L34)&gt;0</formula>
    </cfRule>
  </conditionalFormatting>
  <conditionalFormatting sqref="L35">
    <cfRule type="expression" dxfId="0" priority="18">
      <formula>LEN(L35)&gt;0</formula>
    </cfRule>
  </conditionalFormatting>
  <conditionalFormatting sqref="K40">
    <cfRule type="expression" dxfId="0" priority="19">
      <formula>LEN(K40)&gt;0</formula>
    </cfRule>
  </conditionalFormatting>
  <conditionalFormatting sqref="K41">
    <cfRule type="expression" dxfId="0" priority="20">
      <formula>LEN(K41)&gt;0</formula>
    </cfRule>
  </conditionalFormatting>
  <conditionalFormatting sqref="K42">
    <cfRule type="expression" dxfId="0" priority="21">
      <formula>LEN(K42)&gt;0</formula>
    </cfRule>
  </conditionalFormatting>
  <conditionalFormatting sqref="K43">
    <cfRule type="expression" dxfId="0" priority="22">
      <formula>LEN(K43)&gt;0</formula>
    </cfRule>
  </conditionalFormatting>
  <conditionalFormatting sqref="K44">
    <cfRule type="expression" dxfId="0" priority="23">
      <formula>LEN(K44)&gt;0</formula>
    </cfRule>
  </conditionalFormatting>
  <conditionalFormatting sqref="K45">
    <cfRule type="expression" dxfId="0" priority="24">
      <formula>LEN(K45)&gt;0</formula>
    </cfRule>
  </conditionalFormatting>
  <dataValidations>
    <dataValidation type="list" allowBlank="1" showInputMessage="1" prompt="Fora da lista - Mecânica: escolha um valor da lista. A ficha pode não reconhecer outro valor." sqref="E25">
      <formula1>Dados!$AG$6:$AG$7</formula1>
    </dataValidation>
    <dataValidation type="list" allowBlank="1" showInputMessage="1" prompt="Fora da lista - Atletismo: escolha um valor da lista. A ficha pode não reconhecer outro valor." sqref="E16">
      <formula1>Dados!$AG$6:$AG$7</formula1>
    </dataValidation>
    <dataValidation type="list" allowBlank="1" showInputMessage="1" prompt="Fora da lista - Acrobacia: escolha um valor da lista. A ficha pode não reconhecer outro valor." sqref="E17">
      <formula1>Dados!$AG$6:$AG$7</formula1>
    </dataValidation>
    <dataValidation type="list" allowBlank="1" showInputMessage="1" prompt="Fora da lista - Enganação: escolha um valor da lista. A ficha pode não reconhecer outro valor." sqref="E33">
      <formula1>Dados!$AG$6:$AG$7</formula1>
    </dataValidation>
    <dataValidation type="list" allowBlank="1" showInputMessage="1" prompt="Fora da lista - Potência Física: escolha um valor da lista. A ficha pode não reconhecer outro valor." sqref="E40">
      <formula1>Dados!$AG$6:$AG$7</formula1>
    </dataValidation>
    <dataValidation type="list" allowBlank="1" showInputMessage="1" prompt="Fora da lista - Persuasão: escolha um valor da lista. A ficha pode não reconhecer outro valor." sqref="E31">
      <formula1>Dados!$AG$6:$AG$7</formula1>
    </dataValidation>
    <dataValidation type="list" allowBlank="1" showInputMessage="1" prompt="Fora da lista - Sintonia: escolha um valor da lista. A ficha pode não reconhecer outro valor." sqref="E35">
      <formula1>Dados!$AG$6:$AG$7</formula1>
    </dataValidation>
    <dataValidation type="list" allowBlank="1" showInputMessage="1" prompt="Fora da lista - Ciência: escolha um valor da lista. A ficha pode não reconhecer outro valor." sqref="E24">
      <formula1>Dados!$AG$6:$AG$7</formula1>
    </dataValidation>
    <dataValidation type="list" allowBlank="1" showInputMessage="1" prompt="Fora da lista - Intimidação: escolha um valor da lista. A ficha pode não reconhecer outro valor." sqref="E32">
      <formula1>Dados!$AG$6:$AG$7</formula1>
    </dataValidation>
    <dataValidation type="list" allowBlank="1" showInputMessage="1" prompt="Fora da lista - Liderança: escolha um valor da lista. A ficha pode não reconhecer outro valor." sqref="E34">
      <formula1>Dados!$AG$6:$AG$7</formula1>
    </dataValidation>
    <dataValidation type="list" allowBlank="1" showInputMessage="1" prompt="Fora da lista - Pilotagem: escolha um valor da lista. A ficha pode não reconhecer outro valor." sqref="E19">
      <formula1>Dados!$AG$6:$AG$7</formula1>
    </dataValidation>
    <dataValidation type="list" allowBlank="1" showInputMessage="1" prompt="Fora da lista - Tecnologia: escolha um valor da lista. A ficha pode não reconhecer outro valor." sqref="E22">
      <formula1>Dados!$AG$6:$AG$7</formula1>
    </dataValidation>
    <dataValidation type="list" allowBlank="1" showInputMessage="1" prompt="Fora da lista - Intuição: escolha um valor da lista. A ficha pode não reconhecer outro valor." sqref="E28">
      <formula1>Dados!$AG$6:$AG$7</formula1>
    </dataValidation>
    <dataValidation type="list" allowBlank="1" showInputMessage="1" prompt="Fora da lista - Resistência: escolha um valor da lista. A ficha pode não reconhecer outro valor." sqref="E20">
      <formula1>Dados!$AG$6:$AG$7</formula1>
    </dataValidation>
    <dataValidation type="list" allowBlank="1" showInputMessage="1" prompt="Fora da lista - Reflexos: escolha um valor da lista. A ficha pode não reconhecer outro valor." sqref="E41">
      <formula1>Dados!$AG$6:$AG$7</formula1>
    </dataValidation>
    <dataValidation type="list" allowBlank="1" showInputMessage="1" prompt="Fora da lista - Resistência Física: escolha um valor da lista. A ficha pode não reconhecer outro valor." sqref="E42">
      <formula1>Dados!$AG$6:$AG$7</formula1>
    </dataValidation>
    <dataValidation type="list" allowBlank="1" showInputMessage="1" prompt="Fora da lista - Resistência Mental: escolha um valor da lista. A ficha pode não reconhecer outro valor." sqref="E43">
      <formula1>Dados!$AG$6:$AG$7</formula1>
    </dataValidation>
    <dataValidation type="list" allowBlank="1" showInputMessage="1" prompt="Fora da lista - Furtividade: escolha um valor da lista. A ficha pode não reconhecer outro valor." sqref="E18">
      <formula1>Dados!$AG$6:$AG$7</formula1>
    </dataValidation>
    <dataValidation type="list" allowBlank="1" showInputMessage="1" prompt="Fora da lista - Pesquisa: escolha um valor da lista. A ficha pode não reconhecer outro valor." sqref="E23">
      <formula1>Dados!$AG$6:$AG$7</formula1>
    </dataValidation>
    <dataValidation type="list" allowBlank="1" showInputMessage="1" prompt="Fora da lista - Percepção Mental: escolha um valor da lista. A ficha pode não reconhecer outro valor." sqref="E44">
      <formula1>Dados!$AG$6:$AG$7</formula1>
    </dataValidation>
    <dataValidation type="list" allowBlank="1" showInputMessage="1" prompt="Fora da lista - Sobrevivência: escolha um valor da lista. A ficha pode não reconhecer outro valor." sqref="E27">
      <formula1>Dados!$AG$6:$AG$7</formula1>
    </dataValidation>
    <dataValidation type="list" allowBlank="1" showInputMessage="1" prompt="Fora da lista - Investigação: escolha um valor da lista. A ficha pode não reconhecer outro valor." sqref="E29">
      <formula1>Dados!$AG$6:$AG$7</formula1>
    </dataValidation>
    <dataValidation type="list" allowBlank="1" showInputMessage="1" prompt="Fora da lista - Força de Vontade: escolha um valor da lista. A ficha pode não reconhecer outro valor." sqref="E45">
      <formula1>Dados!$AG$6:$AG$7</formula1>
    </dataValidation>
    <dataValidation type="list" allowBlank="1" showInputMessage="1" prompt="Fora da lista - Percepção: escolha um valor da lista. A ficha pode não reconhecer outro valor." sqref="E26">
      <formula1>Dados!$AG$6:$AG$7</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27.0"/>
    <col customWidth="1" min="3" max="3" width="12.0"/>
    <col customWidth="1" min="4" max="4" width="13.0"/>
    <col customWidth="1" min="5" max="5" width="11.0"/>
    <col customWidth="1" min="6" max="6" width="23.0"/>
    <col customWidth="1" min="7" max="7" width="11.0"/>
    <col customWidth="1" min="8" max="8" width="13.0"/>
    <col customWidth="1" min="9" max="9" width="14.0"/>
    <col customWidth="1" min="10" max="10" width="10.0"/>
    <col customWidth="1" min="11" max="11" width="12.0"/>
    <col customWidth="1" min="12" max="12" width="30.25"/>
    <col customWidth="1" min="13" max="14" width="2.0"/>
    <col customWidth="1" hidden="1" min="15" max="15" width="2.0"/>
    <col customWidth="1" hidden="1" min="16" max="16" width="11.5"/>
    <col customWidth="1" hidden="1" min="17" max="17" width="6.38"/>
    <col customWidth="1" hidden="1" min="18" max="18" width="6.63"/>
    <col customWidth="1" hidden="1" min="19" max="19" width="4.5"/>
    <col customWidth="1" hidden="1" min="20" max="20" width="7.75"/>
    <col customWidth="1" hidden="1" min="21" max="21" width="6.63"/>
    <col customWidth="1" hidden="1" min="22" max="22" width="4.5"/>
    <col customWidth="1" hidden="1" min="23" max="23" width="4.25"/>
    <col customWidth="1" min="24" max="26" width="8.63"/>
  </cols>
  <sheetData>
    <row r="1" ht="24.0" customHeight="1">
      <c r="A1" s="1" t="s">
        <v>197</v>
      </c>
      <c r="B1" s="2"/>
      <c r="C1" s="2"/>
      <c r="D1" s="2"/>
      <c r="E1" s="2"/>
      <c r="F1" s="2"/>
      <c r="G1" s="2"/>
      <c r="H1" s="2"/>
      <c r="I1" s="2"/>
      <c r="J1" s="2"/>
      <c r="K1" s="2"/>
      <c r="L1" s="3"/>
    </row>
    <row r="2" ht="36.75" customHeight="1">
      <c r="A2" s="25" t="s">
        <v>3</v>
      </c>
      <c r="B2" s="6" t="s">
        <v>5</v>
      </c>
      <c r="C2" s="9" t="s">
        <v>13</v>
      </c>
      <c r="D2" s="10" t="s">
        <v>18</v>
      </c>
      <c r="E2" s="13" t="s">
        <v>19</v>
      </c>
      <c r="F2" s="14" t="s">
        <v>21</v>
      </c>
      <c r="G2" s="15" t="s">
        <v>22</v>
      </c>
      <c r="H2" s="16" t="s">
        <v>23</v>
      </c>
      <c r="I2" s="17" t="s">
        <v>24</v>
      </c>
    </row>
    <row r="3">
      <c r="A3" s="18" t="s">
        <v>198</v>
      </c>
    </row>
    <row r="5">
      <c r="A5" s="5" t="s">
        <v>199</v>
      </c>
      <c r="B5" s="2"/>
      <c r="C5" s="2"/>
      <c r="D5" s="2"/>
      <c r="E5" s="2"/>
      <c r="F5" s="2"/>
      <c r="G5" s="2"/>
      <c r="H5" s="2"/>
      <c r="I5" s="2"/>
      <c r="J5" s="2"/>
      <c r="K5" s="2"/>
      <c r="L5" s="3"/>
    </row>
    <row r="6" ht="25.5" customHeight="1">
      <c r="A6" s="25" t="s">
        <v>201</v>
      </c>
      <c r="B6" s="59"/>
      <c r="C6" s="27" t="str">
        <f>'Criação'!$C$57</f>
        <v>#ERROR!</v>
      </c>
      <c r="D6" s="19" t="s">
        <v>190</v>
      </c>
      <c r="F6" s="27">
        <f>'Criação'!$B$56</f>
        <v>10</v>
      </c>
      <c r="G6" s="19" t="s">
        <v>202</v>
      </c>
      <c r="I6" s="27">
        <f>'Criação'!$B$16</f>
        <v>1</v>
      </c>
    </row>
    <row r="7" ht="36.75" customHeight="1">
      <c r="A7" s="25" t="s">
        <v>203</v>
      </c>
      <c r="B7" s="59"/>
      <c r="C7" s="27">
        <f>SUM($P$12:$P$19)</f>
        <v>0</v>
      </c>
      <c r="D7" s="41" t="str">
        <f>"de "&amp;'Criação'!$A$16</f>
        <v>de 1</v>
      </c>
      <c r="E7" s="37" t="str">
        <f>IF('Criação'!$C$16="Sim","A partir do nível 16: em vez de aprender, reescreva 1 Habilidade conhecida por nível (16.6)","Passivas contam no teto de 8 (16.6)")</f>
        <v>Passivas contam no teto de 8 (16.6)</v>
      </c>
      <c r="F7" s="2"/>
      <c r="G7" s="2"/>
      <c r="H7" s="2"/>
      <c r="I7" s="2"/>
      <c r="J7" s="2"/>
      <c r="K7" s="3"/>
      <c r="L7" s="30" t="str">
        <f>IF($C$7&gt;'Criação'!$A$16,"Habilidades acima das conhecidas no seu nível ("&amp;'Criação'!$A$16&amp;"): confira as linhas abaixo.","")</f>
        <v/>
      </c>
    </row>
    <row r="8" ht="36.75" customHeight="1">
      <c r="A8" s="25" t="s">
        <v>207</v>
      </c>
      <c r="B8" s="59"/>
      <c r="C8" s="37" t="str">
        <f>IF('Progressão'!$R$69="","Ainda não ativa: libera no nível 15 (aba Progressão)","Ativa: marque Sim em uma Habilidade para ela subir 1 Nível de efeito, até o Nível máximo")</f>
        <v>Ainda não ativa: libera no nível 15 (aba Progressão)</v>
      </c>
      <c r="D8" s="2"/>
      <c r="E8" s="2"/>
      <c r="F8" s="2"/>
      <c r="G8" s="2"/>
      <c r="H8" s="2"/>
      <c r="I8" s="2"/>
      <c r="J8" s="2"/>
      <c r="K8" s="3"/>
      <c r="L8" s="30" t="str">
        <f>IF(COUNTIF($H$12:$H$19,"Sim")&gt;1,"Ressonância III marcada em mais de uma Habilidade: vale só a primeira.","")</f>
        <v/>
      </c>
    </row>
    <row r="10">
      <c r="A10" s="5" t="s">
        <v>209</v>
      </c>
      <c r="B10" s="2"/>
      <c r="C10" s="2"/>
      <c r="D10" s="2"/>
      <c r="E10" s="2"/>
      <c r="F10" s="2"/>
      <c r="G10" s="2"/>
      <c r="H10" s="2"/>
      <c r="I10" s="2"/>
      <c r="J10" s="2"/>
      <c r="K10" s="2"/>
      <c r="L10" s="3"/>
    </row>
    <row r="11" ht="39.75" customHeight="1">
      <c r="A11" s="14" t="s">
        <v>210</v>
      </c>
      <c r="B11" s="14" t="s">
        <v>211</v>
      </c>
      <c r="C11" s="14" t="s">
        <v>212</v>
      </c>
      <c r="D11" s="14" t="s">
        <v>213</v>
      </c>
      <c r="E11" s="14" t="s">
        <v>214</v>
      </c>
      <c r="F11" s="14" t="s">
        <v>215</v>
      </c>
      <c r="G11" s="14" t="s">
        <v>216</v>
      </c>
      <c r="H11" s="14" t="s">
        <v>217</v>
      </c>
      <c r="I11" s="14" t="s">
        <v>67</v>
      </c>
      <c r="J11" s="24"/>
      <c r="K11" s="24"/>
      <c r="L11" s="24"/>
      <c r="P11" s="14" t="s">
        <v>218</v>
      </c>
      <c r="Q11" s="14" t="s">
        <v>69</v>
      </c>
      <c r="R11" s="14" t="s">
        <v>219</v>
      </c>
      <c r="S11" s="14" t="s">
        <v>220</v>
      </c>
      <c r="T11" s="14" t="s">
        <v>221</v>
      </c>
      <c r="U11" s="14" t="s">
        <v>222</v>
      </c>
      <c r="V11" s="14" t="s">
        <v>223</v>
      </c>
      <c r="W11" s="14" t="s">
        <v>224</v>
      </c>
    </row>
    <row r="12" ht="48.0" customHeight="1">
      <c r="A12" s="26">
        <v>1.0</v>
      </c>
      <c r="B12" s="60"/>
      <c r="C12" s="34"/>
      <c r="D12" s="34"/>
      <c r="E12" s="34"/>
      <c r="F12" s="34"/>
      <c r="G12" s="34"/>
      <c r="H12" s="34"/>
      <c r="I12" s="30" t="str">
        <f>IF($P$12=0,"",IF($C$12="","Escolha o Tipo. ",IF(COUNTIF(Dados!$W$6:$W$10,$C$12)=0,"Tipo fora da lista (16.5). ",""))&amp;IF(LEN($D$12)=0,"",IF(ISNUMBER($D$12),IF(OR($D$12&lt;1,$D$12&gt;7),"O Nível vai de 1 a 7. ","")&amp;IF($D$12&gt;'Criação'!$B$16,"Acima do Nível máximo do seu nível ("&amp;'Criação'!$B$16&amp;"). ",""),"Nível precisa ser um número de 1 a 7. "))&amp;IF(LEN($G$12)=0,"",IF(ISERROR(MATCH($G$12,Dados!$X$6:$X$10,0)),"Alcance fora da lista. ",IF(MATCH($G$12,Dados!$X$6:$X$10,0)&gt;MATCH($I$34,Dados!$X$6:$X$10,0),"Alcance acima do que o Nível "&amp;$S$12&amp;" permite (até "&amp;$I$34&amp;"). ","")))&amp;IF(SUM($P$12:P12)&gt;'Criação'!$A$16,"Acima das "&amp;'Criação'!$A$16&amp;" Habilidades conhecidas do seu nível. ","")&amp;IF($H$12="Sim",IF('Progressão'!$R$69="","Ressonância III ainda não está ativa. ",IF(COUNTIF($H$12:H12,"Sim")&gt;1,"Ressonância III só vale numa Habilidade. ","")),""))</f>
        <v/>
      </c>
      <c r="P12" s="35">
        <f>IF(OR(LEN($B$12)&gt;0,LEN($C$12)&gt;0,LEN($D$12)&gt;0,LEN($E$12)&gt;0,LEN($F$12)&gt;0,LEN($G$12)&gt;0,LEN($H$12)&gt;0,LEN($C$23)&gt;0),1,0)</f>
        <v>0</v>
      </c>
      <c r="Q12" s="35">
        <f>IF(ISNUMBER($D$12),MAX(1,MIN(7,INT($D$12))),1)</f>
        <v>1</v>
      </c>
      <c r="R12" s="35">
        <f>IF(AND($H$12="Sim",'Progressão'!$R$69&lt;&gt;"",COUNTIF($H$12:H12,"Sim")=1),1,0)</f>
        <v>0</v>
      </c>
      <c r="S12" s="35">
        <f>IF(AND($R$12=1,$Q$12&lt;'Criação'!$B$16),MIN('Criação'!$B$16,$Q$12+1),$Q$12)</f>
        <v>1</v>
      </c>
      <c r="T12" s="35">
        <f t="array" ref="T12">IF($C$12="Dano",INDEX(Dados!$C$296:$C$302,$S$12),IF($C$12="Cura",INDEX(Dados!$G$296:$G$302,$S$12),0))</f>
        <v>0</v>
      </c>
      <c r="U12" s="35">
        <f>IF(AND($E$12="Sim",$T$12&gt;0),MAX(1,INT($T$12/2)),$T$12)</f>
        <v>0</v>
      </c>
      <c r="V12" s="35">
        <f t="array" ref="V12">IF($C$12="Dano",INDEX(Dados!$D$296:$D$302,$S$12),IF($C$12="Cura",INDEX(Dados!$H$296:$H$302,$S$12),0))</f>
        <v>0</v>
      </c>
      <c r="W12" s="35">
        <f>IF(OR($C$12="Dano",$C$12="Cura"),'Criação'!$B$55+IF($C$12="Dano",Equipamento!$P$40+Equipamento!$E$31,0),0)</f>
        <v>0</v>
      </c>
    </row>
    <row r="13" ht="48.0" customHeight="1">
      <c r="A13" s="40">
        <v>2.0</v>
      </c>
      <c r="B13" s="61"/>
      <c r="C13" s="50"/>
      <c r="D13" s="50"/>
      <c r="E13" s="50"/>
      <c r="F13" s="50"/>
      <c r="G13" s="50"/>
      <c r="H13" s="50"/>
      <c r="I13" s="43" t="str">
        <f>IF($P$13=0,"",IF($C$13="","Escolha o Tipo. ",IF(COUNTIF(Dados!$W$6:$W$10,$C$13)=0,"Tipo fora da lista (16.5). ",""))&amp;IF(LEN($D$13)=0,"",IF(ISNUMBER($D$13),IF(OR($D$13&lt;1,$D$13&gt;7),"O Nível vai de 1 a 7. ","")&amp;IF($D$13&gt;'Criação'!$B$16,"Acima do Nível máximo do seu nível ("&amp;'Criação'!$B$16&amp;"). ",""),"Nível precisa ser um número de 1 a 7. "))&amp;IF(LEN($G$13)=0,"",IF(ISERROR(MATCH($G$13,Dados!$X$6:$X$10,0)),"Alcance fora da lista. ",IF(MATCH($G$13,Dados!$X$6:$X$10,0)&gt;MATCH($I$35,Dados!$X$6:$X$10,0),"Alcance acima do que o Nível "&amp;$S$13&amp;" permite (até "&amp;$I$35&amp;"). ","")))&amp;IF(SUM($P$12:P13)&gt;'Criação'!$A$16,"Acima das "&amp;'Criação'!$A$16&amp;" Habilidades conhecidas do seu nível. ","")&amp;IF($H$13="Sim",IF('Progressão'!$R$69="","Ressonância III ainda não está ativa. ",IF(COUNTIF($H$12:H13,"Sim")&gt;1,"Ressonância III só vale numa Habilidade. ","")),""))</f>
        <v/>
      </c>
      <c r="J13" s="2"/>
      <c r="K13" s="2"/>
      <c r="L13" s="3"/>
      <c r="M13" s="49"/>
      <c r="N13" s="49"/>
      <c r="O13" s="49"/>
      <c r="P13" s="35">
        <f>IF(OR(LEN($B$13)&gt;0,LEN($C$13)&gt;0,LEN($D$13)&gt;0,LEN($E$13)&gt;0,LEN($F$13)&gt;0,LEN($G$13)&gt;0,LEN($H$13)&gt;0,LEN($C$24)&gt;0),1,0)</f>
        <v>0</v>
      </c>
      <c r="Q13" s="35">
        <f>IF(ISNUMBER($D$13),MAX(1,MIN(7,INT($D$13))),1)</f>
        <v>1</v>
      </c>
      <c r="R13" s="35">
        <f>IF(AND($H$13="Sim",'Progressão'!$R$69&lt;&gt;"",COUNTIF($H$12:H13,"Sim")=1),1,0)</f>
        <v>0</v>
      </c>
      <c r="S13" s="35">
        <f>IF(AND($R$13=1,$Q$13&lt;'Criação'!$B$16),MIN('Criação'!$B$16,$Q$13+1),$Q$13)</f>
        <v>1</v>
      </c>
      <c r="T13" s="35">
        <f t="array" ref="T13">IF($C$13="Dano",INDEX(Dados!$C$296:$C$302,$S$13),IF($C$13="Cura",INDEX(Dados!$G$296:$G$302,$S$13),0))</f>
        <v>0</v>
      </c>
      <c r="U13" s="35">
        <f>IF(AND($E$13="Sim",$T$13&gt;0),MAX(1,INT($T$13/2)),$T$13)</f>
        <v>0</v>
      </c>
      <c r="V13" s="35">
        <f t="array" ref="V13">IF($C$13="Dano",INDEX(Dados!$D$296:$D$302,$S$13),IF($C$13="Cura",INDEX(Dados!$H$296:$H$302,$S$13),0))</f>
        <v>0</v>
      </c>
      <c r="W13" s="35">
        <f>IF(OR($C$13="Dano",$C$13="Cura"),'Criação'!$B$55+IF($C$13="Dano",Equipamento!$P$40+Equipamento!$E$31,0),0)</f>
        <v>0</v>
      </c>
    </row>
    <row r="14" ht="48.0" customHeight="1">
      <c r="A14" s="26">
        <v>3.0</v>
      </c>
      <c r="B14" s="60"/>
      <c r="C14" s="34"/>
      <c r="D14" s="34"/>
      <c r="E14" s="34"/>
      <c r="F14" s="34"/>
      <c r="G14" s="34"/>
      <c r="H14" s="34"/>
      <c r="I14" s="30" t="str">
        <f>IF($P$14=0,"",IF($C$14="","Escolha o Tipo. ",IF(COUNTIF(Dados!$W$6:$W$10,$C$14)=0,"Tipo fora da lista (16.5). ",""))&amp;IF(LEN($D$14)=0,"",IF(ISNUMBER($D$14),IF(OR($D$14&lt;1,$D$14&gt;7),"O Nível vai de 1 a 7. ","")&amp;IF($D$14&gt;'Criação'!$B$16,"Acima do Nível máximo do seu nível ("&amp;'Criação'!$B$16&amp;"). ",""),"Nível precisa ser um número de 1 a 7. "))&amp;IF(LEN($G$14)=0,"",IF(ISERROR(MATCH($G$14,Dados!$X$6:$X$10,0)),"Alcance fora da lista. ",IF(MATCH($G$14,Dados!$X$6:$X$10,0)&gt;MATCH($I$36,Dados!$X$6:$X$10,0),"Alcance acima do que o Nível "&amp;$S$14&amp;" permite (até "&amp;$I$36&amp;"). ","")))&amp;IF(SUM($P$12:P14)&gt;'Criação'!$A$16,"Acima das "&amp;'Criação'!$A$16&amp;" Habilidades conhecidas do seu nível. ","")&amp;IF($H$14="Sim",IF('Progressão'!$R$69="","Ressonância III ainda não está ativa. ",IF(COUNTIF($H$12:H14,"Sim")&gt;1,"Ressonância III só vale numa Habilidade. ","")),""))</f>
        <v/>
      </c>
      <c r="P14" s="35">
        <f>IF(OR(LEN($B$14)&gt;0,LEN($C$14)&gt;0,LEN($D$14)&gt;0,LEN($E$14)&gt;0,LEN($F$14)&gt;0,LEN($G$14)&gt;0,LEN($H$14)&gt;0,LEN($C$25)&gt;0),1,0)</f>
        <v>0</v>
      </c>
      <c r="Q14" s="35">
        <f>IF(ISNUMBER($D$14),MAX(1,MIN(7,INT($D$14))),1)</f>
        <v>1</v>
      </c>
      <c r="R14" s="35">
        <f>IF(AND($H$14="Sim",'Progressão'!$R$69&lt;&gt;"",COUNTIF($H$12:H14,"Sim")=1),1,0)</f>
        <v>0</v>
      </c>
      <c r="S14" s="35">
        <f>IF(AND($R$14=1,$Q$14&lt;'Criação'!$B$16),MIN('Criação'!$B$16,$Q$14+1),$Q$14)</f>
        <v>1</v>
      </c>
      <c r="T14" s="35">
        <f t="array" ref="T14">IF($C$14="Dano",INDEX(Dados!$C$296:$C$302,$S$14),IF($C$14="Cura",INDEX(Dados!$G$296:$G$302,$S$14),0))</f>
        <v>0</v>
      </c>
      <c r="U14" s="35">
        <f>IF(AND($E$14="Sim",$T$14&gt;0),MAX(1,INT($T$14/2)),$T$14)</f>
        <v>0</v>
      </c>
      <c r="V14" s="35">
        <f t="array" ref="V14">IF($C$14="Dano",INDEX(Dados!$D$296:$D$302,$S$14),IF($C$14="Cura",INDEX(Dados!$H$296:$H$302,$S$14),0))</f>
        <v>0</v>
      </c>
      <c r="W14" s="35">
        <f>IF(OR($C$14="Dano",$C$14="Cura"),'Criação'!$B$55+IF($C$14="Dano",Equipamento!$P$40+Equipamento!$E$31,0),0)</f>
        <v>0</v>
      </c>
    </row>
    <row r="15" ht="48.0" customHeight="1">
      <c r="A15" s="40">
        <v>4.0</v>
      </c>
      <c r="B15" s="61"/>
      <c r="C15" s="50"/>
      <c r="D15" s="50"/>
      <c r="E15" s="50"/>
      <c r="F15" s="50"/>
      <c r="G15" s="50"/>
      <c r="H15" s="50"/>
      <c r="I15" s="43" t="str">
        <f>IF($P$15=0,"",IF($C$15="","Escolha o Tipo. ",IF(COUNTIF(Dados!$W$6:$W$10,$C$15)=0,"Tipo fora da lista (16.5). ",""))&amp;IF(LEN($D$15)=0,"",IF(ISNUMBER($D$15),IF(OR($D$15&lt;1,$D$15&gt;7),"O Nível vai de 1 a 7. ","")&amp;IF($D$15&gt;'Criação'!$B$16,"Acima do Nível máximo do seu nível ("&amp;'Criação'!$B$16&amp;"). ",""),"Nível precisa ser um número de 1 a 7. "))&amp;IF(LEN($G$15)=0,"",IF(ISERROR(MATCH($G$15,Dados!$X$6:$X$10,0)),"Alcance fora da lista. ",IF(MATCH($G$15,Dados!$X$6:$X$10,0)&gt;MATCH($I$37,Dados!$X$6:$X$10,0),"Alcance acima do que o Nível "&amp;$S$15&amp;" permite (até "&amp;$I$37&amp;"). ","")))&amp;IF(SUM($P$12:P15)&gt;'Criação'!$A$16,"Acima das "&amp;'Criação'!$A$16&amp;" Habilidades conhecidas do seu nível. ","")&amp;IF($H$15="Sim",IF('Progressão'!$R$69="","Ressonância III ainda não está ativa. ",IF(COUNTIF($H$12:H15,"Sim")&gt;1,"Ressonância III só vale numa Habilidade. ","")),""))</f>
        <v/>
      </c>
      <c r="J15" s="2"/>
      <c r="K15" s="2"/>
      <c r="L15" s="3"/>
      <c r="M15" s="49"/>
      <c r="N15" s="49"/>
      <c r="O15" s="49"/>
      <c r="P15" s="35">
        <f>IF(OR(LEN($B$15)&gt;0,LEN($C$15)&gt;0,LEN($D$15)&gt;0,LEN($E$15)&gt;0,LEN($F$15)&gt;0,LEN($G$15)&gt;0,LEN($H$15)&gt;0,LEN($C$26)&gt;0),1,0)</f>
        <v>0</v>
      </c>
      <c r="Q15" s="35">
        <f>IF(ISNUMBER($D$15),MAX(1,MIN(7,INT($D$15))),1)</f>
        <v>1</v>
      </c>
      <c r="R15" s="35">
        <f>IF(AND($H$15="Sim",'Progressão'!$R$69&lt;&gt;"",COUNTIF($H$12:H15,"Sim")=1),1,0)</f>
        <v>0</v>
      </c>
      <c r="S15" s="35">
        <f>IF(AND($R$15=1,$Q$15&lt;'Criação'!$B$16),MIN('Criação'!$B$16,$Q$15+1),$Q$15)</f>
        <v>1</v>
      </c>
      <c r="T15" s="35">
        <f t="array" ref="T15">IF($C$15="Dano",INDEX(Dados!$C$296:$C$302,$S$15),IF($C$15="Cura",INDEX(Dados!$G$296:$G$302,$S$15),0))</f>
        <v>0</v>
      </c>
      <c r="U15" s="35">
        <f>IF(AND($E$15="Sim",$T$15&gt;0),MAX(1,INT($T$15/2)),$T$15)</f>
        <v>0</v>
      </c>
      <c r="V15" s="35">
        <f t="array" ref="V15">IF($C$15="Dano",INDEX(Dados!$D$296:$D$302,$S$15),IF($C$15="Cura",INDEX(Dados!$H$296:$H$302,$S$15),0))</f>
        <v>0</v>
      </c>
      <c r="W15" s="35">
        <f>IF(OR($C$15="Dano",$C$15="Cura"),'Criação'!$B$55+IF($C$15="Dano",Equipamento!$P$40+Equipamento!$E$31,0),0)</f>
        <v>0</v>
      </c>
    </row>
    <row r="16" ht="48.0" customHeight="1">
      <c r="A16" s="26">
        <v>5.0</v>
      </c>
      <c r="B16" s="60"/>
      <c r="C16" s="34"/>
      <c r="D16" s="34"/>
      <c r="E16" s="34"/>
      <c r="F16" s="34"/>
      <c r="G16" s="34"/>
      <c r="H16" s="34"/>
      <c r="I16" s="30" t="str">
        <f>IF($P$16=0,"",IF($C$16="","Escolha o Tipo. ",IF(COUNTIF(Dados!$W$6:$W$10,$C$16)=0,"Tipo fora da lista (16.5). ",""))&amp;IF(LEN($D$16)=0,"",IF(ISNUMBER($D$16),IF(OR($D$16&lt;1,$D$16&gt;7),"O Nível vai de 1 a 7. ","")&amp;IF($D$16&gt;'Criação'!$B$16,"Acima do Nível máximo do seu nível ("&amp;'Criação'!$B$16&amp;"). ",""),"Nível precisa ser um número de 1 a 7. "))&amp;IF(LEN($G$16)=0,"",IF(ISERROR(MATCH($G$16,Dados!$X$6:$X$10,0)),"Alcance fora da lista. ",IF(MATCH($G$16,Dados!$X$6:$X$10,0)&gt;MATCH($I$38,Dados!$X$6:$X$10,0),"Alcance acima do que o Nível "&amp;$S$16&amp;" permite (até "&amp;$I$38&amp;"). ","")))&amp;IF(SUM($P$12:P16)&gt;'Criação'!$A$16,"Acima das "&amp;'Criação'!$A$16&amp;" Habilidades conhecidas do seu nível. ","")&amp;IF($H$16="Sim",IF('Progressão'!$R$69="","Ressonância III ainda não está ativa. ",IF(COUNTIF($H$12:H16,"Sim")&gt;1,"Ressonância III só vale numa Habilidade. ","")),""))</f>
        <v/>
      </c>
      <c r="P16" s="35">
        <f>IF(OR(LEN($B$16)&gt;0,LEN($C$16)&gt;0,LEN($D$16)&gt;0,LEN($E$16)&gt;0,LEN($F$16)&gt;0,LEN($G$16)&gt;0,LEN($H$16)&gt;0,LEN($C$27)&gt;0),1,0)</f>
        <v>0</v>
      </c>
      <c r="Q16" s="35">
        <f>IF(ISNUMBER($D$16),MAX(1,MIN(7,INT($D$16))),1)</f>
        <v>1</v>
      </c>
      <c r="R16" s="35">
        <f>IF(AND($H$16="Sim",'Progressão'!$R$69&lt;&gt;"",COUNTIF($H$12:H16,"Sim")=1),1,0)</f>
        <v>0</v>
      </c>
      <c r="S16" s="35">
        <f>IF(AND($R$16=1,$Q$16&lt;'Criação'!$B$16),MIN('Criação'!$B$16,$Q$16+1),$Q$16)</f>
        <v>1</v>
      </c>
      <c r="T16" s="35">
        <f t="array" ref="T16">IF($C$16="Dano",INDEX(Dados!$C$296:$C$302,$S$16),IF($C$16="Cura",INDEX(Dados!$G$296:$G$302,$S$16),0))</f>
        <v>0</v>
      </c>
      <c r="U16" s="35">
        <f>IF(AND($E$16="Sim",$T$16&gt;0),MAX(1,INT($T$16/2)),$T$16)</f>
        <v>0</v>
      </c>
      <c r="V16" s="35">
        <f t="array" ref="V16">IF($C$16="Dano",INDEX(Dados!$D$296:$D$302,$S$16),IF($C$16="Cura",INDEX(Dados!$H$296:$H$302,$S$16),0))</f>
        <v>0</v>
      </c>
      <c r="W16" s="35">
        <f>IF(OR($C$16="Dano",$C$16="Cura"),'Criação'!$B$55+IF($C$16="Dano",Equipamento!$P$40+Equipamento!$E$31,0),0)</f>
        <v>0</v>
      </c>
    </row>
    <row r="17" ht="48.0" customHeight="1">
      <c r="A17" s="40">
        <v>6.0</v>
      </c>
      <c r="B17" s="61"/>
      <c r="C17" s="50"/>
      <c r="D17" s="50"/>
      <c r="E17" s="50"/>
      <c r="F17" s="50"/>
      <c r="G17" s="50"/>
      <c r="H17" s="50"/>
      <c r="I17" s="43" t="str">
        <f>IF($P$17=0,"",IF($C$17="","Escolha o Tipo. ",IF(COUNTIF(Dados!$W$6:$W$10,$C$17)=0,"Tipo fora da lista (16.5). ",""))&amp;IF(LEN($D$17)=0,"",IF(ISNUMBER($D$17),IF(OR($D$17&lt;1,$D$17&gt;7),"O Nível vai de 1 a 7. ","")&amp;IF($D$17&gt;'Criação'!$B$16,"Acima do Nível máximo do seu nível ("&amp;'Criação'!$B$16&amp;"). ",""),"Nível precisa ser um número de 1 a 7. "))&amp;IF(LEN($G$17)=0,"",IF(ISERROR(MATCH($G$17,Dados!$X$6:$X$10,0)),"Alcance fora da lista. ",IF(MATCH($G$17,Dados!$X$6:$X$10,0)&gt;MATCH($I$39,Dados!$X$6:$X$10,0),"Alcance acima do que o Nível "&amp;$S$17&amp;" permite (até "&amp;$I$39&amp;"). ","")))&amp;IF(SUM($P$12:P17)&gt;'Criação'!$A$16,"Acima das "&amp;'Criação'!$A$16&amp;" Habilidades conhecidas do seu nível. ","")&amp;IF($H$17="Sim",IF('Progressão'!$R$69="","Ressonância III ainda não está ativa. ",IF(COUNTIF($H$12:H17,"Sim")&gt;1,"Ressonância III só vale numa Habilidade. ","")),""))</f>
        <v/>
      </c>
      <c r="J17" s="2"/>
      <c r="K17" s="2"/>
      <c r="L17" s="3"/>
      <c r="M17" s="49"/>
      <c r="N17" s="49"/>
      <c r="O17" s="49"/>
      <c r="P17" s="35">
        <f>IF(OR(LEN($B$17)&gt;0,LEN($C$17)&gt;0,LEN($D$17)&gt;0,LEN($E$17)&gt;0,LEN($F$17)&gt;0,LEN($G$17)&gt;0,LEN($H$17)&gt;0,LEN($C$28)&gt;0),1,0)</f>
        <v>0</v>
      </c>
      <c r="Q17" s="35">
        <f>IF(ISNUMBER($D$17),MAX(1,MIN(7,INT($D$17))),1)</f>
        <v>1</v>
      </c>
      <c r="R17" s="35">
        <f>IF(AND($H$17="Sim",'Progressão'!$R$69&lt;&gt;"",COUNTIF($H$12:H17,"Sim")=1),1,0)</f>
        <v>0</v>
      </c>
      <c r="S17" s="35">
        <f>IF(AND($R$17=1,$Q$17&lt;'Criação'!$B$16),MIN('Criação'!$B$16,$Q$17+1),$Q$17)</f>
        <v>1</v>
      </c>
      <c r="T17" s="35">
        <f t="array" ref="T17">IF($C$17="Dano",INDEX(Dados!$C$296:$C$302,$S$17),IF($C$17="Cura",INDEX(Dados!$G$296:$G$302,$S$17),0))</f>
        <v>0</v>
      </c>
      <c r="U17" s="35">
        <f>IF(AND($E$17="Sim",$T$17&gt;0),MAX(1,INT($T$17/2)),$T$17)</f>
        <v>0</v>
      </c>
      <c r="V17" s="35">
        <f t="array" ref="V17">IF($C$17="Dano",INDEX(Dados!$D$296:$D$302,$S$17),IF($C$17="Cura",INDEX(Dados!$H$296:$H$302,$S$17),0))</f>
        <v>0</v>
      </c>
      <c r="W17" s="35">
        <f>IF(OR($C$17="Dano",$C$17="Cura"),'Criação'!$B$55+IF($C$17="Dano",Equipamento!$P$40+Equipamento!$E$31,0),0)</f>
        <v>0</v>
      </c>
    </row>
    <row r="18" ht="48.0" customHeight="1">
      <c r="A18" s="26">
        <v>7.0</v>
      </c>
      <c r="B18" s="60"/>
      <c r="C18" s="34"/>
      <c r="D18" s="34"/>
      <c r="E18" s="34"/>
      <c r="F18" s="34"/>
      <c r="G18" s="34"/>
      <c r="H18" s="34"/>
      <c r="I18" s="30" t="str">
        <f>IF($P$18=0,"",IF($C$18="","Escolha o Tipo. ",IF(COUNTIF(Dados!$W$6:$W$10,$C$18)=0,"Tipo fora da lista (16.5). ",""))&amp;IF(LEN($D$18)=0,"",IF(ISNUMBER($D$18),IF(OR($D$18&lt;1,$D$18&gt;7),"O Nível vai de 1 a 7. ","")&amp;IF($D$18&gt;'Criação'!$B$16,"Acima do Nível máximo do seu nível ("&amp;'Criação'!$B$16&amp;"). ",""),"Nível precisa ser um número de 1 a 7. "))&amp;IF(LEN($G$18)=0,"",IF(ISERROR(MATCH($G$18,Dados!$X$6:$X$10,0)),"Alcance fora da lista. ",IF(MATCH($G$18,Dados!$X$6:$X$10,0)&gt;MATCH($I$40,Dados!$X$6:$X$10,0),"Alcance acima do que o Nível "&amp;$S$18&amp;" permite (até "&amp;$I$40&amp;"). ","")))&amp;IF(SUM($P$12:P18)&gt;'Criação'!$A$16,"Acima das "&amp;'Criação'!$A$16&amp;" Habilidades conhecidas do seu nível. ","")&amp;IF($H$18="Sim",IF('Progressão'!$R$69="","Ressonância III ainda não está ativa. ",IF(COUNTIF($H$12:H18,"Sim")&gt;1,"Ressonância III só vale numa Habilidade. ","")),""))</f>
        <v/>
      </c>
      <c r="P18" s="35">
        <f>IF(OR(LEN($B$18)&gt;0,LEN($C$18)&gt;0,LEN($D$18)&gt;0,LEN($E$18)&gt;0,LEN($F$18)&gt;0,LEN($G$18)&gt;0,LEN($H$18)&gt;0,LEN($C$29)&gt;0),1,0)</f>
        <v>0</v>
      </c>
      <c r="Q18" s="35">
        <f>IF(ISNUMBER($D$18),MAX(1,MIN(7,INT($D$18))),1)</f>
        <v>1</v>
      </c>
      <c r="R18" s="35">
        <f>IF(AND($H$18="Sim",'Progressão'!$R$69&lt;&gt;"",COUNTIF($H$12:H18,"Sim")=1),1,0)</f>
        <v>0</v>
      </c>
      <c r="S18" s="35">
        <f>IF(AND($R$18=1,$Q$18&lt;'Criação'!$B$16),MIN('Criação'!$B$16,$Q$18+1),$Q$18)</f>
        <v>1</v>
      </c>
      <c r="T18" s="35">
        <f t="array" ref="T18">IF($C$18="Dano",INDEX(Dados!$C$296:$C$302,$S$18),IF($C$18="Cura",INDEX(Dados!$G$296:$G$302,$S$18),0))</f>
        <v>0</v>
      </c>
      <c r="U18" s="35">
        <f>IF(AND($E$18="Sim",$T$18&gt;0),MAX(1,INT($T$18/2)),$T$18)</f>
        <v>0</v>
      </c>
      <c r="V18" s="35">
        <f t="array" ref="V18">IF($C$18="Dano",INDEX(Dados!$D$296:$D$302,$S$18),IF($C$18="Cura",INDEX(Dados!$H$296:$H$302,$S$18),0))</f>
        <v>0</v>
      </c>
      <c r="W18" s="35">
        <f>IF(OR($C$18="Dano",$C$18="Cura"),'Criação'!$B$55+IF($C$18="Dano",Equipamento!$P$40+Equipamento!$E$31,0),0)</f>
        <v>0</v>
      </c>
    </row>
    <row r="19" ht="48.0" customHeight="1">
      <c r="A19" s="40">
        <v>8.0</v>
      </c>
      <c r="B19" s="61"/>
      <c r="C19" s="50"/>
      <c r="D19" s="50"/>
      <c r="E19" s="50"/>
      <c r="F19" s="50"/>
      <c r="G19" s="50"/>
      <c r="H19" s="50"/>
      <c r="I19" s="43" t="str">
        <f>IF($P$19=0,"",IF($C$19="","Escolha o Tipo. ",IF(COUNTIF(Dados!$W$6:$W$10,$C$19)=0,"Tipo fora da lista (16.5). ",""))&amp;IF(LEN($D$19)=0,"",IF(ISNUMBER($D$19),IF(OR($D$19&lt;1,$D$19&gt;7),"O Nível vai de 1 a 7. ","")&amp;IF($D$19&gt;'Criação'!$B$16,"Acima do Nível máximo do seu nível ("&amp;'Criação'!$B$16&amp;"). ",""),"Nível precisa ser um número de 1 a 7. "))&amp;IF(LEN($G$19)=0,"",IF(ISERROR(MATCH($G$19,Dados!$X$6:$X$10,0)),"Alcance fora da lista. ",IF(MATCH($G$19,Dados!$X$6:$X$10,0)&gt;MATCH($I$41,Dados!$X$6:$X$10,0),"Alcance acima do que o Nível "&amp;$S$19&amp;" permite (até "&amp;$I$41&amp;"). ","")))&amp;IF(SUM($P$12:P19)&gt;'Criação'!$A$16,"Acima das "&amp;'Criação'!$A$16&amp;" Habilidades conhecidas do seu nível. ","")&amp;IF($H$19="Sim",IF('Progressão'!$R$69="","Ressonância III ainda não está ativa. ",IF(COUNTIF($H$12:H19,"Sim")&gt;1,"Ressonância III só vale numa Habilidade. ","")),""))</f>
        <v/>
      </c>
      <c r="J19" s="2"/>
      <c r="K19" s="2"/>
      <c r="L19" s="3"/>
      <c r="M19" s="49"/>
      <c r="N19" s="49"/>
      <c r="O19" s="49"/>
      <c r="P19" s="35">
        <f>IF(OR(LEN($B$19)&gt;0,LEN($C$19)&gt;0,LEN($D$19)&gt;0,LEN($E$19)&gt;0,LEN($F$19)&gt;0,LEN($G$19)&gt;0,LEN($H$19)&gt;0,LEN($C$30)&gt;0),1,0)</f>
        <v>0</v>
      </c>
      <c r="Q19" s="35">
        <f>IF(ISNUMBER($D$19),MAX(1,MIN(7,INT($D$19))),1)</f>
        <v>1</v>
      </c>
      <c r="R19" s="35">
        <f>IF(AND($H$19="Sim",'Progressão'!$R$69&lt;&gt;"",COUNTIF($H$12:H19,"Sim")=1),1,0)</f>
        <v>0</v>
      </c>
      <c r="S19" s="35">
        <f>IF(AND($R$19=1,$Q$19&lt;'Criação'!$B$16),MIN('Criação'!$B$16,$Q$19+1),$Q$19)</f>
        <v>1</v>
      </c>
      <c r="T19" s="35">
        <f t="array" ref="T19">IF($C$19="Dano",INDEX(Dados!$C$296:$C$302,$S$19),IF($C$19="Cura",INDEX(Dados!$G$296:$G$302,$S$19),0))</f>
        <v>0</v>
      </c>
      <c r="U19" s="35">
        <f>IF(AND($E$19="Sim",$T$19&gt;0),MAX(1,INT($T$19/2)),$T$19)</f>
        <v>0</v>
      </c>
      <c r="V19" s="35">
        <f t="array" ref="V19">IF($C$19="Dano",INDEX(Dados!$D$296:$D$302,$S$19),IF($C$19="Cura",INDEX(Dados!$H$296:$H$302,$S$19),0))</f>
        <v>0</v>
      </c>
      <c r="W19" s="35">
        <f>IF(OR($C$19="Dano",$C$19="Cura"),'Criação'!$B$55+IF($C$19="Dano",Equipamento!$P$40+Equipamento!$E$31,0),0)</f>
        <v>0</v>
      </c>
    </row>
    <row r="21" ht="15.75" customHeight="1">
      <c r="A21" s="5" t="s">
        <v>318</v>
      </c>
      <c r="B21" s="2"/>
      <c r="C21" s="2"/>
      <c r="D21" s="2"/>
      <c r="E21" s="2"/>
      <c r="F21" s="2"/>
      <c r="G21" s="2"/>
      <c r="H21" s="2"/>
      <c r="I21" s="2"/>
      <c r="J21" s="2"/>
      <c r="K21" s="2"/>
      <c r="L21" s="3"/>
    </row>
    <row r="22" ht="15.75" customHeight="1">
      <c r="A22" s="14" t="s">
        <v>210</v>
      </c>
      <c r="B22" s="14" t="s">
        <v>319</v>
      </c>
      <c r="C22" s="14" t="s">
        <v>320</v>
      </c>
      <c r="D22" s="24"/>
      <c r="E22" s="24"/>
      <c r="F22" s="24"/>
      <c r="G22" s="24"/>
      <c r="H22" s="24"/>
      <c r="I22" s="24"/>
      <c r="J22" s="24"/>
      <c r="K22" s="24"/>
      <c r="L22" s="24"/>
    </row>
    <row r="23" ht="25.5" customHeight="1">
      <c r="A23" s="26">
        <v>1.0</v>
      </c>
      <c r="B23" s="9" t="str">
        <f>IF(LEN($B$12)=0,"Habilidade 1",""&amp;$B$12)</f>
        <v>Habilidade 1</v>
      </c>
      <c r="C23" s="51"/>
      <c r="D23" s="29"/>
      <c r="E23" s="29"/>
      <c r="F23" s="29"/>
      <c r="G23" s="29"/>
      <c r="H23" s="29"/>
      <c r="I23" s="29"/>
      <c r="J23" s="29"/>
      <c r="K23" s="29"/>
      <c r="L23" s="32"/>
    </row>
    <row r="24" ht="25.5" customHeight="1">
      <c r="A24" s="40">
        <v>2.0</v>
      </c>
      <c r="B24" s="16" t="str">
        <f>IF(LEN($B$13)=0,"Habilidade 2",""&amp;$B$13)</f>
        <v>Habilidade 2</v>
      </c>
      <c r="C24" s="73"/>
      <c r="D24" s="29"/>
      <c r="E24" s="29"/>
      <c r="F24" s="29"/>
      <c r="G24" s="29"/>
      <c r="H24" s="29"/>
      <c r="I24" s="29"/>
      <c r="J24" s="29"/>
      <c r="K24" s="29"/>
      <c r="L24" s="32"/>
    </row>
    <row r="25" ht="25.5" customHeight="1">
      <c r="A25" s="26">
        <v>3.0</v>
      </c>
      <c r="B25" s="9" t="str">
        <f>IF(LEN($B$14)=0,"Habilidade 3",""&amp;$B$14)</f>
        <v>Habilidade 3</v>
      </c>
      <c r="C25" s="51"/>
      <c r="D25" s="29"/>
      <c r="E25" s="29"/>
      <c r="F25" s="29"/>
      <c r="G25" s="29"/>
      <c r="H25" s="29"/>
      <c r="I25" s="29"/>
      <c r="J25" s="29"/>
      <c r="K25" s="29"/>
      <c r="L25" s="32"/>
    </row>
    <row r="26" ht="25.5" customHeight="1">
      <c r="A26" s="40">
        <v>4.0</v>
      </c>
      <c r="B26" s="16" t="str">
        <f>IF(LEN($B$15)=0,"Habilidade 4",""&amp;$B$15)</f>
        <v>Habilidade 4</v>
      </c>
      <c r="C26" s="73"/>
      <c r="D26" s="29"/>
      <c r="E26" s="29"/>
      <c r="F26" s="29"/>
      <c r="G26" s="29"/>
      <c r="H26" s="29"/>
      <c r="I26" s="29"/>
      <c r="J26" s="29"/>
      <c r="K26" s="29"/>
      <c r="L26" s="32"/>
    </row>
    <row r="27" ht="25.5" customHeight="1">
      <c r="A27" s="26">
        <v>5.0</v>
      </c>
      <c r="B27" s="9" t="str">
        <f>IF(LEN($B$16)=0,"Habilidade 5",""&amp;$B$16)</f>
        <v>Habilidade 5</v>
      </c>
      <c r="C27" s="51"/>
      <c r="D27" s="29"/>
      <c r="E27" s="29"/>
      <c r="F27" s="29"/>
      <c r="G27" s="29"/>
      <c r="H27" s="29"/>
      <c r="I27" s="29"/>
      <c r="J27" s="29"/>
      <c r="K27" s="29"/>
      <c r="L27" s="32"/>
    </row>
    <row r="28" ht="25.5" customHeight="1">
      <c r="A28" s="40">
        <v>6.0</v>
      </c>
      <c r="B28" s="16" t="str">
        <f>IF(LEN($B$17)=0,"Habilidade 6",""&amp;$B$17)</f>
        <v>Habilidade 6</v>
      </c>
      <c r="C28" s="73"/>
      <c r="D28" s="29"/>
      <c r="E28" s="29"/>
      <c r="F28" s="29"/>
      <c r="G28" s="29"/>
      <c r="H28" s="29"/>
      <c r="I28" s="29"/>
      <c r="J28" s="29"/>
      <c r="K28" s="29"/>
      <c r="L28" s="32"/>
    </row>
    <row r="29" ht="25.5" customHeight="1">
      <c r="A29" s="26">
        <v>7.0</v>
      </c>
      <c r="B29" s="9" t="str">
        <f>IF(LEN($B$18)=0,"Habilidade 7",""&amp;$B$18)</f>
        <v>Habilidade 7</v>
      </c>
      <c r="C29" s="51"/>
      <c r="D29" s="29"/>
      <c r="E29" s="29"/>
      <c r="F29" s="29"/>
      <c r="G29" s="29"/>
      <c r="H29" s="29"/>
      <c r="I29" s="29"/>
      <c r="J29" s="29"/>
      <c r="K29" s="29"/>
      <c r="L29" s="32"/>
    </row>
    <row r="30" ht="25.5" customHeight="1">
      <c r="A30" s="40">
        <v>8.0</v>
      </c>
      <c r="B30" s="16" t="str">
        <f>IF(LEN($B$19)=0,"Habilidade 8",""&amp;$B$19)</f>
        <v>Habilidade 8</v>
      </c>
      <c r="C30" s="73"/>
      <c r="D30" s="29"/>
      <c r="E30" s="29"/>
      <c r="F30" s="29"/>
      <c r="G30" s="29"/>
      <c r="H30" s="29"/>
      <c r="I30" s="29"/>
      <c r="J30" s="29"/>
      <c r="K30" s="29"/>
      <c r="L30" s="32"/>
    </row>
    <row r="31" ht="15.75" customHeight="1"/>
    <row r="32" ht="15.75" customHeight="1">
      <c r="A32" s="5" t="s">
        <v>333</v>
      </c>
      <c r="B32" s="2"/>
      <c r="C32" s="2"/>
      <c r="D32" s="2"/>
      <c r="E32" s="2"/>
      <c r="F32" s="2"/>
      <c r="G32" s="2"/>
      <c r="H32" s="2"/>
      <c r="I32" s="2"/>
      <c r="J32" s="2"/>
      <c r="K32" s="2"/>
      <c r="L32" s="3"/>
    </row>
    <row r="33" ht="39.75" customHeight="1">
      <c r="A33" s="14" t="s">
        <v>210</v>
      </c>
      <c r="B33" s="14" t="s">
        <v>17</v>
      </c>
      <c r="C33" s="14" t="s">
        <v>220</v>
      </c>
      <c r="D33" s="14" t="s">
        <v>334</v>
      </c>
      <c r="E33" s="14" t="s">
        <v>273</v>
      </c>
      <c r="F33" s="14" t="s">
        <v>335</v>
      </c>
      <c r="G33" s="14" t="s">
        <v>336</v>
      </c>
      <c r="H33" s="14" t="s">
        <v>337</v>
      </c>
      <c r="I33" s="14" t="s">
        <v>338</v>
      </c>
      <c r="J33" s="14" t="s">
        <v>339</v>
      </c>
      <c r="K33" s="14" t="s">
        <v>340</v>
      </c>
      <c r="L33" s="14" t="s">
        <v>341</v>
      </c>
    </row>
    <row r="34" ht="25.5" customHeight="1">
      <c r="A34" s="26">
        <v>1.0</v>
      </c>
      <c r="B34" s="9" t="str">
        <f>IF($P$12=0,"",IF(LEN($B$12)=0,"Habilidade 1",""&amp;$B$12))</f>
        <v/>
      </c>
      <c r="C34" s="27" t="str">
        <f>IF($P$12=0,"",$S$12)</f>
        <v/>
      </c>
      <c r="D34" s="27" t="str">
        <f>IF(OR($P$12=0,$U$12=0),"",IF($U$12&lt;=0,""&amp;$W$12,$U$12&amp;"d"&amp;$V$12&amp;IF($W$12&gt;0,"+"&amp;$W$12,IF($W$12&lt;0,""&amp;$W$12,""))))</f>
        <v/>
      </c>
      <c r="E34" s="27" t="str">
        <f>IF(OR($P$12=0,$U$12=0),"",INT($U$12*($V$12+1)/2)+$W$12)</f>
        <v/>
      </c>
      <c r="F34" s="27" t="str">
        <f>IF($P$12=0,"",IF($F$12="Teste de Ataque",'Criação'!$C$57,IF($F$12="Teste de Resistência","DT "&amp;'Criação'!$B$56,"")))</f>
        <v/>
      </c>
      <c r="G34" s="41" t="str">
        <f t="array" ref="G34">IF($P$12=0,"",IF($C$12="Passiva",0,INDEX(Dados!$J$296:$J$302,$S$12)))</f>
        <v/>
      </c>
      <c r="H34" s="41" t="str">
        <f t="array" ref="H34">IF($P$12=0,"",IF($C$12="Dano",INDEX(Dados!$K$296:$K$302,$S$12),0))</f>
        <v/>
      </c>
      <c r="I34" s="41" t="str">
        <f>IF($P$12=0,"",CHOOSE(MIN(4,$S$12),"Curta","Média","Longa","Extrema"))</f>
        <v/>
      </c>
      <c r="J34" s="41" t="str">
        <f>IF($P$12=0,"",IF($E$12="Sim",IF($S$12&gt;=6,4,3),1))</f>
        <v/>
      </c>
      <c r="K34" s="41" t="str">
        <f>IF(OR($P$12=0,$U$12=0),"",$U$12&amp;"d"&amp;$V$12)</f>
        <v/>
      </c>
      <c r="L34" s="41" t="str">
        <f>IF(OR($P$12=0,$U$12=0),"",INT($U$12*($V$12+1)/2))</f>
        <v/>
      </c>
    </row>
    <row r="35" ht="25.5" customHeight="1">
      <c r="A35" s="40">
        <v>2.0</v>
      </c>
      <c r="B35" s="16" t="str">
        <f>IF($P$13=0,"",IF(LEN($B$13)=0,"Habilidade 2",""&amp;$B$13))</f>
        <v/>
      </c>
      <c r="C35" s="38" t="str">
        <f>IF($P$13=0,"",$S$13)</f>
        <v/>
      </c>
      <c r="D35" s="38" t="str">
        <f>IF(OR($P$13=0,$U$13=0),"",IF($U$13&lt;=0,""&amp;$W$13,$U$13&amp;"d"&amp;$V$13&amp;IF($W$13&gt;0,"+"&amp;$W$13,IF($W$13&lt;0,""&amp;$W$13,""))))</f>
        <v/>
      </c>
      <c r="E35" s="38" t="str">
        <f>IF(OR($P$13=0,$U$13=0),"",INT($U$13*($V$13+1)/2)+$W$13)</f>
        <v/>
      </c>
      <c r="F35" s="38" t="str">
        <f>IF($P$13=0,"",IF($F$13="Teste de Ataque",'Criação'!$C$57,IF($F$13="Teste de Resistência","DT "&amp;'Criação'!$B$56,"")))</f>
        <v/>
      </c>
      <c r="G35" s="47" t="str">
        <f t="array" ref="G35">IF($P$13=0,"",IF($C$13="Passiva",0,INDEX(Dados!$J$296:$J$302,$S$13)))</f>
        <v/>
      </c>
      <c r="H35" s="47" t="str">
        <f t="array" ref="H35">IF($P$13=0,"",IF($C$13="Dano",INDEX(Dados!$K$296:$K$302,$S$13),0))</f>
        <v/>
      </c>
      <c r="I35" s="47" t="str">
        <f>IF($P$13=0,"",CHOOSE(MIN(4,$S$13),"Curta","Média","Longa","Extrema"))</f>
        <v/>
      </c>
      <c r="J35" s="47" t="str">
        <f>IF($P$13=0,"",IF($E$13="Sim",IF($S$13&gt;=6,4,3),1))</f>
        <v/>
      </c>
      <c r="K35" s="47" t="str">
        <f>IF(OR($P$13=0,$U$13=0),"",$U$13&amp;"d"&amp;$V$13)</f>
        <v/>
      </c>
      <c r="L35" s="47" t="str">
        <f>IF(OR($P$13=0,$U$13=0),"",INT($U$13*($V$13+1)/2))</f>
        <v/>
      </c>
    </row>
    <row r="36" ht="25.5" customHeight="1">
      <c r="A36" s="26">
        <v>3.0</v>
      </c>
      <c r="B36" s="9" t="str">
        <f>IF($P$14=0,"",IF(LEN($B$14)=0,"Habilidade 3",""&amp;$B$14))</f>
        <v/>
      </c>
      <c r="C36" s="27" t="str">
        <f>IF($P$14=0,"",$S$14)</f>
        <v/>
      </c>
      <c r="D36" s="27" t="str">
        <f>IF(OR($P$14=0,$U$14=0),"",IF($U$14&lt;=0,""&amp;$W$14,$U$14&amp;"d"&amp;$V$14&amp;IF($W$14&gt;0,"+"&amp;$W$14,IF($W$14&lt;0,""&amp;$W$14,""))))</f>
        <v/>
      </c>
      <c r="E36" s="27" t="str">
        <f>IF(OR($P$14=0,$U$14=0),"",INT($U$14*($V$14+1)/2)+$W$14)</f>
        <v/>
      </c>
      <c r="F36" s="27" t="str">
        <f>IF($P$14=0,"",IF($F$14="Teste de Ataque",'Criação'!$C$57,IF($F$14="Teste de Resistência","DT "&amp;'Criação'!$B$56,"")))</f>
        <v/>
      </c>
      <c r="G36" s="41" t="str">
        <f t="array" ref="G36">IF($P$14=0,"",IF($C$14="Passiva",0,INDEX(Dados!$J$296:$J$302,$S$14)))</f>
        <v/>
      </c>
      <c r="H36" s="41" t="str">
        <f t="array" ref="H36">IF($P$14=0,"",IF($C$14="Dano",INDEX(Dados!$K$296:$K$302,$S$14),0))</f>
        <v/>
      </c>
      <c r="I36" s="41" t="str">
        <f>IF($P$14=0,"",CHOOSE(MIN(4,$S$14),"Curta","Média","Longa","Extrema"))</f>
        <v/>
      </c>
      <c r="J36" s="41" t="str">
        <f>IF($P$14=0,"",IF($E$14="Sim",IF($S$14&gt;=6,4,3),1))</f>
        <v/>
      </c>
      <c r="K36" s="41" t="str">
        <f>IF(OR($P$14=0,$U$14=0),"",$U$14&amp;"d"&amp;$V$14)</f>
        <v/>
      </c>
      <c r="L36" s="41" t="str">
        <f>IF(OR($P$14=0,$U$14=0),"",INT($U$14*($V$14+1)/2))</f>
        <v/>
      </c>
    </row>
    <row r="37" ht="25.5" customHeight="1">
      <c r="A37" s="40">
        <v>4.0</v>
      </c>
      <c r="B37" s="16" t="str">
        <f>IF($P$15=0,"",IF(LEN($B$15)=0,"Habilidade 4",""&amp;$B$15))</f>
        <v/>
      </c>
      <c r="C37" s="38" t="str">
        <f>IF($P$15=0,"",$S$15)</f>
        <v/>
      </c>
      <c r="D37" s="38" t="str">
        <f>IF(OR($P$15=0,$U$15=0),"",IF($U$15&lt;=0,""&amp;$W$15,$U$15&amp;"d"&amp;$V$15&amp;IF($W$15&gt;0,"+"&amp;$W$15,IF($W$15&lt;0,""&amp;$W$15,""))))</f>
        <v/>
      </c>
      <c r="E37" s="38" t="str">
        <f>IF(OR($P$15=0,$U$15=0),"",INT($U$15*($V$15+1)/2)+$W$15)</f>
        <v/>
      </c>
      <c r="F37" s="38" t="str">
        <f>IF($P$15=0,"",IF($F$15="Teste de Ataque",'Criação'!$C$57,IF($F$15="Teste de Resistência","DT "&amp;'Criação'!$B$56,"")))</f>
        <v/>
      </c>
      <c r="G37" s="47" t="str">
        <f t="array" ref="G37">IF($P$15=0,"",IF($C$15="Passiva",0,INDEX(Dados!$J$296:$J$302,$S$15)))</f>
        <v/>
      </c>
      <c r="H37" s="47" t="str">
        <f t="array" ref="H37">IF($P$15=0,"",IF($C$15="Dano",INDEX(Dados!$K$296:$K$302,$S$15),0))</f>
        <v/>
      </c>
      <c r="I37" s="47" t="str">
        <f>IF($P$15=0,"",CHOOSE(MIN(4,$S$15),"Curta","Média","Longa","Extrema"))</f>
        <v/>
      </c>
      <c r="J37" s="47" t="str">
        <f>IF($P$15=0,"",IF($E$15="Sim",IF($S$15&gt;=6,4,3),1))</f>
        <v/>
      </c>
      <c r="K37" s="47" t="str">
        <f>IF(OR($P$15=0,$U$15=0),"",$U$15&amp;"d"&amp;$V$15)</f>
        <v/>
      </c>
      <c r="L37" s="47" t="str">
        <f>IF(OR($P$15=0,$U$15=0),"",INT($U$15*($V$15+1)/2))</f>
        <v/>
      </c>
    </row>
    <row r="38" ht="25.5" customHeight="1">
      <c r="A38" s="26">
        <v>5.0</v>
      </c>
      <c r="B38" s="9" t="str">
        <f>IF($P$16=0,"",IF(LEN($B$16)=0,"Habilidade 5",""&amp;$B$16))</f>
        <v/>
      </c>
      <c r="C38" s="27" t="str">
        <f>IF($P$16=0,"",$S$16)</f>
        <v/>
      </c>
      <c r="D38" s="27" t="str">
        <f>IF(OR($P$16=0,$U$16=0),"",IF($U$16&lt;=0,""&amp;$W$16,$U$16&amp;"d"&amp;$V$16&amp;IF($W$16&gt;0,"+"&amp;$W$16,IF($W$16&lt;0,""&amp;$W$16,""))))</f>
        <v/>
      </c>
      <c r="E38" s="27" t="str">
        <f>IF(OR($P$16=0,$U$16=0),"",INT($U$16*($V$16+1)/2)+$W$16)</f>
        <v/>
      </c>
      <c r="F38" s="27" t="str">
        <f>IF($P$16=0,"",IF($F$16="Teste de Ataque",'Criação'!$C$57,IF($F$16="Teste de Resistência","DT "&amp;'Criação'!$B$56,"")))</f>
        <v/>
      </c>
      <c r="G38" s="41" t="str">
        <f t="array" ref="G38">IF($P$16=0,"",IF($C$16="Passiva",0,INDEX(Dados!$J$296:$J$302,$S$16)))</f>
        <v/>
      </c>
      <c r="H38" s="41" t="str">
        <f t="array" ref="H38">IF($P$16=0,"",IF($C$16="Dano",INDEX(Dados!$K$296:$K$302,$S$16),0))</f>
        <v/>
      </c>
      <c r="I38" s="41" t="str">
        <f>IF($P$16=0,"",CHOOSE(MIN(4,$S$16),"Curta","Média","Longa","Extrema"))</f>
        <v/>
      </c>
      <c r="J38" s="41" t="str">
        <f>IF($P$16=0,"",IF($E$16="Sim",IF($S$16&gt;=6,4,3),1))</f>
        <v/>
      </c>
      <c r="K38" s="41" t="str">
        <f>IF(OR($P$16=0,$U$16=0),"",$U$16&amp;"d"&amp;$V$16)</f>
        <v/>
      </c>
      <c r="L38" s="41" t="str">
        <f>IF(OR($P$16=0,$U$16=0),"",INT($U$16*($V$16+1)/2))</f>
        <v/>
      </c>
    </row>
    <row r="39" ht="25.5" customHeight="1">
      <c r="A39" s="40">
        <v>6.0</v>
      </c>
      <c r="B39" s="16" t="str">
        <f>IF($P$17=0,"",IF(LEN($B$17)=0,"Habilidade 6",""&amp;$B$17))</f>
        <v/>
      </c>
      <c r="C39" s="38" t="str">
        <f>IF($P$17=0,"",$S$17)</f>
        <v/>
      </c>
      <c r="D39" s="38" t="str">
        <f>IF(OR($P$17=0,$U$17=0),"",IF($U$17&lt;=0,""&amp;$W$17,$U$17&amp;"d"&amp;$V$17&amp;IF($W$17&gt;0,"+"&amp;$W$17,IF($W$17&lt;0,""&amp;$W$17,""))))</f>
        <v/>
      </c>
      <c r="E39" s="38" t="str">
        <f>IF(OR($P$17=0,$U$17=0),"",INT($U$17*($V$17+1)/2)+$W$17)</f>
        <v/>
      </c>
      <c r="F39" s="38" t="str">
        <f>IF($P$17=0,"",IF($F$17="Teste de Ataque",'Criação'!$C$57,IF($F$17="Teste de Resistência","DT "&amp;'Criação'!$B$56,"")))</f>
        <v/>
      </c>
      <c r="G39" s="47" t="str">
        <f t="array" ref="G39">IF($P$17=0,"",IF($C$17="Passiva",0,INDEX(Dados!$J$296:$J$302,$S$17)))</f>
        <v/>
      </c>
      <c r="H39" s="47" t="str">
        <f t="array" ref="H39">IF($P$17=0,"",IF($C$17="Dano",INDEX(Dados!$K$296:$K$302,$S$17),0))</f>
        <v/>
      </c>
      <c r="I39" s="47" t="str">
        <f>IF($P$17=0,"",CHOOSE(MIN(4,$S$17),"Curta","Média","Longa","Extrema"))</f>
        <v/>
      </c>
      <c r="J39" s="47" t="str">
        <f>IF($P$17=0,"",IF($E$17="Sim",IF($S$17&gt;=6,4,3),1))</f>
        <v/>
      </c>
      <c r="K39" s="47" t="str">
        <f>IF(OR($P$17=0,$U$17=0),"",$U$17&amp;"d"&amp;$V$17)</f>
        <v/>
      </c>
      <c r="L39" s="47" t="str">
        <f>IF(OR($P$17=0,$U$17=0),"",INT($U$17*($V$17+1)/2))</f>
        <v/>
      </c>
    </row>
    <row r="40" ht="25.5" customHeight="1">
      <c r="A40" s="26">
        <v>7.0</v>
      </c>
      <c r="B40" s="9" t="str">
        <f>IF($P$18=0,"",IF(LEN($B$18)=0,"Habilidade 7",""&amp;$B$18))</f>
        <v/>
      </c>
      <c r="C40" s="27" t="str">
        <f>IF($P$18=0,"",$S$18)</f>
        <v/>
      </c>
      <c r="D40" s="27" t="str">
        <f>IF(OR($P$18=0,$U$18=0),"",IF($U$18&lt;=0,""&amp;$W$18,$U$18&amp;"d"&amp;$V$18&amp;IF($W$18&gt;0,"+"&amp;$W$18,IF($W$18&lt;0,""&amp;$W$18,""))))</f>
        <v/>
      </c>
      <c r="E40" s="27" t="str">
        <f>IF(OR($P$18=0,$U$18=0),"",INT($U$18*($V$18+1)/2)+$W$18)</f>
        <v/>
      </c>
      <c r="F40" s="27" t="str">
        <f>IF($P$18=0,"",IF($F$18="Teste de Ataque",'Criação'!$C$57,IF($F$18="Teste de Resistência","DT "&amp;'Criação'!$B$56,"")))</f>
        <v/>
      </c>
      <c r="G40" s="41" t="str">
        <f t="array" ref="G40">IF($P$18=0,"",IF($C$18="Passiva",0,INDEX(Dados!$J$296:$J$302,$S$18)))</f>
        <v/>
      </c>
      <c r="H40" s="41" t="str">
        <f t="array" ref="H40">IF($P$18=0,"",IF($C$18="Dano",INDEX(Dados!$K$296:$K$302,$S$18),0))</f>
        <v/>
      </c>
      <c r="I40" s="41" t="str">
        <f>IF($P$18=0,"",CHOOSE(MIN(4,$S$18),"Curta","Média","Longa","Extrema"))</f>
        <v/>
      </c>
      <c r="J40" s="41" t="str">
        <f>IF($P$18=0,"",IF($E$18="Sim",IF($S$18&gt;=6,4,3),1))</f>
        <v/>
      </c>
      <c r="K40" s="41" t="str">
        <f>IF(OR($P$18=0,$U$18=0),"",$U$18&amp;"d"&amp;$V$18)</f>
        <v/>
      </c>
      <c r="L40" s="41" t="str">
        <f>IF(OR($P$18=0,$U$18=0),"",INT($U$18*($V$18+1)/2))</f>
        <v/>
      </c>
    </row>
    <row r="41" ht="25.5" customHeight="1">
      <c r="A41" s="40">
        <v>8.0</v>
      </c>
      <c r="B41" s="16" t="str">
        <f>IF($P$19=0,"",IF(LEN($B$19)=0,"Habilidade 8",""&amp;$B$19))</f>
        <v/>
      </c>
      <c r="C41" s="38" t="str">
        <f>IF($P$19=0,"",$S$19)</f>
        <v/>
      </c>
      <c r="D41" s="38" t="str">
        <f>IF(OR($P$19=0,$U$19=0),"",IF($U$19&lt;=0,""&amp;$W$19,$U$19&amp;"d"&amp;$V$19&amp;IF($W$19&gt;0,"+"&amp;$W$19,IF($W$19&lt;0,""&amp;$W$19,""))))</f>
        <v/>
      </c>
      <c r="E41" s="38" t="str">
        <f>IF(OR($P$19=0,$U$19=0),"",INT($U$19*($V$19+1)/2)+$W$19)</f>
        <v/>
      </c>
      <c r="F41" s="38" t="str">
        <f>IF($P$19=0,"",IF($F$19="Teste de Ataque",'Criação'!$C$57,IF($F$19="Teste de Resistência","DT "&amp;'Criação'!$B$56,"")))</f>
        <v/>
      </c>
      <c r="G41" s="47" t="str">
        <f t="array" ref="G41">IF($P$19=0,"",IF($C$19="Passiva",0,INDEX(Dados!$J$296:$J$302,$S$19)))</f>
        <v/>
      </c>
      <c r="H41" s="47" t="str">
        <f t="array" ref="H41">IF($P$19=0,"",IF($C$19="Dano",INDEX(Dados!$K$296:$K$302,$S$19),0))</f>
        <v/>
      </c>
      <c r="I41" s="47" t="str">
        <f>IF($P$19=0,"",CHOOSE(MIN(4,$S$19),"Curta","Média","Longa","Extrema"))</f>
        <v/>
      </c>
      <c r="J41" s="47" t="str">
        <f>IF($P$19=0,"",IF($E$19="Sim",IF($S$19&gt;=6,4,3),1))</f>
        <v/>
      </c>
      <c r="K41" s="47" t="str">
        <f>IF(OR($P$19=0,$U$19=0),"",$U$19&amp;"d"&amp;$V$19)</f>
        <v/>
      </c>
      <c r="L41" s="47" t="str">
        <f>IF(OR($P$19=0,$U$19=0),"",INT($U$19*($V$19+1)/2))</f>
        <v/>
      </c>
    </row>
    <row r="42" ht="15.75" customHeight="1"/>
    <row r="43" ht="15.75" customHeight="1">
      <c r="A43" s="14" t="s">
        <v>210</v>
      </c>
      <c r="B43" s="14" t="s">
        <v>17</v>
      </c>
      <c r="C43" s="14" t="s">
        <v>405</v>
      </c>
      <c r="D43" s="14" t="s">
        <v>406</v>
      </c>
      <c r="E43" s="24"/>
      <c r="F43" s="24"/>
      <c r="G43" s="24"/>
      <c r="H43" s="24"/>
      <c r="I43" s="24"/>
      <c r="J43" s="24"/>
      <c r="K43" s="24"/>
      <c r="L43" s="24"/>
    </row>
    <row r="44" ht="25.5" customHeight="1">
      <c r="A44" s="26">
        <v>1.0</v>
      </c>
      <c r="B44" s="9" t="str">
        <f>IF($P$12=0,"",IF(LEN($B$12)=0,"Habilidade 1",""&amp;$B$12))</f>
        <v/>
      </c>
      <c r="C44" s="41" t="str">
        <f>IF($P$12=0,"",$W$12)</f>
        <v/>
      </c>
      <c r="D44" s="7" t="str">
        <f t="array" ref="D44">IF($P$12=0,"",IF(OR($C$12="Buff",$C$12="Debuff"),INDEX(Dados!$B$306:$B$312,$S$12)&amp;" · "&amp;INDEX(Dados!$C$306:$C$312,$S$12)&amp;" · alvos: "&amp;INDEX(Dados!$D$306:$D$312,$S$12),IF($C$12="Passiva",INDEX(Dados!$B$316:$B$322,$S$12)&amp;" · não custa PH",IF(OR($C$12="Dano",$C$12="Cura"),"Dados da tabela 16.3 + Bônus do Atributo de Habilidade, uma vez","Escolha o Tipo"))))</f>
        <v/>
      </c>
      <c r="E44" s="2"/>
      <c r="F44" s="2"/>
      <c r="G44" s="2"/>
      <c r="H44" s="2"/>
      <c r="I44" s="2"/>
      <c r="J44" s="2"/>
      <c r="K44" s="2"/>
      <c r="L44" s="3"/>
    </row>
    <row r="45" ht="25.5" customHeight="1">
      <c r="A45" s="40">
        <v>2.0</v>
      </c>
      <c r="B45" s="16" t="str">
        <f>IF($P$13=0,"",IF(LEN($B$13)=0,"Habilidade 2",""&amp;$B$13))</f>
        <v/>
      </c>
      <c r="C45" s="47" t="str">
        <f>IF($P$13=0,"",$W$13)</f>
        <v/>
      </c>
      <c r="D45" s="21" t="str">
        <f t="array" ref="D45">IF($P$13=0,"",IF(OR($C$13="Buff",$C$13="Debuff"),INDEX(Dados!$B$306:$B$312,$S$13)&amp;" · "&amp;INDEX(Dados!$C$306:$C$312,$S$13)&amp;" · alvos: "&amp;INDEX(Dados!$D$306:$D$312,$S$13),IF($C$13="Passiva",INDEX(Dados!$B$316:$B$322,$S$13)&amp;" · não custa PH",IF(OR($C$13="Dano",$C$13="Cura"),"Dados da tabela 16.3 + Bônus do Atributo de Habilidade, uma vez","Escolha o Tipo"))))</f>
        <v/>
      </c>
      <c r="E45" s="2"/>
      <c r="F45" s="2"/>
      <c r="G45" s="2"/>
      <c r="H45" s="2"/>
      <c r="I45" s="2"/>
      <c r="J45" s="2"/>
      <c r="K45" s="2"/>
      <c r="L45" s="3"/>
    </row>
    <row r="46" ht="25.5" customHeight="1">
      <c r="A46" s="26">
        <v>3.0</v>
      </c>
      <c r="B46" s="9" t="str">
        <f>IF($P$14=0,"",IF(LEN($B$14)=0,"Habilidade 3",""&amp;$B$14))</f>
        <v/>
      </c>
      <c r="C46" s="41" t="str">
        <f>IF($P$14=0,"",$W$14)</f>
        <v/>
      </c>
      <c r="D46" s="7" t="str">
        <f t="array" ref="D46">IF($P$14=0,"",IF(OR($C$14="Buff",$C$14="Debuff"),INDEX(Dados!$B$306:$B$312,$S$14)&amp;" · "&amp;INDEX(Dados!$C$306:$C$312,$S$14)&amp;" · alvos: "&amp;INDEX(Dados!$D$306:$D$312,$S$14),IF($C$14="Passiva",INDEX(Dados!$B$316:$B$322,$S$14)&amp;" · não custa PH",IF(OR($C$14="Dano",$C$14="Cura"),"Dados da tabela 16.3 + Bônus do Atributo de Habilidade, uma vez","Escolha o Tipo"))))</f>
        <v/>
      </c>
      <c r="E46" s="2"/>
      <c r="F46" s="2"/>
      <c r="G46" s="2"/>
      <c r="H46" s="2"/>
      <c r="I46" s="2"/>
      <c r="J46" s="2"/>
      <c r="K46" s="2"/>
      <c r="L46" s="3"/>
    </row>
    <row r="47" ht="25.5" customHeight="1">
      <c r="A47" s="40">
        <v>4.0</v>
      </c>
      <c r="B47" s="16" t="str">
        <f>IF($P$15=0,"",IF(LEN($B$15)=0,"Habilidade 4",""&amp;$B$15))</f>
        <v/>
      </c>
      <c r="C47" s="47" t="str">
        <f>IF($P$15=0,"",$W$15)</f>
        <v/>
      </c>
      <c r="D47" s="21" t="str">
        <f t="array" ref="D47">IF($P$15=0,"",IF(OR($C$15="Buff",$C$15="Debuff"),INDEX(Dados!$B$306:$B$312,$S$15)&amp;" · "&amp;INDEX(Dados!$C$306:$C$312,$S$15)&amp;" · alvos: "&amp;INDEX(Dados!$D$306:$D$312,$S$15),IF($C$15="Passiva",INDEX(Dados!$B$316:$B$322,$S$15)&amp;" · não custa PH",IF(OR($C$15="Dano",$C$15="Cura"),"Dados da tabela 16.3 + Bônus do Atributo de Habilidade, uma vez","Escolha o Tipo"))))</f>
        <v/>
      </c>
      <c r="E47" s="2"/>
      <c r="F47" s="2"/>
      <c r="G47" s="2"/>
      <c r="H47" s="2"/>
      <c r="I47" s="2"/>
      <c r="J47" s="2"/>
      <c r="K47" s="2"/>
      <c r="L47" s="3"/>
    </row>
    <row r="48" ht="25.5" customHeight="1">
      <c r="A48" s="26">
        <v>5.0</v>
      </c>
      <c r="B48" s="9" t="str">
        <f>IF($P$16=0,"",IF(LEN($B$16)=0,"Habilidade 5",""&amp;$B$16))</f>
        <v/>
      </c>
      <c r="C48" s="41" t="str">
        <f>IF($P$16=0,"",$W$16)</f>
        <v/>
      </c>
      <c r="D48" s="7" t="str">
        <f t="array" ref="D48">IF($P$16=0,"",IF(OR($C$16="Buff",$C$16="Debuff"),INDEX(Dados!$B$306:$B$312,$S$16)&amp;" · "&amp;INDEX(Dados!$C$306:$C$312,$S$16)&amp;" · alvos: "&amp;INDEX(Dados!$D$306:$D$312,$S$16),IF($C$16="Passiva",INDEX(Dados!$B$316:$B$322,$S$16)&amp;" · não custa PH",IF(OR($C$16="Dano",$C$16="Cura"),"Dados da tabela 16.3 + Bônus do Atributo de Habilidade, uma vez","Escolha o Tipo"))))</f>
        <v/>
      </c>
      <c r="E48" s="2"/>
      <c r="F48" s="2"/>
      <c r="G48" s="2"/>
      <c r="H48" s="2"/>
      <c r="I48" s="2"/>
      <c r="J48" s="2"/>
      <c r="K48" s="2"/>
      <c r="L48" s="3"/>
    </row>
    <row r="49" ht="25.5" customHeight="1">
      <c r="A49" s="40">
        <v>6.0</v>
      </c>
      <c r="B49" s="16" t="str">
        <f>IF($P$17=0,"",IF(LEN($B$17)=0,"Habilidade 6",""&amp;$B$17))</f>
        <v/>
      </c>
      <c r="C49" s="47" t="str">
        <f>IF($P$17=0,"",$W$17)</f>
        <v/>
      </c>
      <c r="D49" s="21" t="str">
        <f t="array" ref="D49">IF($P$17=0,"",IF(OR($C$17="Buff",$C$17="Debuff"),INDEX(Dados!$B$306:$B$312,$S$17)&amp;" · "&amp;INDEX(Dados!$C$306:$C$312,$S$17)&amp;" · alvos: "&amp;INDEX(Dados!$D$306:$D$312,$S$17),IF($C$17="Passiva",INDEX(Dados!$B$316:$B$322,$S$17)&amp;" · não custa PH",IF(OR($C$17="Dano",$C$17="Cura"),"Dados da tabela 16.3 + Bônus do Atributo de Habilidade, uma vez","Escolha o Tipo"))))</f>
        <v/>
      </c>
      <c r="E49" s="2"/>
      <c r="F49" s="2"/>
      <c r="G49" s="2"/>
      <c r="H49" s="2"/>
      <c r="I49" s="2"/>
      <c r="J49" s="2"/>
      <c r="K49" s="2"/>
      <c r="L49" s="3"/>
    </row>
    <row r="50" ht="25.5" customHeight="1">
      <c r="A50" s="26">
        <v>7.0</v>
      </c>
      <c r="B50" s="9" t="str">
        <f>IF($P$18=0,"",IF(LEN($B$18)=0,"Habilidade 7",""&amp;$B$18))</f>
        <v/>
      </c>
      <c r="C50" s="41" t="str">
        <f>IF($P$18=0,"",$W$18)</f>
        <v/>
      </c>
      <c r="D50" s="7" t="str">
        <f t="array" ref="D50">IF($P$18=0,"",IF(OR($C$18="Buff",$C$18="Debuff"),INDEX(Dados!$B$306:$B$312,$S$18)&amp;" · "&amp;INDEX(Dados!$C$306:$C$312,$S$18)&amp;" · alvos: "&amp;INDEX(Dados!$D$306:$D$312,$S$18),IF($C$18="Passiva",INDEX(Dados!$B$316:$B$322,$S$18)&amp;" · não custa PH",IF(OR($C$18="Dano",$C$18="Cura"),"Dados da tabela 16.3 + Bônus do Atributo de Habilidade, uma vez","Escolha o Tipo"))))</f>
        <v/>
      </c>
      <c r="E50" s="2"/>
      <c r="F50" s="2"/>
      <c r="G50" s="2"/>
      <c r="H50" s="2"/>
      <c r="I50" s="2"/>
      <c r="J50" s="2"/>
      <c r="K50" s="2"/>
      <c r="L50" s="3"/>
    </row>
    <row r="51" ht="25.5" customHeight="1">
      <c r="A51" s="40">
        <v>8.0</v>
      </c>
      <c r="B51" s="16" t="str">
        <f>IF($P$19=0,"",IF(LEN($B$19)=0,"Habilidade 8",""&amp;$B$19))</f>
        <v/>
      </c>
      <c r="C51" s="47" t="str">
        <f>IF($P$19=0,"",$W$19)</f>
        <v/>
      </c>
      <c r="D51" s="21" t="str">
        <f t="array" ref="D51">IF($P$19=0,"",IF(OR($C$19="Buff",$C$19="Debuff"),INDEX(Dados!$B$306:$B$312,$S$19)&amp;" · "&amp;INDEX(Dados!$C$306:$C$312,$S$19)&amp;" · alvos: "&amp;INDEX(Dados!$D$306:$D$312,$S$19),IF($C$19="Passiva",INDEX(Dados!$B$316:$B$322,$S$19)&amp;" · não custa PH",IF(OR($C$19="Dano",$C$19="Cura"),"Dados da tabela 16.3 + Bônus do Atributo de Habilidade, uma vez","Escolha o Tipo"))))</f>
        <v/>
      </c>
      <c r="E51" s="2"/>
      <c r="F51" s="2"/>
      <c r="G51" s="2"/>
      <c r="H51" s="2"/>
      <c r="I51" s="2"/>
      <c r="J51" s="2"/>
      <c r="K51" s="2"/>
      <c r="L51" s="3"/>
    </row>
    <row r="52" ht="15.75" customHeight="1"/>
    <row r="53" ht="15.75" customHeight="1">
      <c r="A53" s="5" t="s">
        <v>444</v>
      </c>
      <c r="B53" s="2"/>
      <c r="C53" s="2"/>
      <c r="D53" s="2"/>
      <c r="E53" s="2"/>
      <c r="F53" s="2"/>
      <c r="G53" s="2"/>
      <c r="H53" s="2"/>
      <c r="I53" s="2"/>
      <c r="J53" s="2"/>
      <c r="K53" s="2"/>
      <c r="L53" s="3"/>
    </row>
    <row r="54" ht="15.75" customHeight="1">
      <c r="A54" s="25" t="s">
        <v>445</v>
      </c>
      <c r="B54" s="59"/>
      <c r="C54" s="51"/>
      <c r="D54" s="29"/>
      <c r="E54" s="29"/>
      <c r="F54" s="32"/>
    </row>
    <row r="55" ht="15.75" customHeight="1">
      <c r="A55" s="25" t="s">
        <v>446</v>
      </c>
      <c r="B55" s="59"/>
      <c r="C55" s="51"/>
      <c r="D55" s="29"/>
      <c r="E55" s="29"/>
      <c r="F55" s="29"/>
      <c r="G55" s="29"/>
      <c r="H55" s="29"/>
      <c r="I55" s="29"/>
      <c r="J55" s="29"/>
      <c r="K55" s="32"/>
    </row>
    <row r="56" ht="25.5" customHeight="1">
      <c r="A56" s="25" t="s">
        <v>212</v>
      </c>
      <c r="B56" s="59"/>
      <c r="C56" s="79"/>
      <c r="D56" s="32"/>
      <c r="L56" s="30" t="str">
        <f>IF($C$56="",IF($P$61=1,"Escolha o Tipo da Ultimate.",""),IF(OR($C$56="Dano",$C$56="Cura",$C$56="Buff",$C$56="Debuff",$C$56="Controle"),"","Tipo fora da lista (17.4)."))&amp;IF(AND(LEN($C$58)&gt;0,COUNTIF(Dados!$AK$6:$AK$7,$C$58)=0)," Resolução fora da lista.","")</f>
        <v/>
      </c>
    </row>
    <row r="57" ht="15.75" customHeight="1">
      <c r="A57" s="25" t="s">
        <v>214</v>
      </c>
      <c r="B57" s="59"/>
      <c r="C57" s="79"/>
      <c r="D57" s="32"/>
    </row>
    <row r="58" ht="15.75" customHeight="1">
      <c r="A58" s="25" t="s">
        <v>215</v>
      </c>
      <c r="B58" s="59"/>
      <c r="C58" s="79"/>
      <c r="D58" s="32"/>
    </row>
    <row r="59" ht="36.75" customHeight="1">
      <c r="A59" s="25" t="s">
        <v>448</v>
      </c>
      <c r="B59" s="59"/>
      <c r="C59" s="51"/>
      <c r="D59" s="29"/>
      <c r="E59" s="29"/>
      <c r="F59" s="29"/>
      <c r="G59" s="29"/>
      <c r="H59" s="29"/>
      <c r="I59" s="29"/>
      <c r="J59" s="29"/>
      <c r="K59" s="32"/>
    </row>
    <row r="60" ht="39.75" customHeight="1">
      <c r="A60" s="14" t="s">
        <v>449</v>
      </c>
      <c r="B60" s="24"/>
      <c r="C60" s="14" t="s">
        <v>450</v>
      </c>
      <c r="D60" s="14" t="s">
        <v>334</v>
      </c>
      <c r="E60" s="14" t="s">
        <v>273</v>
      </c>
      <c r="F60" s="14" t="s">
        <v>335</v>
      </c>
      <c r="G60" s="14" t="s">
        <v>451</v>
      </c>
      <c r="H60" s="14" t="s">
        <v>337</v>
      </c>
      <c r="I60" s="14" t="s">
        <v>339</v>
      </c>
      <c r="J60" s="14" t="s">
        <v>340</v>
      </c>
      <c r="K60" s="14" t="s">
        <v>341</v>
      </c>
      <c r="L60" s="14" t="s">
        <v>405</v>
      </c>
      <c r="P60" s="14" t="s">
        <v>218</v>
      </c>
      <c r="Q60" s="14" t="s">
        <v>452</v>
      </c>
      <c r="R60" s="14" t="s">
        <v>222</v>
      </c>
      <c r="S60" s="14" t="s">
        <v>223</v>
      </c>
    </row>
    <row r="61" ht="15.75" customHeight="1">
      <c r="A61" s="25" t="s">
        <v>453</v>
      </c>
      <c r="B61" s="59"/>
      <c r="C61" s="27">
        <f>'Criação'!$H$16</f>
        <v>2</v>
      </c>
      <c r="D61" s="27" t="str">
        <f>IF($R$61=0,"",IF($R$61&lt;=0,""&amp;$L$61,$R$61&amp;"d"&amp;$S$61&amp;IF($L$61&gt;0,"+"&amp;$L$61,IF($L$61&lt;0,""&amp;$L$61,""))))</f>
        <v/>
      </c>
      <c r="E61" s="27" t="str">
        <f>IF($R$61=0,"",INT($R$61*($S$61+1)/2)+$L$61)</f>
        <v/>
      </c>
      <c r="F61" s="27" t="str">
        <f>IF($C$58="Teste de Ataque",'Criação'!$C$57,IF($C$58="Teste de Resistência","DT "&amp;'Criação'!$B$56,""))</f>
        <v/>
      </c>
      <c r="G61" s="27">
        <f>IF('Progressão'!$R$70="Ultimate com 80 de Energia",80,100)</f>
        <v>100</v>
      </c>
      <c r="H61" s="41">
        <f t="array" ref="H61">INDEX(Dados!$K$326:$K$330,'Criação'!$B$14)</f>
        <v>5</v>
      </c>
      <c r="I61" s="41">
        <f>IF($C$57="Sim",IF($C$61&gt;=6,4,3),1)</f>
        <v>1</v>
      </c>
      <c r="J61" s="41" t="str">
        <f>IF($R$61=0,"",$R$61&amp;"d"&amp;$S$61)</f>
        <v/>
      </c>
      <c r="K61" s="41" t="str">
        <f>IF($R$61=0,"",INT($R$61*($S$61+1)/2))</f>
        <v/>
      </c>
      <c r="L61" s="41">
        <f>IF(OR($C$56="Dano",$C$56="Cura"),'Criação'!$B$55+IF($C$56="Dano",Equipamento!$P$40+Equipamento!$F$31,0),0)</f>
        <v>0</v>
      </c>
      <c r="P61" s="35">
        <f>IF(OR(LEN($C$54)&gt;0,LEN($C$55)&gt;0,LEN($C$56)&gt;0,LEN($C$57)&gt;0,LEN($C$58)&gt;0,LEN($C$59)&gt;0),1,0)</f>
        <v>0</v>
      </c>
      <c r="Q61" s="35">
        <f t="array" ref="Q61">IF($C$56="Dano",INDEX(Dados!$D$326:$D$330,'Criação'!$B$14),IF($C$56="Cura",INDEX(Dados!$H$326:$H$330,'Criação'!$B$14),0))</f>
        <v>0</v>
      </c>
      <c r="R61" s="35">
        <f>IF(AND($C$57="Sim",$Q$61&gt;0),MAX(1,INT($Q$61/2)),$Q$61)</f>
        <v>0</v>
      </c>
      <c r="S61" s="35">
        <f t="array" ref="S61">IF($C$56="Dano",INDEX(Dados!$E$326:$E$330,'Criação'!$B$14),IF($C$56="Cura",INDEX(Dados!$I$326:$I$330,'Criação'!$B$14),0))</f>
        <v>0</v>
      </c>
    </row>
    <row r="62" ht="15.75" customHeight="1">
      <c r="A62" s="80" t="s">
        <v>463</v>
      </c>
      <c r="B62" s="67"/>
      <c r="C62" s="21" t="str">
        <f t="array" ref="C62">IF(OR($C$56="Buff",$C$56="Debuff",$C$56="Controle"),"Nível equivalente "&amp;$C$61&amp;": "&amp;INDEX(Dados!$B$306:$B$312,$C$61)&amp;" · "&amp;INDEX(Dados!$C$306:$C$312,$C$61),IF(OR($C$56="Dano",$C$56="Cura"),"Dados da linha da sua faixa (17.3) + Bônus do Atributo de Habilidade, uma vez","Escolha o Tipo"))</f>
        <v>Escolha o Tipo</v>
      </c>
      <c r="D62" s="2"/>
      <c r="E62" s="2"/>
      <c r="F62" s="2"/>
      <c r="G62" s="2"/>
      <c r="H62" s="2"/>
      <c r="I62" s="2"/>
      <c r="J62" s="2"/>
      <c r="K62" s="2"/>
      <c r="L62" s="3"/>
      <c r="M62" s="49"/>
      <c r="N62" s="49"/>
      <c r="O62" s="49"/>
      <c r="P62" s="49"/>
      <c r="Q62" s="49"/>
      <c r="R62" s="49"/>
      <c r="S62" s="49"/>
    </row>
    <row r="63" ht="15.75" customHeight="1">
      <c r="A63" s="25" t="s">
        <v>466</v>
      </c>
      <c r="L63" s="59"/>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D49:L49"/>
    <mergeCell ref="D50:L50"/>
    <mergeCell ref="D51:L51"/>
    <mergeCell ref="A53:L53"/>
    <mergeCell ref="A54:B54"/>
    <mergeCell ref="C54:F54"/>
    <mergeCell ref="C55:K55"/>
    <mergeCell ref="A55:B55"/>
    <mergeCell ref="A56:B56"/>
    <mergeCell ref="C56:D56"/>
    <mergeCell ref="A57:B57"/>
    <mergeCell ref="C57:D57"/>
    <mergeCell ref="A58:B58"/>
    <mergeCell ref="C58:D58"/>
    <mergeCell ref="A7:B7"/>
    <mergeCell ref="A8:B8"/>
    <mergeCell ref="A1:L1"/>
    <mergeCell ref="A3:L3"/>
    <mergeCell ref="A5:L5"/>
    <mergeCell ref="A6:B6"/>
    <mergeCell ref="D6:E6"/>
    <mergeCell ref="G6:H6"/>
    <mergeCell ref="E7:K7"/>
    <mergeCell ref="C8:K8"/>
    <mergeCell ref="A10:L10"/>
    <mergeCell ref="I11:L11"/>
    <mergeCell ref="I12:L12"/>
    <mergeCell ref="I13:L13"/>
    <mergeCell ref="I14:L14"/>
    <mergeCell ref="I15:L15"/>
    <mergeCell ref="I16:L16"/>
    <mergeCell ref="I17:L17"/>
    <mergeCell ref="I18:L18"/>
    <mergeCell ref="I19:L19"/>
    <mergeCell ref="A21:L21"/>
    <mergeCell ref="C22:L22"/>
    <mergeCell ref="C23:L23"/>
    <mergeCell ref="C24:L24"/>
    <mergeCell ref="C25:L25"/>
    <mergeCell ref="C26:L26"/>
    <mergeCell ref="C27:L27"/>
    <mergeCell ref="C28:L28"/>
    <mergeCell ref="C29:L29"/>
    <mergeCell ref="A32:L32"/>
    <mergeCell ref="C30:L30"/>
    <mergeCell ref="D43:L43"/>
    <mergeCell ref="D44:L44"/>
    <mergeCell ref="D45:L45"/>
    <mergeCell ref="D46:L46"/>
    <mergeCell ref="D47:L47"/>
    <mergeCell ref="D48:L48"/>
    <mergeCell ref="A59:B59"/>
    <mergeCell ref="C59:K59"/>
    <mergeCell ref="A60:B60"/>
    <mergeCell ref="A61:B61"/>
    <mergeCell ref="A62:B62"/>
    <mergeCell ref="C62:L62"/>
    <mergeCell ref="A63:L63"/>
  </mergeCells>
  <conditionalFormatting sqref="L7">
    <cfRule type="expression" dxfId="0" priority="1">
      <formula>LEN(L7)&gt;0</formula>
    </cfRule>
  </conditionalFormatting>
  <conditionalFormatting sqref="L8">
    <cfRule type="expression" dxfId="0" priority="2">
      <formula>LEN(L8)&gt;0</formula>
    </cfRule>
  </conditionalFormatting>
  <conditionalFormatting sqref="I12">
    <cfRule type="expression" dxfId="0" priority="3">
      <formula>LEN(I12)&gt;0</formula>
    </cfRule>
  </conditionalFormatting>
  <conditionalFormatting sqref="I13">
    <cfRule type="expression" dxfId="0" priority="4">
      <formula>LEN(I13)&gt;0</formula>
    </cfRule>
  </conditionalFormatting>
  <conditionalFormatting sqref="I14">
    <cfRule type="expression" dxfId="0" priority="5">
      <formula>LEN(I14)&gt;0</formula>
    </cfRule>
  </conditionalFormatting>
  <conditionalFormatting sqref="I15">
    <cfRule type="expression" dxfId="0" priority="6">
      <formula>LEN(I15)&gt;0</formula>
    </cfRule>
  </conditionalFormatting>
  <conditionalFormatting sqref="I16">
    <cfRule type="expression" dxfId="0" priority="7">
      <formula>LEN(I16)&gt;0</formula>
    </cfRule>
  </conditionalFormatting>
  <conditionalFormatting sqref="I17">
    <cfRule type="expression" dxfId="0" priority="8">
      <formula>LEN(I17)&gt;0</formula>
    </cfRule>
  </conditionalFormatting>
  <conditionalFormatting sqref="I18">
    <cfRule type="expression" dxfId="0" priority="9">
      <formula>LEN(I18)&gt;0</formula>
    </cfRule>
  </conditionalFormatting>
  <conditionalFormatting sqref="I19">
    <cfRule type="expression" dxfId="0" priority="10">
      <formula>LEN(I19)&gt;0</formula>
    </cfRule>
  </conditionalFormatting>
  <conditionalFormatting sqref="L56">
    <cfRule type="expression" dxfId="0" priority="11">
      <formula>LEN(L56)&gt;0</formula>
    </cfRule>
  </conditionalFormatting>
  <dataValidations>
    <dataValidation type="list" allowBlank="1" showInputMessage="1" prompt="Fora da lista - Ultimate: Em área?: escolha um valor da lista. A ficha pode não reconhecer outro valor." sqref="C57">
      <formula1>Dados!$AG$6:$AG$7</formula1>
    </dataValidation>
    <dataValidation type="list" allowBlank="1" showInputMessage="1" prompt="Fora da lista - Ultimate: Tipo: escolha um valor da lista. A ficha pode não reconhecer outro valor." sqref="C56">
      <formula1>"Dano,Cura,Buff,Debuff,Controle"</formula1>
    </dataValidation>
    <dataValidation type="list" allowBlank="1" showInputMessage="1" prompt="Fora da lista - Ultimate: Resolução: escolha um valor da lista. A ficha pode não reconhecer outro valor." sqref="C58">
      <formula1>Dados!$AK$6:$AK$7</formula1>
    </dataValidation>
    <dataValidation type="list" allowBlank="1" showInputMessage="1" prompt="Fora da lista - Em área: escolha um valor da lista. A ficha pode não reconhecer outro valor." sqref="E12:E19">
      <formula1>Dados!$AG$6:$AG$7</formula1>
    </dataValidation>
    <dataValidation type="list" allowBlank="1" showInputMessage="1" prompt="Fora da lista - Ressonância III: escolha um valor da lista. A ficha pode não reconhecer outro valor." sqref="H12:H19">
      <formula1>Dados!$AG$6:$AG$7</formula1>
    </dataValidation>
    <dataValidation type="list" allowBlank="1" showInputMessage="1" prompt="Fora da lista - Resolução: escolha um valor da lista. A ficha pode não reconhecer outro valor." sqref="F12:F19">
      <formula1>Dados!$AK$6:$AK$7</formula1>
    </dataValidation>
    <dataValidation type="decimal" allowBlank="1" showInputMessage="1" prompt="Valor fora da faixa - Nível da Habilidade: use um número inteiro de 1 a 7." sqref="D12:D19">
      <formula1>1.0</formula1>
      <formula2>7.0</formula2>
    </dataValidation>
    <dataValidation type="list" allowBlank="1" showInputMessage="1" prompt="Fora da lista - Tipo: escolha um valor da lista. A ficha pode não reconhecer outro valor." sqref="C12:C19">
      <formula1>Dados!$W$6:$W$10</formula1>
    </dataValidation>
    <dataValidation type="list" allowBlank="1" showInputMessage="1" prompt="Fora da lista - Alcance: escolha um valor da lista. A ficha pode não reconhecer outro valor." sqref="G12:G19">
      <formula1>Dados!$X$6:$X$10</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2.0"/>
    <col customWidth="1" min="3" max="3" width="29.0"/>
    <col customWidth="1" min="4" max="4" width="11.75"/>
    <col customWidth="1" min="5" max="5" width="10.0"/>
    <col customWidth="1" min="6" max="6" width="17.0"/>
    <col customWidth="1" min="7" max="7" width="26.75"/>
    <col customWidth="1" min="8" max="8" width="13.63"/>
    <col customWidth="1" min="9" max="9" width="14.0"/>
    <col customWidth="1" min="10" max="10" width="1.0"/>
    <col customWidth="1" min="11" max="11" width="4.25"/>
    <col customWidth="1" min="12" max="12" width="22.63"/>
    <col customWidth="1" hidden="1" min="13" max="13" width="2.0"/>
    <col customWidth="1" hidden="1" min="14" max="14" width="9.38"/>
    <col customWidth="1" min="15" max="26" width="8.63"/>
  </cols>
  <sheetData>
    <row r="1" ht="24.0" customHeight="1">
      <c r="A1" s="1" t="s">
        <v>371</v>
      </c>
      <c r="B1" s="2"/>
      <c r="C1" s="2"/>
      <c r="D1" s="2"/>
      <c r="E1" s="2"/>
      <c r="F1" s="2"/>
      <c r="G1" s="2"/>
      <c r="H1" s="2"/>
      <c r="I1" s="2"/>
      <c r="J1" s="2"/>
      <c r="K1" s="2"/>
      <c r="L1" s="3"/>
    </row>
    <row r="2" ht="36.75" customHeight="1">
      <c r="A2" s="4" t="s">
        <v>3</v>
      </c>
      <c r="B2" s="6" t="s">
        <v>5</v>
      </c>
      <c r="C2" s="9" t="s">
        <v>13</v>
      </c>
      <c r="D2" s="11" t="s">
        <v>18</v>
      </c>
      <c r="E2" s="3"/>
      <c r="F2" s="13" t="s">
        <v>19</v>
      </c>
      <c r="G2" s="14" t="s">
        <v>21</v>
      </c>
      <c r="H2" s="15" t="s">
        <v>22</v>
      </c>
      <c r="I2" s="16" t="s">
        <v>23</v>
      </c>
      <c r="J2" s="75" t="s">
        <v>24</v>
      </c>
      <c r="K2" s="3"/>
    </row>
    <row r="3">
      <c r="A3" s="18" t="s">
        <v>372</v>
      </c>
    </row>
    <row r="5">
      <c r="A5" s="5" t="s">
        <v>373</v>
      </c>
      <c r="B5" s="2"/>
      <c r="C5" s="2"/>
      <c r="D5" s="2"/>
      <c r="E5" s="2"/>
      <c r="F5" s="2"/>
      <c r="G5" s="2"/>
      <c r="H5" s="2"/>
      <c r="I5" s="2"/>
      <c r="J5" s="2"/>
      <c r="K5" s="2"/>
      <c r="L5" s="3"/>
    </row>
    <row r="6">
      <c r="A6" s="15" t="s">
        <v>101</v>
      </c>
      <c r="B6" s="63" t="str">
        <f>IF('Criação'!$B$33="","Escolha na aba Criação",'Criação'!$B$33)</f>
        <v>Escolha na aba Criação</v>
      </c>
      <c r="C6" s="3"/>
      <c r="D6" s="19" t="s">
        <v>160</v>
      </c>
      <c r="E6" s="37" t="str">
        <f>'Criação'!$B$34</f>
        <v/>
      </c>
      <c r="F6" s="3"/>
      <c r="G6" s="19" t="s">
        <v>375</v>
      </c>
      <c r="H6" s="27" t="str">
        <f>'Criação'!$D$54</f>
        <v/>
      </c>
    </row>
    <row r="7">
      <c r="A7" s="15" t="s">
        <v>376</v>
      </c>
      <c r="B7" s="37" t="str">
        <f>'Criação'!$B$35</f>
        <v/>
      </c>
      <c r="C7" s="2"/>
      <c r="D7" s="2"/>
      <c r="E7" s="2"/>
      <c r="F7" s="2"/>
      <c r="G7" s="2"/>
      <c r="H7" s="3"/>
    </row>
    <row r="8">
      <c r="A8" s="15" t="s">
        <v>377</v>
      </c>
      <c r="B8" s="27">
        <f>'Criação'!$B$36</f>
        <v>0</v>
      </c>
      <c r="C8" s="19" t="s">
        <v>378</v>
      </c>
      <c r="D8" s="27">
        <f>'Criação'!$B$37</f>
        <v>0</v>
      </c>
      <c r="E8" s="19" t="s">
        <v>379</v>
      </c>
      <c r="G8" s="37" t="str">
        <f>'Criação'!$B$38&amp;IF('Criação'!$B$33="",""," · ")&amp;'Criação'!$D$38&amp;IF('Criação'!$B$33="",""," · ")&amp;'Criação'!$F$38</f>
        <v/>
      </c>
      <c r="H8" s="3"/>
    </row>
    <row r="9">
      <c r="A9" s="15" t="s">
        <v>384</v>
      </c>
      <c r="B9" s="37" t="str">
        <f>'Criação'!$B$40</f>
        <v/>
      </c>
      <c r="C9" s="2"/>
      <c r="D9" s="2"/>
      <c r="E9" s="2"/>
      <c r="F9" s="2"/>
      <c r="G9" s="2"/>
      <c r="H9" s="3"/>
    </row>
    <row r="11">
      <c r="A11" s="5" t="s">
        <v>394</v>
      </c>
      <c r="B11" s="2"/>
      <c r="C11" s="2"/>
      <c r="D11" s="2"/>
      <c r="E11" s="2"/>
      <c r="F11" s="2"/>
      <c r="G11" s="2"/>
      <c r="H11" s="2"/>
      <c r="I11" s="2"/>
      <c r="J11" s="2"/>
      <c r="K11" s="2"/>
      <c r="L11" s="3"/>
    </row>
    <row r="12">
      <c r="A12" s="37" t="str">
        <f>IF('Criação'!$B$33="A Preservação","Teto de Barreira (15.2) = 3 × Eficiência = "&amp;3*'Criação'!$C$14,IF('Criação'!$B$33="A Caça","Marcação de Presa (14.2): Ação Complementar, 1 inimigo por vez, +1 dado base contra ele.",IF('Criação'!$B$33="A Euforia","Tabela do Riso (13.2): role 1d6 quando uma Bênção mandar.",IF('Criação'!$B$33="A Erudição","Acúmulos de Cálculo (12.2): máximo "&amp;IF((COUNTIF($I$27:$I$36,"Teto Rompido")&gt;0),7,5)&amp;" por combate",IF('Criação'!$B$33="A Recordação","Memoespírito (11.3 a 11.5): monte a ficha dele no bloco abaixo.",IF('Criação'!$B$33="A Abundância","Nenhum recurso além dos acúmulos das Bênçãos (10.1): Florescimento (até 5).",IF('Criação'!$B$33="A Harmonia","Nenhum recurso além dos acúmulos das Bênçãos (9.1): Eco da Vitória (até 3).",IF('Criação'!$B$33="A Inexistência","Nenhum recurso além dos acúmulos das Bênçãos (8.1): Marca do Vazio (até 3) e Corrupção (até 5).",IF('Criação'!$B$33="A Destruição","PV como moeda (7.2): ativação ou acúmulo de Bênção de custo = 2 × nível = "&amp;2*'Criação'!$A$14&amp;" PV","Escolha o Caminho na aba Criação (Passo 3).")))))))))</f>
        <v>Escolha o Caminho na aba Criação (Passo 3).</v>
      </c>
      <c r="B12" s="2"/>
      <c r="C12" s="2"/>
      <c r="D12" s="2"/>
      <c r="E12" s="2"/>
      <c r="F12" s="2"/>
      <c r="G12" s="2"/>
      <c r="H12" s="3"/>
    </row>
    <row r="13">
      <c r="A13" s="37" t="str">
        <f>IF('Criação'!$B$33="A Preservação","Barreira não acumula com outro PV temporário: fica o maior valor.",IF('Criação'!$B$33="A Caça","A marca dura até o fim do combate e migra de graça quando o alvo é derrotado.",IF('Criação'!$B$33="A Euforia","1: Piada interna — +1 dado base no seu próximo ataque neste Ciclo",IF('Criação'!$B$33="A Erudição","Ganha 1 acúmulo por inimigo atingido por um mesmo ataque, Habilidade ou Ultimate sua.",IF('Criação'!$B$33="A Recordação","Invocar: Ação Complementar + 1 PH. A Energia das ações dele vale metade para você.",IF('Criação'!$B$33="A Abundância","Use a frequência e os acúmulos das Bênçãos adquiridas, nos slots abaixo.",IF('Criação'!$B$33="A Harmonia","Use a frequência e os acúmulos das Bênçãos adquiridas, nos slots abaixo.",IF('Criação'!$B$33="A Inexistência","Use a frequência e os acúmulos das Bênçãos adquiridas, nos slots abaixo.",IF('Criação'!$B$33="A Destruição","Dado base comprado no Avatar = 5 × nível = "&amp;(5*'Criação'!$A$14)&amp;" PV","")))))))))</f>
        <v/>
      </c>
      <c r="B13" s="2"/>
      <c r="C13" s="2"/>
      <c r="D13" s="2"/>
      <c r="E13" s="2"/>
      <c r="F13" s="2"/>
      <c r="G13" s="2"/>
      <c r="H13" s="3"/>
    </row>
    <row r="14">
      <c r="A14" s="37" t="str">
        <f>IF('Criação'!$B$33="A Preservação","Cura não repõe Barreira. O dano passa pela RD antes da Barreira.",IF('Criação'!$B$33="A Caça","Faixa de crítico: "&amp;IF((COUNTIF($I$27:$I$36,"Olho de Lan")&gt;0),"19-20 (Olho de Lan)","20"),IF('Criação'!$B$33="A Euforia","2: Tropeço cósmico — o inimigo mais próximo é Atrasado em 1 casa (capítulo 19, respeita a Firmeza de Elite e Boss)",IF('Criação'!$B$33="A Erudição","Gastar 1 acúmulo: +1 alvo para a ação em curso. Gastar 2: +1 dado base no dano.",IF('Criação'!$B$33="A Destruição","Você escolhe pagar e não pode pagar se o custo for igual ou maior que os seus PV atuais.","")))))</f>
        <v/>
      </c>
      <c r="B14" s="2"/>
      <c r="C14" s="2"/>
      <c r="D14" s="2"/>
      <c r="E14" s="2"/>
      <c r="F14" s="2"/>
      <c r="G14" s="2"/>
      <c r="H14" s="3"/>
    </row>
    <row r="15">
      <c r="A15" s="37" t="str">
        <f>IF('Criação'!$B$33="A Euforia","3: Riso contagioso — um aliado a até Distância Média ganha +2 na próxima rolagem dele",IF('Criação'!$B$33="A Erudição","Gastar não consome ação. Os acúmulos zeram no fim do combate.",IF('Criação'!$B$33="A Destruição","PV gastos assim não são dano: não geram Energia, não passam por RD e contam para as Marcas.","")))</f>
        <v/>
      </c>
      <c r="B15" s="2"/>
      <c r="C15" s="2"/>
      <c r="D15" s="2"/>
      <c r="E15" s="2"/>
      <c r="F15" s="2"/>
      <c r="G15" s="2"/>
      <c r="H15" s="3"/>
    </row>
    <row r="16">
      <c r="A16" s="37" t="str">
        <f>IF('Criação'!$B$33="A Euforia","4: Troca de lugar — você e um aliado trocam de casa na Fila; nenhum dos dois pode já ter agido neste Ciclo","")</f>
        <v/>
      </c>
      <c r="B16" s="2"/>
      <c r="C16" s="2"/>
      <c r="D16" s="2"/>
      <c r="E16" s="2"/>
      <c r="F16" s="2"/>
      <c r="G16" s="2"/>
      <c r="H16" s="3"/>
    </row>
    <row r="17">
      <c r="A17" s="37" t="str">
        <f>IF('Criação'!$B$33="A Euforia","5: Sorte do tolo — você ganha Vantagem na sua próxima rolagem neste Ciclo","")</f>
        <v/>
      </c>
      <c r="B17" s="2"/>
      <c r="C17" s="2"/>
      <c r="D17" s="2"/>
      <c r="E17" s="2"/>
      <c r="F17" s="2"/>
      <c r="G17" s="2"/>
      <c r="H17" s="3"/>
    </row>
    <row r="18">
      <c r="A18" s="37" t="str">
        <f>IF('Criação'!$B$33="A Euforia","6: Aha! aprova — o grupo recupera 1 PH (uma vez por Ciclo)","")</f>
        <v/>
      </c>
      <c r="B18" s="2"/>
      <c r="C18" s="2"/>
      <c r="D18" s="2"/>
      <c r="E18" s="2"/>
      <c r="F18" s="2"/>
      <c r="G18" s="2"/>
      <c r="H18" s="3"/>
    </row>
    <row r="20">
      <c r="A20" s="5" t="s">
        <v>407</v>
      </c>
      <c r="B20" s="2"/>
      <c r="C20" s="2"/>
      <c r="D20" s="2"/>
      <c r="E20" s="2"/>
      <c r="F20" s="2"/>
      <c r="G20" s="2"/>
      <c r="H20" s="2"/>
      <c r="I20" s="2"/>
      <c r="J20" s="2"/>
      <c r="K20" s="2"/>
      <c r="L20" s="3"/>
    </row>
    <row r="21" ht="30.0" customHeight="1">
      <c r="A21" s="14" t="s">
        <v>408</v>
      </c>
      <c r="B21" s="24"/>
      <c r="C21" s="14" t="s">
        <v>409</v>
      </c>
      <c r="D21" s="14" t="s">
        <v>410</v>
      </c>
      <c r="E21" s="14" t="s">
        <v>411</v>
      </c>
      <c r="F21" s="14" t="s">
        <v>412</v>
      </c>
      <c r="G21" s="14" t="s">
        <v>413</v>
      </c>
      <c r="H21" s="24"/>
    </row>
    <row r="22" ht="36.75" customHeight="1">
      <c r="A22" s="25" t="s">
        <v>414</v>
      </c>
      <c r="B22" s="59"/>
      <c r="C22" s="27" t="str">
        <f>IF((COUNTIF($I$27:$I$36,"Pacto da Ruína")&gt;0),2*'Criação'!$A$14,"")</f>
        <v/>
      </c>
      <c r="D22" s="27" t="str">
        <f>IF((COUNTIF($I$27:$I$36,"Pacto da Ruína")&gt;0),'Criação'!$C$14,"")</f>
        <v/>
      </c>
      <c r="E22" s="27" t="str">
        <f>IF((COUNTIF($I$27:$I$36,"Pacto da Ruína")&gt;0),2*'Criação'!$C$14,"")</f>
        <v/>
      </c>
      <c r="F22" s="27" t="str">
        <f>IF((COUNTIF($I$27:$I$36,"Pacto da Ruína")&gt;0),INT('Criação'!$D$95/2),"")</f>
        <v/>
      </c>
      <c r="G22" s="7" t="str">
        <f>IF((COUNTIF($I$27:$I$36,"Pacto da Ruína")&gt;0),"Uma vez por turno: pague o custo e some o bônus ao dano; dobra com metade dos PV ou menos","Só com a Bênção Pacto da Ruína")</f>
        <v>Só com a Bênção Pacto da Ruína</v>
      </c>
      <c r="H22" s="3"/>
    </row>
    <row r="23" ht="15.75" customHeight="1"/>
    <row r="24" ht="15.75" customHeight="1">
      <c r="A24" s="5" t="s">
        <v>415</v>
      </c>
      <c r="B24" s="2"/>
      <c r="C24" s="2"/>
      <c r="D24" s="2"/>
      <c r="E24" s="2"/>
      <c r="F24" s="2"/>
      <c r="G24" s="2"/>
      <c r="H24" s="2"/>
      <c r="I24" s="2"/>
      <c r="J24" s="2"/>
      <c r="K24" s="2"/>
      <c r="L24" s="3"/>
    </row>
    <row r="25" ht="25.5" customHeight="1">
      <c r="A25" s="15" t="s">
        <v>416</v>
      </c>
      <c r="B25" s="27">
        <f>SUMPRODUCT((LEN($I$27:$I$36)&gt;0)*1)</f>
        <v>0</v>
      </c>
      <c r="C25" s="37" t="str">
        <f>"de "&amp;'Criação'!$L$14&amp;" permitidas no nível "&amp;'Criação'!$A$14</f>
        <v>de 1 permitidas no nível 1</v>
      </c>
      <c r="D25" s="2"/>
      <c r="E25" s="3"/>
    </row>
    <row r="26" ht="60.0" customHeight="1">
      <c r="A26" s="14" t="s">
        <v>418</v>
      </c>
      <c r="B26" s="14" t="s">
        <v>419</v>
      </c>
      <c r="C26" s="14" t="s">
        <v>420</v>
      </c>
      <c r="D26" s="14" t="s">
        <v>421</v>
      </c>
      <c r="E26" s="14" t="s">
        <v>422</v>
      </c>
      <c r="F26" s="14" t="s">
        <v>423</v>
      </c>
      <c r="G26" s="14" t="s">
        <v>424</v>
      </c>
      <c r="H26" s="14" t="s">
        <v>425</v>
      </c>
      <c r="I26" s="14" t="s">
        <v>426</v>
      </c>
      <c r="K26" s="14" t="s">
        <v>67</v>
      </c>
      <c r="L26" s="24"/>
      <c r="N26" s="25" t="s">
        <v>427</v>
      </c>
    </row>
    <row r="27" ht="48.0" customHeight="1">
      <c r="A27" s="26" t="s">
        <v>428</v>
      </c>
      <c r="B27" s="41">
        <v>1.0</v>
      </c>
      <c r="C27" s="34"/>
      <c r="D27" s="41" t="str">
        <f t="array" ref="D27">IF($C$27="","",IFERROR(INDEX(Dados!$D$119:$D$226,MATCH($C$27,Dados!$C$119:$C$226,0)),"—"))</f>
        <v/>
      </c>
      <c r="E27" s="41" t="str">
        <f t="array" ref="E27">IF($C$27="","",IFERROR(INDEX(Dados!$E$119:$E$226,MATCH($C$27,Dados!$C$119:$C$226,0)),""))</f>
        <v/>
      </c>
      <c r="F27" s="41" t="str">
        <f>IF('Criação'!$A$14&gt;=1,"Sim","Não (nível 1)")</f>
        <v>Sim</v>
      </c>
      <c r="G27" s="9" t="str">
        <f t="array" ref="G27">IF($C$27="","",IFERROR(INDEX(Dados!$F$119:$F$226,MATCH($C$27,Dados!$C$119:$C$226,0)),"Fora do catálogo dos capítulos 07 a 15"))</f>
        <v/>
      </c>
      <c r="H27" s="9" t="str">
        <f t="array" ref="H27">IF($C$27="","",IFERROR(INDEX(Dados!$G$119:$G$226,MATCH($C$27,Dados!$C$119:$C$226,0)),""))</f>
        <v/>
      </c>
      <c r="I27" s="9" t="str">
        <f>IF(AND($C$27&lt;&gt;"",'Criação'!$A$14&gt;=1),$C$27,"")</f>
        <v/>
      </c>
      <c r="K27" s="30" t="str">
        <f t="array" ref="K27">IF($C$27="","",IF('Criação'!$A$14&lt;1,"Slot ainda não liberado (nível 1). ","")&amp;IF(ISERROR(MATCH($C$27,Dados!$C$119:$C$226,0)),"Bênção fora do catálogo dos capítulos 07 a 15. ",IF(INDEX(Dados!$A$119:$A$226,MATCH($C$27,Dados!$C$119:$C$226,0))&lt;&gt;'Criação'!$B$33,"Bênção de outro Caminho ("&amp;INDEX(Dados!$A$119:$A$226,MATCH($C$27,Dados!$C$119:$C$226,0))&amp;"). ",IF(INDEX(Dados!$E$119:$E$226,MATCH($C$27,Dados!$C$119:$C$226,0))&gt;1,"Tier "&amp;INDEX(Dados!$D$119:$D$226,MATCH($C$27,Dados!$C$119:$C$226,0))&amp;" exige slot de nível "&amp;INDEX(Dados!$E$119:$E$226,MATCH($C$27,Dados!$C$119:$C$226,0))&amp;" ou mais. ","")))&amp;IF(COUNTIF($C$27:$C$36,$C$27)&gt;1,"Bênção repetida.",""))</f>
        <v/>
      </c>
      <c r="N27" s="35" t="str">
        <f t="array" ref="N27">IF('Criação'!$B$33="","",IFERROR(INDEX(Dados!$C$119:$C$226,MATCH('Criação'!$B$33,Dados!$A$119:$A$226,0)+0),""))</f>
        <v/>
      </c>
    </row>
    <row r="28" ht="48.0" customHeight="1">
      <c r="A28" s="40" t="s">
        <v>438</v>
      </c>
      <c r="B28" s="47">
        <v>3.0</v>
      </c>
      <c r="C28" s="50"/>
      <c r="D28" s="47" t="str">
        <f t="array" ref="D28">IF($C$28="","",IFERROR(INDEX(Dados!$D$119:$D$226,MATCH($C$28,Dados!$C$119:$C$226,0)),"—"))</f>
        <v/>
      </c>
      <c r="E28" s="47" t="str">
        <f t="array" ref="E28">IF($C$28="","",IFERROR(INDEX(Dados!$E$119:$E$226,MATCH($C$28,Dados!$C$119:$C$226,0)),""))</f>
        <v/>
      </c>
      <c r="F28" s="47" t="str">
        <f>IF('Criação'!$A$14&gt;=3,"Sim","Não (nível 3)")</f>
        <v>Não (nível 3)</v>
      </c>
      <c r="G28" s="16" t="str">
        <f t="array" ref="G28">IF($C$28="","",IFERROR(INDEX(Dados!$F$119:$F$226,MATCH($C$28,Dados!$C$119:$C$226,0)),"Fora do catálogo dos capítulos 07 a 15"))</f>
        <v/>
      </c>
      <c r="H28" s="16" t="str">
        <f t="array" ref="H28">IF($C$28="","",IFERROR(INDEX(Dados!$G$119:$G$226,MATCH($C$28,Dados!$C$119:$C$226,0)),""))</f>
        <v/>
      </c>
      <c r="I28" s="16" t="str">
        <f>IF(AND($C$28&lt;&gt;"",'Criação'!$A$14&gt;=3),$C$28,"")</f>
        <v/>
      </c>
      <c r="J28" s="49"/>
      <c r="K28" s="43" t="str">
        <f t="array" ref="K28">IF($C$28="","",IF('Criação'!$A$14&lt;3,"Slot ainda não liberado (nível 3). ","")&amp;IF(ISERROR(MATCH($C$28,Dados!$C$119:$C$226,0)),"Bênção fora do catálogo dos capítulos 07 a 15. ",IF(INDEX(Dados!$A$119:$A$226,MATCH($C$28,Dados!$C$119:$C$226,0))&lt;&gt;'Criação'!$B$33,"Bênção de outro Caminho ("&amp;INDEX(Dados!$A$119:$A$226,MATCH($C$28,Dados!$C$119:$C$226,0))&amp;"). ",IF(INDEX(Dados!$E$119:$E$226,MATCH($C$28,Dados!$C$119:$C$226,0))&gt;3,"Tier "&amp;INDEX(Dados!$D$119:$D$226,MATCH($C$28,Dados!$C$119:$C$226,0))&amp;" exige slot de nível "&amp;INDEX(Dados!$E$119:$E$226,MATCH($C$28,Dados!$C$119:$C$226,0))&amp;" ou mais. ","")))&amp;IF(COUNTIF($C$27:$C$36,$C$28)&gt;1,"Bênção repetida.",""))</f>
        <v/>
      </c>
      <c r="L28" s="3"/>
      <c r="N28" s="35" t="str">
        <f t="array" ref="N28">IF('Criação'!$B$33="","",IFERROR(INDEX(Dados!$C$119:$C$226,MATCH('Criação'!$B$33,Dados!$A$119:$A$226,0)+1),""))</f>
        <v/>
      </c>
    </row>
    <row r="29" ht="48.0" customHeight="1">
      <c r="A29" s="26" t="s">
        <v>439</v>
      </c>
      <c r="B29" s="41">
        <v>5.0</v>
      </c>
      <c r="C29" s="34"/>
      <c r="D29" s="41" t="str">
        <f t="array" ref="D29">IF($C$29="","",IFERROR(INDEX(Dados!$D$119:$D$226,MATCH($C$29,Dados!$C$119:$C$226,0)),"—"))</f>
        <v/>
      </c>
      <c r="E29" s="41" t="str">
        <f t="array" ref="E29">IF($C$29="","",IFERROR(INDEX(Dados!$E$119:$E$226,MATCH($C$29,Dados!$C$119:$C$226,0)),""))</f>
        <v/>
      </c>
      <c r="F29" s="41" t="str">
        <f>IF('Criação'!$A$14&gt;=5,"Sim","Não (nível 5)")</f>
        <v>Não (nível 5)</v>
      </c>
      <c r="G29" s="9" t="str">
        <f t="array" ref="G29">IF($C$29="","",IFERROR(INDEX(Dados!$F$119:$F$226,MATCH($C$29,Dados!$C$119:$C$226,0)),"Fora do catálogo dos capítulos 07 a 15"))</f>
        <v/>
      </c>
      <c r="H29" s="9" t="str">
        <f t="array" ref="H29">IF($C$29="","",IFERROR(INDEX(Dados!$G$119:$G$226,MATCH($C$29,Dados!$C$119:$C$226,0)),""))</f>
        <v/>
      </c>
      <c r="I29" s="9" t="str">
        <f>IF(AND($C$29&lt;&gt;"",'Criação'!$A$14&gt;=5),$C$29,"")</f>
        <v/>
      </c>
      <c r="K29" s="30" t="str">
        <f t="array" ref="K29">IF($C$29="","",IF('Criação'!$A$14&lt;5,"Slot ainda não liberado (nível 5). ","")&amp;IF(ISERROR(MATCH($C$29,Dados!$C$119:$C$226,0)),"Bênção fora do catálogo dos capítulos 07 a 15. ",IF(INDEX(Dados!$A$119:$A$226,MATCH($C$29,Dados!$C$119:$C$226,0))&lt;&gt;'Criação'!$B$33,"Bênção de outro Caminho ("&amp;INDEX(Dados!$A$119:$A$226,MATCH($C$29,Dados!$C$119:$C$226,0))&amp;"). ",IF(INDEX(Dados!$E$119:$E$226,MATCH($C$29,Dados!$C$119:$C$226,0))&gt;5,"Tier "&amp;INDEX(Dados!$D$119:$D$226,MATCH($C$29,Dados!$C$119:$C$226,0))&amp;" exige slot de nível "&amp;INDEX(Dados!$E$119:$E$226,MATCH($C$29,Dados!$C$119:$C$226,0))&amp;" ou mais. ","")))&amp;IF(COUNTIF($C$27:$C$36,$C$29)&gt;1,"Bênção repetida.",""))</f>
        <v/>
      </c>
      <c r="N29" s="35" t="str">
        <f t="array" ref="N29">IF('Criação'!$B$33="","",IFERROR(INDEX(Dados!$C$119:$C$226,MATCH('Criação'!$B$33,Dados!$A$119:$A$226,0)+2),""))</f>
        <v/>
      </c>
    </row>
    <row r="30" ht="48.0" customHeight="1">
      <c r="A30" s="40" t="s">
        <v>443</v>
      </c>
      <c r="B30" s="47">
        <v>7.0</v>
      </c>
      <c r="C30" s="50"/>
      <c r="D30" s="47" t="str">
        <f t="array" ref="D30">IF($C$30="","",IFERROR(INDEX(Dados!$D$119:$D$226,MATCH($C$30,Dados!$C$119:$C$226,0)),"—"))</f>
        <v/>
      </c>
      <c r="E30" s="47" t="str">
        <f t="array" ref="E30">IF($C$30="","",IFERROR(INDEX(Dados!$E$119:$E$226,MATCH($C$30,Dados!$C$119:$C$226,0)),""))</f>
        <v/>
      </c>
      <c r="F30" s="47" t="str">
        <f>IF('Criação'!$A$14&gt;=7,"Sim","Não (nível 7)")</f>
        <v>Não (nível 7)</v>
      </c>
      <c r="G30" s="16" t="str">
        <f t="array" ref="G30">IF($C$30="","",IFERROR(INDEX(Dados!$F$119:$F$226,MATCH($C$30,Dados!$C$119:$C$226,0)),"Fora do catálogo dos capítulos 07 a 15"))</f>
        <v/>
      </c>
      <c r="H30" s="16" t="str">
        <f t="array" ref="H30">IF($C$30="","",IFERROR(INDEX(Dados!$G$119:$G$226,MATCH($C$30,Dados!$C$119:$C$226,0)),""))</f>
        <v/>
      </c>
      <c r="I30" s="16" t="str">
        <f>IF(AND($C$30&lt;&gt;"",'Criação'!$A$14&gt;=7),$C$30,"")</f>
        <v/>
      </c>
      <c r="J30" s="49"/>
      <c r="K30" s="43" t="str">
        <f t="array" ref="K30">IF($C$30="","",IF('Criação'!$A$14&lt;7,"Slot ainda não liberado (nível 7). ","")&amp;IF(ISERROR(MATCH($C$30,Dados!$C$119:$C$226,0)),"Bênção fora do catálogo dos capítulos 07 a 15. ",IF(INDEX(Dados!$A$119:$A$226,MATCH($C$30,Dados!$C$119:$C$226,0))&lt;&gt;'Criação'!$B$33,"Bênção de outro Caminho ("&amp;INDEX(Dados!$A$119:$A$226,MATCH($C$30,Dados!$C$119:$C$226,0))&amp;"). ",IF(INDEX(Dados!$E$119:$E$226,MATCH($C$30,Dados!$C$119:$C$226,0))&gt;7,"Tier "&amp;INDEX(Dados!$D$119:$D$226,MATCH($C$30,Dados!$C$119:$C$226,0))&amp;" exige slot de nível "&amp;INDEX(Dados!$E$119:$E$226,MATCH($C$30,Dados!$C$119:$C$226,0))&amp;" ou mais. ","")))&amp;IF(COUNTIF($C$27:$C$36,$C$30)&gt;1,"Bênção repetida.",""))</f>
        <v/>
      </c>
      <c r="L30" s="3"/>
      <c r="N30" s="35" t="str">
        <f t="array" ref="N30">IF('Criação'!$B$33="","",IFERROR(INDEX(Dados!$C$119:$C$226,MATCH('Criação'!$B$33,Dados!$A$119:$A$226,0)+3),""))</f>
        <v/>
      </c>
    </row>
    <row r="31" ht="48.0" customHeight="1">
      <c r="A31" s="26" t="s">
        <v>447</v>
      </c>
      <c r="B31" s="41">
        <v>9.0</v>
      </c>
      <c r="C31" s="34"/>
      <c r="D31" s="41" t="str">
        <f t="array" ref="D31">IF($C$31="","",IFERROR(INDEX(Dados!$D$119:$D$226,MATCH($C$31,Dados!$C$119:$C$226,0)),"—"))</f>
        <v/>
      </c>
      <c r="E31" s="41" t="str">
        <f t="array" ref="E31">IF($C$31="","",IFERROR(INDEX(Dados!$E$119:$E$226,MATCH($C$31,Dados!$C$119:$C$226,0)),""))</f>
        <v/>
      </c>
      <c r="F31" s="41" t="str">
        <f>IF('Criação'!$A$14&gt;=9,"Sim","Não (nível 9)")</f>
        <v>Não (nível 9)</v>
      </c>
      <c r="G31" s="9" t="str">
        <f t="array" ref="G31">IF($C$31="","",IFERROR(INDEX(Dados!$F$119:$F$226,MATCH($C$31,Dados!$C$119:$C$226,0)),"Fora do catálogo dos capítulos 07 a 15"))</f>
        <v/>
      </c>
      <c r="H31" s="9" t="str">
        <f t="array" ref="H31">IF($C$31="","",IFERROR(INDEX(Dados!$G$119:$G$226,MATCH($C$31,Dados!$C$119:$C$226,0)),""))</f>
        <v/>
      </c>
      <c r="I31" s="9" t="str">
        <f>IF(AND($C$31&lt;&gt;"",'Criação'!$A$14&gt;=9),$C$31,"")</f>
        <v/>
      </c>
      <c r="K31" s="30" t="str">
        <f t="array" ref="K31">IF($C$31="","",IF('Criação'!$A$14&lt;9,"Slot ainda não liberado (nível 9). ","")&amp;IF(ISERROR(MATCH($C$31,Dados!$C$119:$C$226,0)),"Bênção fora do catálogo dos capítulos 07 a 15. ",IF(INDEX(Dados!$A$119:$A$226,MATCH($C$31,Dados!$C$119:$C$226,0))&lt;&gt;'Criação'!$B$33,"Bênção de outro Caminho ("&amp;INDEX(Dados!$A$119:$A$226,MATCH($C$31,Dados!$C$119:$C$226,0))&amp;"). ",IF(INDEX(Dados!$E$119:$E$226,MATCH($C$31,Dados!$C$119:$C$226,0))&gt;9,"Tier "&amp;INDEX(Dados!$D$119:$D$226,MATCH($C$31,Dados!$C$119:$C$226,0))&amp;" exige slot de nível "&amp;INDEX(Dados!$E$119:$E$226,MATCH($C$31,Dados!$C$119:$C$226,0))&amp;" ou mais. ","")))&amp;IF(COUNTIF($C$27:$C$36,$C$31)&gt;1,"Bênção repetida.",""))</f>
        <v/>
      </c>
      <c r="N31" s="35" t="str">
        <f t="array" ref="N31">IF('Criação'!$B$33="","",IFERROR(INDEX(Dados!$C$119:$C$226,MATCH('Criação'!$B$33,Dados!$A$119:$A$226,0)+4),""))</f>
        <v/>
      </c>
    </row>
    <row r="32" ht="48.0" customHeight="1">
      <c r="A32" s="40" t="s">
        <v>454</v>
      </c>
      <c r="B32" s="47">
        <v>11.0</v>
      </c>
      <c r="C32" s="50"/>
      <c r="D32" s="47" t="str">
        <f t="array" ref="D32">IF($C$32="","",IFERROR(INDEX(Dados!$D$119:$D$226,MATCH($C$32,Dados!$C$119:$C$226,0)),"—"))</f>
        <v/>
      </c>
      <c r="E32" s="47" t="str">
        <f t="array" ref="E32">IF($C$32="","",IFERROR(INDEX(Dados!$E$119:$E$226,MATCH($C$32,Dados!$C$119:$C$226,0)),""))</f>
        <v/>
      </c>
      <c r="F32" s="47" t="str">
        <f>IF('Criação'!$A$14&gt;=11,"Sim","Não (nível 11)")</f>
        <v>Não (nível 11)</v>
      </c>
      <c r="G32" s="16" t="str">
        <f t="array" ref="G32">IF($C$32="","",IFERROR(INDEX(Dados!$F$119:$F$226,MATCH($C$32,Dados!$C$119:$C$226,0)),"Fora do catálogo dos capítulos 07 a 15"))</f>
        <v/>
      </c>
      <c r="H32" s="16" t="str">
        <f t="array" ref="H32">IF($C$32="","",IFERROR(INDEX(Dados!$G$119:$G$226,MATCH($C$32,Dados!$C$119:$C$226,0)),""))</f>
        <v/>
      </c>
      <c r="I32" s="16" t="str">
        <f>IF(AND($C$32&lt;&gt;"",'Criação'!$A$14&gt;=11),$C$32,"")</f>
        <v/>
      </c>
      <c r="J32" s="49"/>
      <c r="K32" s="43" t="str">
        <f t="array" ref="K32">IF($C$32="","",IF('Criação'!$A$14&lt;11,"Slot ainda não liberado (nível 11). ","")&amp;IF(ISERROR(MATCH($C$32,Dados!$C$119:$C$226,0)),"Bênção fora do catálogo dos capítulos 07 a 15. ",IF(INDEX(Dados!$A$119:$A$226,MATCH($C$32,Dados!$C$119:$C$226,0))&lt;&gt;'Criação'!$B$33,"Bênção de outro Caminho ("&amp;INDEX(Dados!$A$119:$A$226,MATCH($C$32,Dados!$C$119:$C$226,0))&amp;"). ",IF(INDEX(Dados!$E$119:$E$226,MATCH($C$32,Dados!$C$119:$C$226,0))&gt;11,"Tier "&amp;INDEX(Dados!$D$119:$D$226,MATCH($C$32,Dados!$C$119:$C$226,0))&amp;" exige slot de nível "&amp;INDEX(Dados!$E$119:$E$226,MATCH($C$32,Dados!$C$119:$C$226,0))&amp;" ou mais. ","")))&amp;IF(COUNTIF($C$27:$C$36,$C$32)&gt;1,"Bênção repetida.",""))</f>
        <v/>
      </c>
      <c r="L32" s="3"/>
      <c r="N32" s="35" t="str">
        <f t="array" ref="N32">IF('Criação'!$B$33="","",IFERROR(INDEX(Dados!$C$119:$C$226,MATCH('Criação'!$B$33,Dados!$A$119:$A$226,0)+5),""))</f>
        <v/>
      </c>
    </row>
    <row r="33" ht="48.0" customHeight="1">
      <c r="A33" s="26" t="s">
        <v>460</v>
      </c>
      <c r="B33" s="41">
        <v>13.0</v>
      </c>
      <c r="C33" s="34"/>
      <c r="D33" s="41" t="str">
        <f t="array" ref="D33">IF($C$33="","",IFERROR(INDEX(Dados!$D$119:$D$226,MATCH($C$33,Dados!$C$119:$C$226,0)),"—"))</f>
        <v/>
      </c>
      <c r="E33" s="41" t="str">
        <f t="array" ref="E33">IF($C$33="","",IFERROR(INDEX(Dados!$E$119:$E$226,MATCH($C$33,Dados!$C$119:$C$226,0)),""))</f>
        <v/>
      </c>
      <c r="F33" s="41" t="str">
        <f>IF('Criação'!$A$14&gt;=13,"Sim","Não (nível 13)")</f>
        <v>Não (nível 13)</v>
      </c>
      <c r="G33" s="9" t="str">
        <f t="array" ref="G33">IF($C$33="","",IFERROR(INDEX(Dados!$F$119:$F$226,MATCH($C$33,Dados!$C$119:$C$226,0)),"Fora do catálogo dos capítulos 07 a 15"))</f>
        <v/>
      </c>
      <c r="H33" s="9" t="str">
        <f t="array" ref="H33">IF($C$33="","",IFERROR(INDEX(Dados!$G$119:$G$226,MATCH($C$33,Dados!$C$119:$C$226,0)),""))</f>
        <v/>
      </c>
      <c r="I33" s="9" t="str">
        <f>IF(AND($C$33&lt;&gt;"",'Criação'!$A$14&gt;=13),$C$33,"")</f>
        <v/>
      </c>
      <c r="K33" s="30" t="str">
        <f t="array" ref="K33">IF($C$33="","",IF('Criação'!$A$14&lt;13,"Slot ainda não liberado (nível 13). ","")&amp;IF(ISERROR(MATCH($C$33,Dados!$C$119:$C$226,0)),"Bênção fora do catálogo dos capítulos 07 a 15. ",IF(INDEX(Dados!$A$119:$A$226,MATCH($C$33,Dados!$C$119:$C$226,0))&lt;&gt;'Criação'!$B$33,"Bênção de outro Caminho ("&amp;INDEX(Dados!$A$119:$A$226,MATCH($C$33,Dados!$C$119:$C$226,0))&amp;"). ",IF(INDEX(Dados!$E$119:$E$226,MATCH($C$33,Dados!$C$119:$C$226,0))&gt;13,"Tier "&amp;INDEX(Dados!$D$119:$D$226,MATCH($C$33,Dados!$C$119:$C$226,0))&amp;" exige slot de nível "&amp;INDEX(Dados!$E$119:$E$226,MATCH($C$33,Dados!$C$119:$C$226,0))&amp;" ou mais. ","")))&amp;IF(COUNTIF($C$27:$C$36,$C$33)&gt;1,"Bênção repetida.",""))</f>
        <v/>
      </c>
      <c r="N33" s="35" t="str">
        <f t="array" ref="N33">IF('Criação'!$B$33="","",IFERROR(INDEX(Dados!$C$119:$C$226,MATCH('Criação'!$B$33,Dados!$A$119:$A$226,0)+6),""))</f>
        <v/>
      </c>
    </row>
    <row r="34" ht="48.0" customHeight="1">
      <c r="A34" s="40" t="s">
        <v>465</v>
      </c>
      <c r="B34" s="47">
        <v>15.0</v>
      </c>
      <c r="C34" s="50"/>
      <c r="D34" s="47" t="str">
        <f t="array" ref="D34">IF($C$34="","",IFERROR(INDEX(Dados!$D$119:$D$226,MATCH($C$34,Dados!$C$119:$C$226,0)),"—"))</f>
        <v/>
      </c>
      <c r="E34" s="47" t="str">
        <f t="array" ref="E34">IF($C$34="","",IFERROR(INDEX(Dados!$E$119:$E$226,MATCH($C$34,Dados!$C$119:$C$226,0)),""))</f>
        <v/>
      </c>
      <c r="F34" s="47" t="str">
        <f>IF('Criação'!$A$14&gt;=15,"Sim","Não (nível 15)")</f>
        <v>Não (nível 15)</v>
      </c>
      <c r="G34" s="16" t="str">
        <f t="array" ref="G34">IF($C$34="","",IFERROR(INDEX(Dados!$F$119:$F$226,MATCH($C$34,Dados!$C$119:$C$226,0)),"Fora do catálogo dos capítulos 07 a 15"))</f>
        <v/>
      </c>
      <c r="H34" s="16" t="str">
        <f t="array" ref="H34">IF($C$34="","",IFERROR(INDEX(Dados!$G$119:$G$226,MATCH($C$34,Dados!$C$119:$C$226,0)),""))</f>
        <v/>
      </c>
      <c r="I34" s="16" t="str">
        <f>IF(AND($C$34&lt;&gt;"",'Criação'!$A$14&gt;=15),$C$34,"")</f>
        <v/>
      </c>
      <c r="J34" s="49"/>
      <c r="K34" s="43" t="str">
        <f t="array" ref="K34">IF($C$34="","",IF('Criação'!$A$14&lt;15,"Slot ainda não liberado (nível 15). ","")&amp;IF(ISERROR(MATCH($C$34,Dados!$C$119:$C$226,0)),"Bênção fora do catálogo dos capítulos 07 a 15. ",IF(INDEX(Dados!$A$119:$A$226,MATCH($C$34,Dados!$C$119:$C$226,0))&lt;&gt;'Criação'!$B$33,"Bênção de outro Caminho ("&amp;INDEX(Dados!$A$119:$A$226,MATCH($C$34,Dados!$C$119:$C$226,0))&amp;"). ",IF(INDEX(Dados!$E$119:$E$226,MATCH($C$34,Dados!$C$119:$C$226,0))&gt;15,"Tier "&amp;INDEX(Dados!$D$119:$D$226,MATCH($C$34,Dados!$C$119:$C$226,0))&amp;" exige slot de nível "&amp;INDEX(Dados!$E$119:$E$226,MATCH($C$34,Dados!$C$119:$C$226,0))&amp;" ou mais. ","")))&amp;IF(COUNTIF($C$27:$C$36,$C$34)&gt;1,"Bênção repetida.",""))</f>
        <v/>
      </c>
      <c r="L34" s="3"/>
      <c r="N34" s="35" t="str">
        <f t="array" ref="N34">IF('Criação'!$B$33="","",IFERROR(INDEX(Dados!$C$119:$C$226,MATCH('Criação'!$B$33,Dados!$A$119:$A$226,0)+7),""))</f>
        <v/>
      </c>
    </row>
    <row r="35" ht="48.0" customHeight="1">
      <c r="A35" s="26" t="s">
        <v>468</v>
      </c>
      <c r="B35" s="41">
        <v>17.0</v>
      </c>
      <c r="C35" s="34"/>
      <c r="D35" s="41" t="str">
        <f t="array" ref="D35">IF($C$35="","",IFERROR(INDEX(Dados!$D$119:$D$226,MATCH($C$35,Dados!$C$119:$C$226,0)),"—"))</f>
        <v/>
      </c>
      <c r="E35" s="41" t="str">
        <f t="array" ref="E35">IF($C$35="","",IFERROR(INDEX(Dados!$E$119:$E$226,MATCH($C$35,Dados!$C$119:$C$226,0)),""))</f>
        <v/>
      </c>
      <c r="F35" s="41" t="str">
        <f>IF('Criação'!$A$14&gt;=17,"Sim","Não (nível 17)")</f>
        <v>Não (nível 17)</v>
      </c>
      <c r="G35" s="9" t="str">
        <f t="array" ref="G35">IF($C$35="","",IFERROR(INDEX(Dados!$F$119:$F$226,MATCH($C$35,Dados!$C$119:$C$226,0)),"Fora do catálogo dos capítulos 07 a 15"))</f>
        <v/>
      </c>
      <c r="H35" s="9" t="str">
        <f t="array" ref="H35">IF($C$35="","",IFERROR(INDEX(Dados!$G$119:$G$226,MATCH($C$35,Dados!$C$119:$C$226,0)),""))</f>
        <v/>
      </c>
      <c r="I35" s="9" t="str">
        <f>IF(AND($C$35&lt;&gt;"",'Criação'!$A$14&gt;=17),$C$35,"")</f>
        <v/>
      </c>
      <c r="K35" s="30" t="str">
        <f t="array" ref="K35">IF($C$35="","",IF('Criação'!$A$14&lt;17,"Slot ainda não liberado (nível 17). ","")&amp;IF(ISERROR(MATCH($C$35,Dados!$C$119:$C$226,0)),"Bênção fora do catálogo dos capítulos 07 a 15. ",IF(INDEX(Dados!$A$119:$A$226,MATCH($C$35,Dados!$C$119:$C$226,0))&lt;&gt;'Criação'!$B$33,"Bênção de outro Caminho ("&amp;INDEX(Dados!$A$119:$A$226,MATCH($C$35,Dados!$C$119:$C$226,0))&amp;"). ",IF(INDEX(Dados!$E$119:$E$226,MATCH($C$35,Dados!$C$119:$C$226,0))&gt;17,"Tier "&amp;INDEX(Dados!$D$119:$D$226,MATCH($C$35,Dados!$C$119:$C$226,0))&amp;" exige slot de nível "&amp;INDEX(Dados!$E$119:$E$226,MATCH($C$35,Dados!$C$119:$C$226,0))&amp;" ou mais. ","")))&amp;IF(COUNTIF($C$27:$C$36,$C$35)&gt;1,"Bênção repetida.",""))</f>
        <v/>
      </c>
      <c r="N35" s="35" t="str">
        <f t="array" ref="N35">IF('Criação'!$B$33="","",IFERROR(INDEX(Dados!$C$119:$C$226,MATCH('Criação'!$B$33,Dados!$A$119:$A$226,0)+8),""))</f>
        <v/>
      </c>
    </row>
    <row r="36" ht="48.0" customHeight="1">
      <c r="A36" s="40" t="s">
        <v>472</v>
      </c>
      <c r="B36" s="47">
        <v>19.0</v>
      </c>
      <c r="C36" s="50"/>
      <c r="D36" s="47" t="str">
        <f t="array" ref="D36">IF($C$36="","",IFERROR(INDEX(Dados!$D$119:$D$226,MATCH($C$36,Dados!$C$119:$C$226,0)),"—"))</f>
        <v/>
      </c>
      <c r="E36" s="47" t="str">
        <f t="array" ref="E36">IF($C$36="","",IFERROR(INDEX(Dados!$E$119:$E$226,MATCH($C$36,Dados!$C$119:$C$226,0)),""))</f>
        <v/>
      </c>
      <c r="F36" s="47" t="str">
        <f>IF('Criação'!$A$14&gt;=19,"Sim","Não (nível 19)")</f>
        <v>Não (nível 19)</v>
      </c>
      <c r="G36" s="16" t="str">
        <f t="array" ref="G36">IF($C$36="","",IFERROR(INDEX(Dados!$F$119:$F$226,MATCH($C$36,Dados!$C$119:$C$226,0)),"Fora do catálogo dos capítulos 07 a 15"))</f>
        <v/>
      </c>
      <c r="H36" s="16" t="str">
        <f t="array" ref="H36">IF($C$36="","",IFERROR(INDEX(Dados!$G$119:$G$226,MATCH($C$36,Dados!$C$119:$C$226,0)),""))</f>
        <v/>
      </c>
      <c r="I36" s="16" t="str">
        <f>IF(AND($C$36&lt;&gt;"",'Criação'!$A$14&gt;=19),$C$36,"")</f>
        <v/>
      </c>
      <c r="J36" s="49"/>
      <c r="K36" s="43" t="str">
        <f t="array" ref="K36">IF($C$36="","",IF('Criação'!$A$14&lt;19,"Slot ainda não liberado (nível 19). ","")&amp;IF(ISERROR(MATCH($C$36,Dados!$C$119:$C$226,0)),"Bênção fora do catálogo dos capítulos 07 a 15. ",IF(INDEX(Dados!$A$119:$A$226,MATCH($C$36,Dados!$C$119:$C$226,0))&lt;&gt;'Criação'!$B$33,"Bênção de outro Caminho ("&amp;INDEX(Dados!$A$119:$A$226,MATCH($C$36,Dados!$C$119:$C$226,0))&amp;"). ",IF(INDEX(Dados!$E$119:$E$226,MATCH($C$36,Dados!$C$119:$C$226,0))&gt;19,"Tier "&amp;INDEX(Dados!$D$119:$D$226,MATCH($C$36,Dados!$C$119:$C$226,0))&amp;" exige slot de nível "&amp;INDEX(Dados!$E$119:$E$226,MATCH($C$36,Dados!$C$119:$C$226,0))&amp;" ou mais. ","")))&amp;IF(COUNTIF($C$27:$C$36,$C$36)&gt;1,"Bênção repetida.",""))</f>
        <v/>
      </c>
      <c r="L36" s="3"/>
      <c r="N36" s="35" t="str">
        <f t="array" ref="N36">IF('Criação'!$B$33="","",IFERROR(INDEX(Dados!$C$119:$C$226,MATCH('Criação'!$B$33,Dados!$A$119:$A$226,0)+9),""))</f>
        <v/>
      </c>
    </row>
    <row r="37" ht="15.75" customHeight="1">
      <c r="N37" s="35" t="str">
        <f t="array" ref="N37">IF('Criação'!$B$33="","",IFERROR(INDEX(Dados!$C$119:$C$226,MATCH('Criação'!$B$33,Dados!$A$119:$A$226,0)+10),""))</f>
        <v/>
      </c>
    </row>
    <row r="38" ht="15.75" customHeight="1">
      <c r="A38" s="5" t="s">
        <v>481</v>
      </c>
      <c r="B38" s="2"/>
      <c r="C38" s="2"/>
      <c r="D38" s="2"/>
      <c r="E38" s="2"/>
      <c r="F38" s="2"/>
      <c r="G38" s="2"/>
      <c r="H38" s="2"/>
      <c r="I38" s="2"/>
      <c r="J38" s="2"/>
      <c r="K38" s="2"/>
      <c r="L38" s="3"/>
      <c r="N38" s="35" t="str">
        <f t="array" ref="N38">IF('Criação'!$B$33="","",IFERROR(INDEX(Dados!$C$119:$C$226,MATCH('Criação'!$B$33,Dados!$A$119:$A$226,0)+11),""))</f>
        <v/>
      </c>
    </row>
    <row r="39" ht="30.0" customHeight="1">
      <c r="A39" s="14" t="s">
        <v>210</v>
      </c>
      <c r="C39" s="14" t="s">
        <v>408</v>
      </c>
      <c r="D39" s="14" t="s">
        <v>421</v>
      </c>
      <c r="E39" s="14" t="s">
        <v>422</v>
      </c>
      <c r="F39" s="14" t="s">
        <v>482</v>
      </c>
      <c r="G39" s="14" t="s">
        <v>424</v>
      </c>
      <c r="H39" s="14" t="s">
        <v>425</v>
      </c>
    </row>
    <row r="40" ht="48.0" customHeight="1">
      <c r="A40" s="26">
        <v>1.0</v>
      </c>
      <c r="C40" s="41" t="str">
        <f>$N$27</f>
        <v/>
      </c>
      <c r="D40" s="41" t="str">
        <f t="array" ref="D40">IF($N$27="","",IFERROR(INDEX(Dados!$D$119:$D$226,MATCH($N$27,Dados!$C$119:$C$226,0)),""))</f>
        <v/>
      </c>
      <c r="E40" s="41" t="str">
        <f t="array" ref="E40">IF($N$27="","",IFERROR(INDEX(Dados!$E$119:$E$226,MATCH($N$27,Dados!$C$119:$C$226,0)),""))</f>
        <v/>
      </c>
      <c r="F40" s="9" t="str">
        <f>IF($N$27="","",IF(COUNTIF($C$27:$C$36,$N$27)&gt;0,"Já escolhida",IF('Criação'!$A$14&gt;=$E$40,"Sim","A partir do nível "&amp;$E$40)))</f>
        <v/>
      </c>
      <c r="G40" s="9" t="str">
        <f t="array" ref="G40">IF($N$27="","",IFERROR(INDEX(Dados!$F$119:$F$226,MATCH($N$27,Dados!$C$119:$C$226,0)),""))</f>
        <v/>
      </c>
      <c r="H40" s="9" t="str">
        <f t="array" ref="H40">IF($N$27="","",IFERROR(INDEX(Dados!$G$119:$G$226,MATCH($N$27,Dados!$C$119:$C$226,0)),""))</f>
        <v/>
      </c>
    </row>
    <row r="41" ht="48.0" customHeight="1">
      <c r="A41" s="40">
        <v>2.0</v>
      </c>
      <c r="B41" s="49"/>
      <c r="C41" s="47" t="str">
        <f>$N$28</f>
        <v/>
      </c>
      <c r="D41" s="47" t="str">
        <f t="array" ref="D41">IF($N$28="","",IFERROR(INDEX(Dados!$D$119:$D$226,MATCH($N$28,Dados!$C$119:$C$226,0)),""))</f>
        <v/>
      </c>
      <c r="E41" s="47" t="str">
        <f t="array" ref="E41">IF($N$28="","",IFERROR(INDEX(Dados!$E$119:$E$226,MATCH($N$28,Dados!$C$119:$C$226,0)),""))</f>
        <v/>
      </c>
      <c r="F41" s="16" t="str">
        <f>IF($N$28="","",IF(COUNTIF($C$27:$C$36,$N$28)&gt;0,"Já escolhida",IF('Criação'!$A$14&gt;=$E$41,"Sim","A partir do nível "&amp;$E$41)))</f>
        <v/>
      </c>
      <c r="G41" s="16" t="str">
        <f t="array" ref="G41">IF($N$28="","",IFERROR(INDEX(Dados!$F$119:$F$226,MATCH($N$28,Dados!$C$119:$C$226,0)),""))</f>
        <v/>
      </c>
      <c r="H41" s="16" t="str">
        <f t="array" ref="H41">IF($N$28="","",IFERROR(INDEX(Dados!$G$119:$G$226,MATCH($N$28,Dados!$C$119:$C$226,0)),""))</f>
        <v/>
      </c>
    </row>
    <row r="42" ht="48.0" customHeight="1">
      <c r="A42" s="26">
        <v>3.0</v>
      </c>
      <c r="C42" s="41" t="str">
        <f>$N$29</f>
        <v/>
      </c>
      <c r="D42" s="41" t="str">
        <f t="array" ref="D42">IF($N$29="","",IFERROR(INDEX(Dados!$D$119:$D$226,MATCH($N$29,Dados!$C$119:$C$226,0)),""))</f>
        <v/>
      </c>
      <c r="E42" s="41" t="str">
        <f t="array" ref="E42">IF($N$29="","",IFERROR(INDEX(Dados!$E$119:$E$226,MATCH($N$29,Dados!$C$119:$C$226,0)),""))</f>
        <v/>
      </c>
      <c r="F42" s="9" t="str">
        <f>IF($N$29="","",IF(COUNTIF($C$27:$C$36,$N$29)&gt;0,"Já escolhida",IF('Criação'!$A$14&gt;=$E$42,"Sim","A partir do nível "&amp;$E$42)))</f>
        <v/>
      </c>
      <c r="G42" s="9" t="str">
        <f t="array" ref="G42">IF($N$29="","",IFERROR(INDEX(Dados!$F$119:$F$226,MATCH($N$29,Dados!$C$119:$C$226,0)),""))</f>
        <v/>
      </c>
      <c r="H42" s="9" t="str">
        <f t="array" ref="H42">IF($N$29="","",IFERROR(INDEX(Dados!$G$119:$G$226,MATCH($N$29,Dados!$C$119:$C$226,0)),""))</f>
        <v/>
      </c>
    </row>
    <row r="43" ht="48.0" customHeight="1">
      <c r="A43" s="40">
        <v>4.0</v>
      </c>
      <c r="B43" s="49"/>
      <c r="C43" s="47" t="str">
        <f>$N$30</f>
        <v/>
      </c>
      <c r="D43" s="47" t="str">
        <f t="array" ref="D43">IF($N$30="","",IFERROR(INDEX(Dados!$D$119:$D$226,MATCH($N$30,Dados!$C$119:$C$226,0)),""))</f>
        <v/>
      </c>
      <c r="E43" s="47" t="str">
        <f t="array" ref="E43">IF($N$30="","",IFERROR(INDEX(Dados!$E$119:$E$226,MATCH($N$30,Dados!$C$119:$C$226,0)),""))</f>
        <v/>
      </c>
      <c r="F43" s="16" t="str">
        <f>IF($N$30="","",IF(COUNTIF($C$27:$C$36,$N$30)&gt;0,"Já escolhida",IF('Criação'!$A$14&gt;=$E$43,"Sim","A partir do nível "&amp;$E$43)))</f>
        <v/>
      </c>
      <c r="G43" s="16" t="str">
        <f t="array" ref="G43">IF($N$30="","",IFERROR(INDEX(Dados!$F$119:$F$226,MATCH($N$30,Dados!$C$119:$C$226,0)),""))</f>
        <v/>
      </c>
      <c r="H43" s="16" t="str">
        <f t="array" ref="H43">IF($N$30="","",IFERROR(INDEX(Dados!$G$119:$G$226,MATCH($N$30,Dados!$C$119:$C$226,0)),""))</f>
        <v/>
      </c>
    </row>
    <row r="44" ht="48.0" customHeight="1">
      <c r="A44" s="26">
        <v>5.0</v>
      </c>
      <c r="C44" s="41" t="str">
        <f>$N$31</f>
        <v/>
      </c>
      <c r="D44" s="41" t="str">
        <f t="array" ref="D44">IF($N$31="","",IFERROR(INDEX(Dados!$D$119:$D$226,MATCH($N$31,Dados!$C$119:$C$226,0)),""))</f>
        <v/>
      </c>
      <c r="E44" s="41" t="str">
        <f t="array" ref="E44">IF($N$31="","",IFERROR(INDEX(Dados!$E$119:$E$226,MATCH($N$31,Dados!$C$119:$C$226,0)),""))</f>
        <v/>
      </c>
      <c r="F44" s="9" t="str">
        <f>IF($N$31="","",IF(COUNTIF($C$27:$C$36,$N$31)&gt;0,"Já escolhida",IF('Criação'!$A$14&gt;=$E$44,"Sim","A partir do nível "&amp;$E$44)))</f>
        <v/>
      </c>
      <c r="G44" s="9" t="str">
        <f t="array" ref="G44">IF($N$31="","",IFERROR(INDEX(Dados!$F$119:$F$226,MATCH($N$31,Dados!$C$119:$C$226,0)),""))</f>
        <v/>
      </c>
      <c r="H44" s="9" t="str">
        <f t="array" ref="H44">IF($N$31="","",IFERROR(INDEX(Dados!$G$119:$G$226,MATCH($N$31,Dados!$C$119:$C$226,0)),""))</f>
        <v/>
      </c>
    </row>
    <row r="45" ht="48.0" customHeight="1">
      <c r="A45" s="40">
        <v>6.0</v>
      </c>
      <c r="B45" s="49"/>
      <c r="C45" s="47" t="str">
        <f>$N$32</f>
        <v/>
      </c>
      <c r="D45" s="47" t="str">
        <f t="array" ref="D45">IF($N$32="","",IFERROR(INDEX(Dados!$D$119:$D$226,MATCH($N$32,Dados!$C$119:$C$226,0)),""))</f>
        <v/>
      </c>
      <c r="E45" s="47" t="str">
        <f t="array" ref="E45">IF($N$32="","",IFERROR(INDEX(Dados!$E$119:$E$226,MATCH($N$32,Dados!$C$119:$C$226,0)),""))</f>
        <v/>
      </c>
      <c r="F45" s="16" t="str">
        <f>IF($N$32="","",IF(COUNTIF($C$27:$C$36,$N$32)&gt;0,"Já escolhida",IF('Criação'!$A$14&gt;=$E$45,"Sim","A partir do nível "&amp;$E$45)))</f>
        <v/>
      </c>
      <c r="G45" s="16" t="str">
        <f t="array" ref="G45">IF($N$32="","",IFERROR(INDEX(Dados!$F$119:$F$226,MATCH($N$32,Dados!$C$119:$C$226,0)),""))</f>
        <v/>
      </c>
      <c r="H45" s="16" t="str">
        <f t="array" ref="H45">IF($N$32="","",IFERROR(INDEX(Dados!$G$119:$G$226,MATCH($N$32,Dados!$C$119:$C$226,0)),""))</f>
        <v/>
      </c>
    </row>
    <row r="46" ht="48.0" customHeight="1">
      <c r="A46" s="26">
        <v>7.0</v>
      </c>
      <c r="C46" s="41" t="str">
        <f>$N$33</f>
        <v/>
      </c>
      <c r="D46" s="41" t="str">
        <f t="array" ref="D46">IF($N$33="","",IFERROR(INDEX(Dados!$D$119:$D$226,MATCH($N$33,Dados!$C$119:$C$226,0)),""))</f>
        <v/>
      </c>
      <c r="E46" s="41" t="str">
        <f t="array" ref="E46">IF($N$33="","",IFERROR(INDEX(Dados!$E$119:$E$226,MATCH($N$33,Dados!$C$119:$C$226,0)),""))</f>
        <v/>
      </c>
      <c r="F46" s="9" t="str">
        <f>IF($N$33="","",IF(COUNTIF($C$27:$C$36,$N$33)&gt;0,"Já escolhida",IF('Criação'!$A$14&gt;=$E$46,"Sim","A partir do nível "&amp;$E$46)))</f>
        <v/>
      </c>
      <c r="G46" s="9" t="str">
        <f t="array" ref="G46">IF($N$33="","",IFERROR(INDEX(Dados!$F$119:$F$226,MATCH($N$33,Dados!$C$119:$C$226,0)),""))</f>
        <v/>
      </c>
      <c r="H46" s="9" t="str">
        <f t="array" ref="H46">IF($N$33="","",IFERROR(INDEX(Dados!$G$119:$G$226,MATCH($N$33,Dados!$C$119:$C$226,0)),""))</f>
        <v/>
      </c>
    </row>
    <row r="47" ht="48.0" customHeight="1">
      <c r="A47" s="40">
        <v>8.0</v>
      </c>
      <c r="B47" s="49"/>
      <c r="C47" s="47" t="str">
        <f>$N$34</f>
        <v/>
      </c>
      <c r="D47" s="47" t="str">
        <f t="array" ref="D47">IF($N$34="","",IFERROR(INDEX(Dados!$D$119:$D$226,MATCH($N$34,Dados!$C$119:$C$226,0)),""))</f>
        <v/>
      </c>
      <c r="E47" s="47" t="str">
        <f t="array" ref="E47">IF($N$34="","",IFERROR(INDEX(Dados!$E$119:$E$226,MATCH($N$34,Dados!$C$119:$C$226,0)),""))</f>
        <v/>
      </c>
      <c r="F47" s="16" t="str">
        <f>IF($N$34="","",IF(COUNTIF($C$27:$C$36,$N$34)&gt;0,"Já escolhida",IF('Criação'!$A$14&gt;=$E$47,"Sim","A partir do nível "&amp;$E$47)))</f>
        <v/>
      </c>
      <c r="G47" s="16" t="str">
        <f t="array" ref="G47">IF($N$34="","",IFERROR(INDEX(Dados!$F$119:$F$226,MATCH($N$34,Dados!$C$119:$C$226,0)),""))</f>
        <v/>
      </c>
      <c r="H47" s="16" t="str">
        <f t="array" ref="H47">IF($N$34="","",IFERROR(INDEX(Dados!$G$119:$G$226,MATCH($N$34,Dados!$C$119:$C$226,0)),""))</f>
        <v/>
      </c>
    </row>
    <row r="48" ht="48.0" customHeight="1">
      <c r="A48" s="26">
        <v>9.0</v>
      </c>
      <c r="C48" s="41" t="str">
        <f>$N$35</f>
        <v/>
      </c>
      <c r="D48" s="41" t="str">
        <f t="array" ref="D48">IF($N$35="","",IFERROR(INDEX(Dados!$D$119:$D$226,MATCH($N$35,Dados!$C$119:$C$226,0)),""))</f>
        <v/>
      </c>
      <c r="E48" s="41" t="str">
        <f t="array" ref="E48">IF($N$35="","",IFERROR(INDEX(Dados!$E$119:$E$226,MATCH($N$35,Dados!$C$119:$C$226,0)),""))</f>
        <v/>
      </c>
      <c r="F48" s="9" t="str">
        <f>IF($N$35="","",IF(COUNTIF($C$27:$C$36,$N$35)&gt;0,"Já escolhida",IF('Criação'!$A$14&gt;=$E$48,"Sim","A partir do nível "&amp;$E$48)))</f>
        <v/>
      </c>
      <c r="G48" s="9" t="str">
        <f t="array" ref="G48">IF($N$35="","",IFERROR(INDEX(Dados!$F$119:$F$226,MATCH($N$35,Dados!$C$119:$C$226,0)),""))</f>
        <v/>
      </c>
      <c r="H48" s="9" t="str">
        <f t="array" ref="H48">IF($N$35="","",IFERROR(INDEX(Dados!$G$119:$G$226,MATCH($N$35,Dados!$C$119:$C$226,0)),""))</f>
        <v/>
      </c>
    </row>
    <row r="49" ht="48.0" customHeight="1">
      <c r="A49" s="40">
        <v>10.0</v>
      </c>
      <c r="B49" s="49"/>
      <c r="C49" s="47" t="str">
        <f>$N$36</f>
        <v/>
      </c>
      <c r="D49" s="47" t="str">
        <f t="array" ref="D49">IF($N$36="","",IFERROR(INDEX(Dados!$D$119:$D$226,MATCH($N$36,Dados!$C$119:$C$226,0)),""))</f>
        <v/>
      </c>
      <c r="E49" s="47" t="str">
        <f t="array" ref="E49">IF($N$36="","",IFERROR(INDEX(Dados!$E$119:$E$226,MATCH($N$36,Dados!$C$119:$C$226,0)),""))</f>
        <v/>
      </c>
      <c r="F49" s="16" t="str">
        <f>IF($N$36="","",IF(COUNTIF($C$27:$C$36,$N$36)&gt;0,"Já escolhida",IF('Criação'!$A$14&gt;=$E$49,"Sim","A partir do nível "&amp;$E$49)))</f>
        <v/>
      </c>
      <c r="G49" s="16" t="str">
        <f t="array" ref="G49">IF($N$36="","",IFERROR(INDEX(Dados!$F$119:$F$226,MATCH($N$36,Dados!$C$119:$C$226,0)),""))</f>
        <v/>
      </c>
      <c r="H49" s="16" t="str">
        <f t="array" ref="H49">IF($N$36="","",IFERROR(INDEX(Dados!$G$119:$G$226,MATCH($N$36,Dados!$C$119:$C$226,0)),""))</f>
        <v/>
      </c>
    </row>
    <row r="50" ht="48.0" customHeight="1">
      <c r="A50" s="26">
        <v>11.0</v>
      </c>
      <c r="C50" s="41" t="str">
        <f>$N$37</f>
        <v/>
      </c>
      <c r="D50" s="41" t="str">
        <f t="array" ref="D50">IF($N$37="","",IFERROR(INDEX(Dados!$D$119:$D$226,MATCH($N$37,Dados!$C$119:$C$226,0)),""))</f>
        <v/>
      </c>
      <c r="E50" s="41" t="str">
        <f t="array" ref="E50">IF($N$37="","",IFERROR(INDEX(Dados!$E$119:$E$226,MATCH($N$37,Dados!$C$119:$C$226,0)),""))</f>
        <v/>
      </c>
      <c r="F50" s="9" t="str">
        <f>IF($N$37="","",IF(COUNTIF($C$27:$C$36,$N$37)&gt;0,"Já escolhida",IF('Criação'!$A$14&gt;=$E$50,"Sim","A partir do nível "&amp;$E$50)))</f>
        <v/>
      </c>
      <c r="G50" s="9" t="str">
        <f t="array" ref="G50">IF($N$37="","",IFERROR(INDEX(Dados!$F$119:$F$226,MATCH($N$37,Dados!$C$119:$C$226,0)),""))</f>
        <v/>
      </c>
      <c r="H50" s="9" t="str">
        <f t="array" ref="H50">IF($N$37="","",IFERROR(INDEX(Dados!$G$119:$G$226,MATCH($N$37,Dados!$C$119:$C$226,0)),""))</f>
        <v/>
      </c>
    </row>
    <row r="51" ht="48.0" customHeight="1">
      <c r="A51" s="40">
        <v>12.0</v>
      </c>
      <c r="B51" s="49"/>
      <c r="C51" s="47" t="str">
        <f>$N$38</f>
        <v/>
      </c>
      <c r="D51" s="47" t="str">
        <f t="array" ref="D51">IF($N$38="","",IFERROR(INDEX(Dados!$D$119:$D$226,MATCH($N$38,Dados!$C$119:$C$226,0)),""))</f>
        <v/>
      </c>
      <c r="E51" s="47" t="str">
        <f t="array" ref="E51">IF($N$38="","",IFERROR(INDEX(Dados!$E$119:$E$226,MATCH($N$38,Dados!$C$119:$C$226,0)),""))</f>
        <v/>
      </c>
      <c r="F51" s="16" t="str">
        <f>IF($N$38="","",IF(COUNTIF($C$27:$C$36,$N$38)&gt;0,"Já escolhida",IF('Criação'!$A$14&gt;=$E$51,"Sim","A partir do nível "&amp;$E$51)))</f>
        <v/>
      </c>
      <c r="G51" s="16" t="str">
        <f t="array" ref="G51">IF($N$38="","",IFERROR(INDEX(Dados!$F$119:$F$226,MATCH($N$38,Dados!$C$119:$C$226,0)),""))</f>
        <v/>
      </c>
      <c r="H51" s="16" t="str">
        <f t="array" ref="H51">IF($N$38="","",IFERROR(INDEX(Dados!$G$119:$G$226,MATCH($N$38,Dados!$C$119:$C$226,0)),""))</f>
        <v/>
      </c>
    </row>
    <row r="52" ht="15.75" customHeight="1"/>
    <row r="53" ht="15.75" customHeight="1">
      <c r="A53" s="5" t="str">
        <f>IF('Criação'!$B$33="A Recordação","Memoespírito — 11.3 a 11.5","Memoespírito — só para A Recordação")</f>
        <v>Memoespírito — só para A Recordação</v>
      </c>
      <c r="B53" s="2"/>
      <c r="C53" s="2"/>
      <c r="D53" s="2"/>
      <c r="E53" s="2"/>
      <c r="F53" s="2"/>
      <c r="G53" s="2"/>
      <c r="H53" s="2"/>
      <c r="I53" s="2"/>
      <c r="J53" s="2"/>
      <c r="K53" s="2"/>
      <c r="L53" s="3"/>
    </row>
    <row r="54" ht="36.75" customHeight="1">
      <c r="A54" s="15" t="s">
        <v>536</v>
      </c>
      <c r="B54" s="27" t="str">
        <f>IF('Criação'!$B$33="A Recordação","Sim","Não")</f>
        <v>Não</v>
      </c>
      <c r="C54" s="85"/>
      <c r="D54" s="19" t="s">
        <v>537</v>
      </c>
      <c r="I54" s="85"/>
      <c r="J54" s="85"/>
      <c r="K54" s="30" t="str">
        <f>IF(AND(NOT(($B$54="Sim")),(LEN($B$55)+LEN($B$56)+LEN($B$57)+LEN($B$58)+LEN($B$60)+LEN($B$61)+LEN($B$62)+LEN($B$63)+LEN($B$64)+LEN($B$65)+LEN($B$67)+LEN($B$69)+LEN($B$70)+LEN($B$71)+LEN($B$72)+LEN($E$72)+LEN($B$73)+LEN($E$73)+LEN($C$75)+LEN($C$76)+LEN($C$77)+LEN($B$78))&gt;0),"Memoespírito só na Recordação: estes campos não contam","")</f>
        <v/>
      </c>
    </row>
    <row r="55" ht="15.75" customHeight="1">
      <c r="A55" s="15" t="s">
        <v>539</v>
      </c>
      <c r="B55" s="51"/>
      <c r="C55" s="29"/>
      <c r="D55" s="29"/>
      <c r="E55" s="32"/>
      <c r="F55" s="85"/>
      <c r="G55" s="85"/>
      <c r="H55" s="85"/>
      <c r="I55" s="85"/>
      <c r="J55" s="85"/>
      <c r="K55" s="85"/>
    </row>
    <row r="56" ht="15.75" customHeight="1">
      <c r="A56" s="15" t="s">
        <v>540</v>
      </c>
      <c r="B56" s="79"/>
      <c r="C56" s="32"/>
      <c r="D56" s="37" t="str">
        <f>IF(OR(NOT(($B$54="Sim")),$B$56=""),"",IFERROR(VLOOKUP($B$56,Dados!$A$544:$B$548,2,FALSE),""))</f>
        <v/>
      </c>
      <c r="E56" s="2"/>
      <c r="F56" s="2"/>
      <c r="G56" s="2"/>
      <c r="H56" s="3"/>
      <c r="I56" s="85"/>
      <c r="J56" s="85"/>
      <c r="K56" s="85"/>
    </row>
    <row r="57" ht="36.75" customHeight="1">
      <c r="A57" s="15" t="s">
        <v>547</v>
      </c>
      <c r="B57" s="79"/>
      <c r="C57" s="32"/>
      <c r="D57" s="7" t="str">
        <f>IF(OR(NOT(($B$54="Sim")),$B$57=""),"",IFERROR(VLOOKUP($B$57,Dados!$A$552:$B$555,2,FALSE),""))</f>
        <v/>
      </c>
      <c r="E57" s="2"/>
      <c r="F57" s="2"/>
      <c r="G57" s="2"/>
      <c r="H57" s="3"/>
      <c r="I57" s="85"/>
      <c r="J57" s="85"/>
      <c r="K57" s="85"/>
    </row>
    <row r="58" ht="15.75" customHeight="1">
      <c r="A58" s="15" t="s">
        <v>548</v>
      </c>
      <c r="B58" s="79"/>
      <c r="C58" s="32"/>
      <c r="D58" s="85"/>
      <c r="E58" s="85"/>
      <c r="F58" s="85"/>
      <c r="G58" s="85"/>
      <c r="H58" s="85"/>
      <c r="I58" s="85"/>
      <c r="J58" s="85"/>
      <c r="K58" s="85"/>
    </row>
    <row r="59" ht="36.75" customHeight="1">
      <c r="A59" s="14" t="s">
        <v>57</v>
      </c>
      <c r="B59" s="14" t="s">
        <v>549</v>
      </c>
      <c r="C59" s="14" t="s">
        <v>550</v>
      </c>
      <c r="D59" s="14" t="s">
        <v>551</v>
      </c>
      <c r="E59" s="85"/>
      <c r="F59" s="85"/>
      <c r="G59" s="85"/>
      <c r="H59" s="85"/>
      <c r="I59" s="85"/>
      <c r="J59" s="85"/>
      <c r="K59" s="14" t="s">
        <v>67</v>
      </c>
      <c r="L59" s="24"/>
    </row>
    <row r="60" ht="36.75" customHeight="1">
      <c r="A60" s="26" t="s">
        <v>121</v>
      </c>
      <c r="B60" s="34"/>
      <c r="C60" s="41">
        <f>IF(ISNUMBER($B$60),MAX(0,MIN(5,INT($B$60))),0)</f>
        <v>0</v>
      </c>
      <c r="D60" s="41" t="str">
        <f>IF(($B$54="Sim"),"d20"&amp;IF(($C$60+'Criação'!$C$14)&gt;=0,"+","")&amp;($C$60+'Criação'!$C$14),"")</f>
        <v/>
      </c>
      <c r="E60" s="85"/>
      <c r="F60" s="85"/>
      <c r="G60" s="85"/>
      <c r="H60" s="85"/>
      <c r="I60" s="85"/>
      <c r="J60" s="85"/>
      <c r="K60" s="30" t="str">
        <f>IF($B$60="","",IF(ISNUMBER($B$60),IF($B$60&gt;5,"Máximo 5 pontos por Atributo","")&amp;IF($B$60&lt;0,"Pontos não podem ser negativos",""),"Precisa ser um número"))</f>
        <v/>
      </c>
    </row>
    <row r="61" ht="36.75" customHeight="1">
      <c r="A61" s="40" t="s">
        <v>126</v>
      </c>
      <c r="B61" s="50"/>
      <c r="C61" s="47">
        <f>IF(ISNUMBER($B$61),MAX(0,MIN(5,INT($B$61))),0)</f>
        <v>0</v>
      </c>
      <c r="D61" s="47" t="str">
        <f>IF(($B$54="Sim"),"d20"&amp;IF(($C$61+'Criação'!$C$14)&gt;=0,"+","")&amp;($C$61+'Criação'!$C$14),"")</f>
        <v/>
      </c>
      <c r="E61" s="49"/>
      <c r="F61" s="49"/>
      <c r="G61" s="49"/>
      <c r="H61" s="49"/>
      <c r="I61" s="49"/>
      <c r="J61" s="49"/>
      <c r="K61" s="43" t="str">
        <f>IF($B$61="","",IF(ISNUMBER($B$61),IF($B$61&gt;5,"Máximo 5 pontos por Atributo","")&amp;IF($B$61&lt;0,"Pontos não podem ser negativos",""),"Precisa ser um número"))</f>
        <v/>
      </c>
      <c r="L61" s="3"/>
    </row>
    <row r="62" ht="36.75" customHeight="1">
      <c r="A62" s="26" t="s">
        <v>192</v>
      </c>
      <c r="B62" s="34"/>
      <c r="C62" s="41">
        <f>IF(ISNUMBER($B$62),MAX(0,MIN(5,INT($B$62))),0)</f>
        <v>0</v>
      </c>
      <c r="D62" s="41" t="str">
        <f>IF(($B$54="Sim"),"d20"&amp;IF(($C$62+'Criação'!$C$14)&gt;=0,"+","")&amp;($C$62+'Criação'!$C$14),"")</f>
        <v/>
      </c>
      <c r="E62" s="85"/>
      <c r="F62" s="85"/>
      <c r="G62" s="85"/>
      <c r="H62" s="85"/>
      <c r="I62" s="85"/>
      <c r="J62" s="85"/>
      <c r="K62" s="30" t="str">
        <f>IF($B$62="","",IF(ISNUMBER($B$62),IF($B$62&gt;5,"Máximo 5 pontos por Atributo","")&amp;IF($B$62&lt;0,"Pontos não podem ser negativos",""),"Precisa ser um número"))</f>
        <v/>
      </c>
    </row>
    <row r="63" ht="36.75" customHeight="1">
      <c r="A63" s="40" t="s">
        <v>196</v>
      </c>
      <c r="B63" s="50"/>
      <c r="C63" s="47">
        <f>IF(ISNUMBER($B$63),MAX(0,MIN(5,INT($B$63))),0)</f>
        <v>0</v>
      </c>
      <c r="D63" s="47" t="str">
        <f>IF(($B$54="Sim"),"d20"&amp;IF(($C$63+'Criação'!$C$14)&gt;=0,"+","")&amp;($C$63+'Criação'!$C$14),"")</f>
        <v/>
      </c>
      <c r="E63" s="49"/>
      <c r="F63" s="49"/>
      <c r="G63" s="49"/>
      <c r="H63" s="49"/>
      <c r="I63" s="49"/>
      <c r="J63" s="49"/>
      <c r="K63" s="43" t="str">
        <f>IF($B$63="","",IF(ISNUMBER($B$63),IF($B$63&gt;5,"Máximo 5 pontos por Atributo","")&amp;IF($B$63&lt;0,"Pontos não podem ser negativos",""),"Precisa ser um número"))</f>
        <v/>
      </c>
      <c r="L63" s="3"/>
    </row>
    <row r="64" ht="36.75" customHeight="1">
      <c r="A64" s="26" t="s">
        <v>204</v>
      </c>
      <c r="B64" s="34"/>
      <c r="C64" s="41">
        <f>IF(ISNUMBER($B$64),MAX(0,MIN(5,INT($B$64))),0)</f>
        <v>0</v>
      </c>
      <c r="D64" s="41" t="str">
        <f>IF(($B$54="Sim"),"d20"&amp;IF(($C$64+'Criação'!$C$14)&gt;=0,"+","")&amp;($C$64+'Criação'!$C$14),"")</f>
        <v/>
      </c>
      <c r="E64" s="85"/>
      <c r="F64" s="85"/>
      <c r="G64" s="85"/>
      <c r="H64" s="85"/>
      <c r="I64" s="85"/>
      <c r="J64" s="85"/>
      <c r="K64" s="30" t="str">
        <f>IF($B$64="","",IF(ISNUMBER($B$64),IF($B$64&gt;5,"Máximo 5 pontos por Atributo","")&amp;IF($B$64&lt;0,"Pontos não podem ser negativos",""),"Precisa ser um número"))</f>
        <v/>
      </c>
    </row>
    <row r="65" ht="36.75" customHeight="1">
      <c r="A65" s="40" t="s">
        <v>226</v>
      </c>
      <c r="B65" s="50"/>
      <c r="C65" s="47">
        <f>IF(ISNUMBER($B$65),MAX(0,MIN(5,INT($B$65))),0)</f>
        <v>0</v>
      </c>
      <c r="D65" s="47" t="str">
        <f>IF(($B$54="Sim"),"d20"&amp;IF(($C$65+'Criação'!$C$14)&gt;=0,"+","")&amp;($C$65+'Criação'!$C$14),"")</f>
        <v/>
      </c>
      <c r="E65" s="49"/>
      <c r="F65" s="49"/>
      <c r="G65" s="49"/>
      <c r="H65" s="49"/>
      <c r="I65" s="49"/>
      <c r="J65" s="49"/>
      <c r="K65" s="43" t="str">
        <f>IF($B$65="","",IF(ISNUMBER($B$65),IF($B$65&gt;5,"Máximo 5 pontos por Atributo","")&amp;IF($B$65&lt;0,"Pontos não podem ser negativos",""),"Precisa ser um número"))</f>
        <v/>
      </c>
      <c r="L65" s="3"/>
    </row>
    <row r="66" ht="36.75" customHeight="1">
      <c r="A66" s="15" t="s">
        <v>555</v>
      </c>
      <c r="B66" s="27" t="str">
        <f>IF(($B$54="Sim"),'Criação'!$K$16,"")</f>
        <v/>
      </c>
      <c r="C66" s="27">
        <f>SUM($B$60:$B$65)</f>
        <v>0</v>
      </c>
      <c r="D66" s="85"/>
      <c r="E66" s="85"/>
      <c r="F66" s="85"/>
      <c r="G66" s="85"/>
      <c r="H66" s="85"/>
      <c r="I66" s="85"/>
      <c r="J66" s="85"/>
      <c r="K66" s="30" t="str">
        <f>IF(AND(($B$54="Sim"),$C$66&gt;'Criação'!$K$16),"Pontos acima do total ("&amp;'Criação'!$K$16&amp;")","")</f>
        <v/>
      </c>
    </row>
    <row r="67" ht="25.5" customHeight="1">
      <c r="A67" s="46" t="s">
        <v>556</v>
      </c>
      <c r="B67" s="91"/>
      <c r="C67" s="32"/>
      <c r="D67" s="56" t="str">
        <f>IF($B$67="","Poder",$B$67)</f>
        <v>Poder</v>
      </c>
      <c r="E67" s="3"/>
      <c r="F67" s="49"/>
      <c r="G67" s="49"/>
      <c r="H67" s="49"/>
      <c r="I67" s="49"/>
      <c r="J67" s="49"/>
      <c r="K67" s="49"/>
      <c r="L67" s="49"/>
    </row>
    <row r="68" ht="25.5" customHeight="1">
      <c r="A68" s="14" t="s">
        <v>558</v>
      </c>
      <c r="B68" s="14" t="s">
        <v>559</v>
      </c>
      <c r="C68" s="85"/>
      <c r="D68" s="14" t="s">
        <v>560</v>
      </c>
      <c r="E68" s="85"/>
      <c r="F68" s="85"/>
      <c r="G68" s="85"/>
      <c r="H68" s="85"/>
      <c r="I68" s="85"/>
      <c r="J68" s="85"/>
      <c r="K68" s="85"/>
    </row>
    <row r="69" ht="36.75" customHeight="1">
      <c r="A69" s="26" t="s">
        <v>561</v>
      </c>
      <c r="B69" s="79"/>
      <c r="C69" s="32"/>
      <c r="D69" s="7" t="str">
        <f>IF($B$69="","",IFERROR(VLOOKUP($B$69,Dados!$A$559:$B$564,2,FALSE),""))</f>
        <v/>
      </c>
      <c r="E69" s="2"/>
      <c r="F69" s="2"/>
      <c r="G69" s="2"/>
      <c r="H69" s="3"/>
      <c r="I69" s="85"/>
      <c r="J69" s="85"/>
      <c r="K69" s="30" t="str">
        <f>IF($B$69="","",IF(COUNTIF($B$69:$B$71,$B$69)&gt;1,"Bônus menor repetido: escolha 3 diferentes",IF(COUNTIF(Dados!$AE$6:$AE$11,$B$69)=0,"Fora da lista de 11.3","")))</f>
        <v/>
      </c>
    </row>
    <row r="70" ht="36.75" customHeight="1">
      <c r="A70" s="40" t="s">
        <v>565</v>
      </c>
      <c r="B70" s="91"/>
      <c r="C70" s="32"/>
      <c r="D70" s="21" t="str">
        <f>IF($B$70="","",IFERROR(VLOOKUP($B$70,Dados!$A$559:$B$564,2,FALSE),""))</f>
        <v/>
      </c>
      <c r="E70" s="2"/>
      <c r="F70" s="2"/>
      <c r="G70" s="2"/>
      <c r="H70" s="3"/>
      <c r="I70" s="85"/>
      <c r="J70" s="85"/>
      <c r="K70" s="30" t="str">
        <f>IF($B$70="","",IF(COUNTIF($B$69:$B$71,$B$70)&gt;1,"Bônus menor repetido: escolha 3 diferentes",IF(COUNTIF(Dados!$AE$6:$AE$11,$B$70)=0,"Fora da lista de 11.3","")))</f>
        <v/>
      </c>
    </row>
    <row r="71" ht="36.75" customHeight="1">
      <c r="A71" s="26" t="s">
        <v>577</v>
      </c>
      <c r="B71" s="79"/>
      <c r="C71" s="32"/>
      <c r="D71" s="7" t="str">
        <f>IF($B$71="","",IFERROR(VLOOKUP($B$71,Dados!$A$559:$B$564,2,FALSE),""))</f>
        <v/>
      </c>
      <c r="E71" s="2"/>
      <c r="F71" s="2"/>
      <c r="G71" s="2"/>
      <c r="H71" s="3"/>
      <c r="I71" s="85"/>
      <c r="J71" s="85"/>
      <c r="K71" s="30" t="str">
        <f>IF($B$71="","",IF(COUNTIF($B$69:$B$71,$B$71)&gt;1,"Bônus menor repetido: escolha 3 diferentes",IF(COUNTIF(Dados!$AE$6:$AE$11,$B$71)=0,"Fora da lista de 11.3","")))</f>
        <v/>
      </c>
    </row>
    <row r="72" ht="58.5" customHeight="1">
      <c r="A72" s="46" t="s">
        <v>578</v>
      </c>
      <c r="B72" s="73"/>
      <c r="C72" s="32"/>
      <c r="D72" s="62" t="s">
        <v>579</v>
      </c>
      <c r="E72" s="51"/>
      <c r="F72" s="29"/>
      <c r="G72" s="29"/>
      <c r="H72" s="32"/>
      <c r="I72" s="85"/>
      <c r="J72" s="85"/>
      <c r="K72" s="85"/>
    </row>
    <row r="73" ht="60.0" customHeight="1">
      <c r="A73" s="15" t="s">
        <v>580</v>
      </c>
      <c r="B73" s="51"/>
      <c r="C73" s="32"/>
      <c r="D73" s="19" t="s">
        <v>579</v>
      </c>
      <c r="E73" s="51"/>
      <c r="F73" s="29"/>
      <c r="G73" s="29"/>
      <c r="H73" s="32"/>
      <c r="I73" s="85"/>
      <c r="J73" s="85"/>
      <c r="K73" s="85"/>
    </row>
    <row r="74" ht="15.75" customHeight="1">
      <c r="A74" s="14" t="s">
        <v>581</v>
      </c>
      <c r="B74" s="14" t="s">
        <v>582</v>
      </c>
      <c r="C74" s="14" t="s">
        <v>559</v>
      </c>
      <c r="D74" s="14" t="s">
        <v>560</v>
      </c>
      <c r="E74" s="85"/>
      <c r="F74" s="85"/>
      <c r="G74" s="85"/>
      <c r="H74" s="85"/>
      <c r="I74" s="85"/>
      <c r="J74" s="85"/>
      <c r="K74" s="85"/>
    </row>
    <row r="75" ht="36.75" customHeight="1">
      <c r="A75" s="26" t="s">
        <v>583</v>
      </c>
      <c r="B75" s="41">
        <v>8.0</v>
      </c>
      <c r="C75" s="34"/>
      <c r="D75" s="7" t="str">
        <f>IF($C$75="","",IFERROR(VLOOKUP($C$75,Dados!$A$582:$B$584,2,FALSE),""))</f>
        <v/>
      </c>
      <c r="E75" s="2"/>
      <c r="F75" s="2"/>
      <c r="G75" s="2"/>
      <c r="H75" s="3"/>
      <c r="I75" s="85"/>
      <c r="J75" s="85"/>
      <c r="K75" s="30" t="str">
        <f>IF($C$75="","",IF('Criação'!$A$14&lt;8,"Só a partir do nível 8. ","")&amp;IF(COUNTIF($C$75:$C$77,$C$75)&gt;1,"Evolução repetida: cada uma só uma vez.",""))</f>
        <v/>
      </c>
    </row>
    <row r="76" ht="36.75" customHeight="1">
      <c r="A76" s="40" t="s">
        <v>584</v>
      </c>
      <c r="B76" s="47">
        <v>14.0</v>
      </c>
      <c r="C76" s="50"/>
      <c r="D76" s="21" t="str">
        <f>IF($C$76="","",IFERROR(VLOOKUP($C$76,Dados!$A$582:$B$584,2,FALSE),""))</f>
        <v/>
      </c>
      <c r="E76" s="2"/>
      <c r="F76" s="2"/>
      <c r="G76" s="2"/>
      <c r="H76" s="3"/>
      <c r="I76" s="85"/>
      <c r="J76" s="85"/>
      <c r="K76" s="30" t="str">
        <f>IF($C$76="","",IF('Criação'!$A$14&lt;14,"Só a partir do nível 14. ","")&amp;IF(COUNTIF($C$75:$C$77,$C$76)&gt;1,"Evolução repetida: cada uma só uma vez.",""))</f>
        <v/>
      </c>
    </row>
    <row r="77" ht="36.75" customHeight="1">
      <c r="A77" s="26" t="s">
        <v>590</v>
      </c>
      <c r="B77" s="41">
        <v>20.0</v>
      </c>
      <c r="C77" s="34"/>
      <c r="D77" s="7" t="str">
        <f>IF($C$77="","",IFERROR(VLOOKUP($C$77,Dados!$A$582:$B$584,2,FALSE),""))</f>
        <v/>
      </c>
      <c r="E77" s="2"/>
      <c r="F77" s="2"/>
      <c r="G77" s="2"/>
      <c r="H77" s="3"/>
      <c r="I77" s="85"/>
      <c r="J77" s="85"/>
      <c r="K77" s="30" t="str">
        <f>IF($C$77="","",IF('Criação'!$A$14&lt;20,"Só a partir do nível 20. ","")&amp;IF(COUNTIF($C$75:$C$77,$C$77)&gt;1,"Evolução repetida: cada uma só uma vez.",""))</f>
        <v/>
      </c>
    </row>
    <row r="78" ht="25.5" customHeight="1">
      <c r="A78" s="46" t="s">
        <v>596</v>
      </c>
      <c r="B78" s="91"/>
      <c r="C78" s="32"/>
      <c r="D78" s="49"/>
      <c r="E78" s="85"/>
      <c r="F78" s="85"/>
      <c r="G78" s="85"/>
      <c r="H78" s="85"/>
      <c r="I78" s="85"/>
      <c r="J78" s="85"/>
      <c r="K78" s="85"/>
    </row>
    <row r="79" ht="15.75" customHeight="1">
      <c r="A79" s="5" t="s">
        <v>597</v>
      </c>
      <c r="B79" s="2"/>
      <c r="C79" s="2"/>
      <c r="D79" s="2"/>
      <c r="E79" s="2"/>
      <c r="F79" s="2"/>
      <c r="G79" s="2"/>
      <c r="H79" s="2"/>
      <c r="I79" s="2"/>
      <c r="J79" s="2"/>
      <c r="K79" s="2"/>
      <c r="L79" s="3"/>
    </row>
    <row r="80" ht="15.75" customHeight="1">
      <c r="A80" s="15" t="s">
        <v>123</v>
      </c>
      <c r="B80" s="63" t="str">
        <f>IF(($B$54="Sim"),8*'Criação'!$A$14+3*$C$62+IF($B$57="Guardião",3*'Criação'!$A$14,0)+IF((COUNTIF($B$69:$B$71,"Resistência Espiritual")&gt;0),2*'Criação'!$A$14,0)+IF((COUNTIF($I$27:$I$36,"Ecos do Passado")&gt;0),4*'Criação'!$A$14,0),"")</f>
        <v/>
      </c>
      <c r="C80" s="3"/>
      <c r="D80" s="85"/>
      <c r="E80" s="85"/>
      <c r="F80" s="85"/>
      <c r="G80" s="85"/>
      <c r="H80" s="85"/>
      <c r="I80" s="85"/>
      <c r="J80" s="85"/>
      <c r="K80" s="85"/>
    </row>
    <row r="81" ht="15.75" customHeight="1">
      <c r="A81" s="15" t="s">
        <v>299</v>
      </c>
      <c r="B81" s="63" t="str">
        <f>IF(($B$54="Sim"),10+$C$61+'Criação'!$C$14+IF(AND((COUNTIF($C$75:$C$77,"Memória Desperta")&gt;0),$B$78&lt;&gt;"Velocidade"),2,0),"")</f>
        <v/>
      </c>
      <c r="C81" s="3"/>
      <c r="D81" s="85"/>
      <c r="E81" s="85"/>
      <c r="F81" s="85"/>
      <c r="G81" s="85"/>
      <c r="H81" s="85"/>
      <c r="I81" s="85"/>
      <c r="J81" s="85"/>
      <c r="K81" s="85"/>
    </row>
    <row r="82" ht="15.75" customHeight="1">
      <c r="A82" s="15" t="s">
        <v>300</v>
      </c>
      <c r="B82" s="63" t="str">
        <f>IF(($B$54="Sim"),10+$C$61+'Criação'!$B$37+IF((COUNTIF($B$69:$B$71,"Velocidade Espiritual")&gt;0),2,0)+IF(AND((COUNTIF($C$75:$C$77,"Memória Desperta")&gt;0),$B$78="Velocidade"),2,0),"")</f>
        <v/>
      </c>
      <c r="C82" s="3"/>
      <c r="D82" s="85"/>
      <c r="E82" s="85"/>
      <c r="F82" s="85"/>
      <c r="G82" s="85"/>
      <c r="H82" s="85"/>
      <c r="I82" s="85"/>
      <c r="J82" s="85"/>
      <c r="K82" s="85"/>
    </row>
    <row r="83" ht="25.5" customHeight="1">
      <c r="A83" s="15" t="s">
        <v>599</v>
      </c>
      <c r="B83" s="63" t="str">
        <f t="array" ref="B83">IF(($B$54="Sim"),'Criação'!$B$55+IFERROR(INDEX($C$60:$C$65,MATCH($D$67,$A$60:$A$65,0)),0)+'Criação'!$C$14,"")</f>
        <v/>
      </c>
      <c r="C83" s="3"/>
      <c r="D83" s="85"/>
      <c r="E83" s="85"/>
      <c r="F83" s="85"/>
      <c r="G83" s="85"/>
      <c r="H83" s="85"/>
      <c r="I83" s="85"/>
      <c r="J83" s="85"/>
      <c r="K83" s="85"/>
    </row>
    <row r="84" ht="15.75" customHeight="1">
      <c r="A84" s="15" t="s">
        <v>430</v>
      </c>
      <c r="B84" s="63" t="str">
        <f>IF(($B$54="Sim"),"d20"&amp;IF($B$83&gt;=0,"+","")&amp;$B$83,"")</f>
        <v/>
      </c>
      <c r="C84" s="3"/>
      <c r="D84" s="85"/>
      <c r="E84" s="85"/>
      <c r="F84" s="85"/>
      <c r="G84" s="85"/>
      <c r="H84" s="85"/>
      <c r="I84" s="85"/>
      <c r="J84" s="85"/>
      <c r="K84" s="85"/>
    </row>
    <row r="85" ht="15.75" customHeight="1">
      <c r="A85" s="15" t="s">
        <v>600</v>
      </c>
      <c r="B85" s="63" t="str">
        <f>IF(($B$54="Sim"),'Criação'!$D$16+IF((COUNTIF($C$75:$C$77,"Forma Completa")&gt;0),1,0),"")</f>
        <v/>
      </c>
      <c r="C85" s="3"/>
      <c r="D85" s="85"/>
      <c r="E85" s="85"/>
      <c r="F85" s="85"/>
      <c r="G85" s="85"/>
      <c r="H85" s="85"/>
      <c r="I85" s="85"/>
      <c r="J85" s="85"/>
      <c r="K85" s="85"/>
    </row>
    <row r="86" ht="15.75" customHeight="1">
      <c r="A86" s="15" t="s">
        <v>601</v>
      </c>
      <c r="B86" s="63" t="str">
        <f t="array" ref="B86">IF(($B$54="Sim"),IFERROR(INDEX($C$60:$C$65,MATCH($D$67,$A$60:$A$65,0)),0)+IF((COUNTIF($B$69:$B$71,"Força Espiritual")&gt;0),2,0)+IF((COUNTIF($I$27:$I$36,"Ecos do Passado")&gt;0),'Criação'!$B$55,0),"")</f>
        <v/>
      </c>
      <c r="C86" s="3"/>
      <c r="D86" s="85"/>
      <c r="E86" s="85"/>
      <c r="F86" s="85"/>
      <c r="G86" s="85"/>
      <c r="H86" s="85"/>
      <c r="I86" s="85"/>
      <c r="J86" s="85"/>
      <c r="K86" s="85"/>
    </row>
    <row r="87" ht="15.75" customHeight="1">
      <c r="A87" s="15" t="s">
        <v>603</v>
      </c>
      <c r="B87" s="63" t="str">
        <f>IF(($B$54="Sim"),IF($B$85&lt;=0,""&amp;$B$86,$B$85&amp;"d"&amp;6&amp;IF($B$86&gt;0,"+"&amp;$B$86,IF($B$86&lt;0,""&amp;$B$86,""))),"")</f>
        <v/>
      </c>
      <c r="C87" s="3"/>
      <c r="D87" s="85"/>
      <c r="E87" s="85"/>
      <c r="F87" s="85"/>
      <c r="G87" s="85"/>
      <c r="H87" s="85"/>
      <c r="I87" s="85"/>
      <c r="J87" s="85"/>
      <c r="K87" s="85"/>
    </row>
    <row r="88" ht="15.75" customHeight="1">
      <c r="A88" s="15" t="s">
        <v>591</v>
      </c>
      <c r="B88" s="63" t="str">
        <f>IF(($B$54="Sim"),INT($B$85*7/2)+$B$86,"")</f>
        <v/>
      </c>
      <c r="C88" s="3"/>
      <c r="D88" s="85"/>
      <c r="E88" s="85"/>
      <c r="F88" s="85"/>
      <c r="G88" s="85"/>
      <c r="H88" s="85"/>
      <c r="I88" s="85"/>
      <c r="J88" s="85"/>
      <c r="K88" s="85"/>
    </row>
    <row r="89" ht="25.5" customHeight="1">
      <c r="A89" s="15" t="s">
        <v>604</v>
      </c>
      <c r="B89" s="63" t="str">
        <f>IF(($B$54="Sim"),INT(($B$85+2)*7/2)+$B$86,"")</f>
        <v/>
      </c>
      <c r="C89" s="3"/>
      <c r="D89" s="85"/>
      <c r="E89" s="85"/>
      <c r="F89" s="85"/>
      <c r="G89" s="85"/>
      <c r="H89" s="85"/>
      <c r="I89" s="85"/>
      <c r="J89" s="85"/>
      <c r="K89" s="85"/>
    </row>
    <row r="90" ht="15.75" customHeight="1">
      <c r="A90" s="15" t="s">
        <v>337</v>
      </c>
      <c r="B90" s="63" t="str">
        <f>IF(($B$54="Sim"),IF('Criação'!$A$14&gt;=11,2,1)+IF((COUNTIF($I$27:$I$36,"Eternidade Recordada")&gt;0),1,0),"")</f>
        <v/>
      </c>
      <c r="C90" s="3"/>
      <c r="D90" s="85"/>
      <c r="E90" s="85"/>
      <c r="F90" s="85"/>
      <c r="G90" s="85"/>
      <c r="H90" s="85"/>
      <c r="I90" s="85"/>
      <c r="J90" s="85"/>
      <c r="K90" s="85"/>
    </row>
    <row r="91" ht="15.75" customHeight="1">
      <c r="A91" s="15" t="s">
        <v>301</v>
      </c>
      <c r="B91" s="63" t="str">
        <f>IF(($B$54="Sim"),IF((COUNTIF($B$69:$B$71,"Resistência Espiritual")&gt;0),1,0),"")</f>
        <v/>
      </c>
      <c r="C91" s="3"/>
      <c r="D91" s="85"/>
      <c r="E91" s="85"/>
      <c r="F91" s="85"/>
      <c r="G91" s="85"/>
      <c r="H91" s="85"/>
      <c r="I91" s="85"/>
      <c r="J91" s="85"/>
      <c r="K91" s="85"/>
    </row>
    <row r="92" ht="15.75" customHeight="1">
      <c r="A92" s="15" t="s">
        <v>605</v>
      </c>
      <c r="B92" s="63" t="str">
        <f>IF(AND(($B$54="Sim"),$B$57="Predador"),"+1d8 de dano nos ataques dele","")</f>
        <v/>
      </c>
      <c r="C92" s="3"/>
      <c r="D92" s="85"/>
      <c r="E92" s="85"/>
      <c r="F92" s="85"/>
      <c r="G92" s="85"/>
      <c r="H92" s="85"/>
      <c r="I92" s="85"/>
      <c r="J92" s="85"/>
      <c r="K92" s="85"/>
    </row>
    <row r="93" ht="15.75" customHeight="1"/>
    <row r="94" ht="15.75" customHeight="1">
      <c r="A94" s="5" t="s">
        <v>606</v>
      </c>
      <c r="B94" s="2"/>
      <c r="C94" s="2"/>
      <c r="D94" s="2"/>
      <c r="E94" s="2"/>
      <c r="F94" s="2"/>
      <c r="G94" s="2"/>
      <c r="H94" s="2"/>
      <c r="I94" s="2"/>
      <c r="J94" s="2"/>
      <c r="K94" s="2"/>
      <c r="L94" s="3"/>
    </row>
    <row r="95" ht="48.75" customHeight="1">
      <c r="A95" s="15" t="s">
        <v>607</v>
      </c>
      <c r="B95" s="79"/>
      <c r="C95" s="32"/>
      <c r="D95" s="7" t="str">
        <f>"Fúria: +1d8 nos ataques dele e nos seus com ele ativo · Guarda: +Eficiência de Defesa com ele ativo · Sabedoria: Eficácia em um Teste de Perícia, 2 vezes por dia"</f>
        <v>Fúria: +1d8 nos ataques dele e nos seus com ele ativo · Guarda: +Eficiência de Defesa com ele ativo · Sabedoria: Eficácia em um Teste de Perícia, 2 vezes por dia</v>
      </c>
      <c r="E95" s="2"/>
      <c r="F95" s="2"/>
      <c r="G95" s="2"/>
      <c r="H95" s="2"/>
      <c r="I95" s="3"/>
      <c r="K95" s="30" t="str">
        <f>IF($B$95="","",IF(OR($B$95="Fúria",$B$95="Guarda",$B$95="Sabedoria"),"","Escolha uma opção da lista. ")&amp;IF((COUNTIF($I$27:$I$36,"Fragmentos do Eu Perdido")&gt;0),"","Só vale com a Bênção Fragmentos do Eu Perdido num slot liberado."))</f>
        <v/>
      </c>
    </row>
    <row r="96" ht="48.75" customHeight="1">
      <c r="A96" s="15" t="s">
        <v>610</v>
      </c>
      <c r="B96" s="79"/>
      <c r="C96" s="32"/>
      <c r="D96" s="7" t="str">
        <f>"Manifestada: o Memoespírito ganha +1 Distância e +2 dados · Sincronizada: você ganha PV +2 × nível, +1 de Defesa e +1 dado base nos seus ataques"</f>
        <v>Manifestada: o Memoespírito ganha +1 Distância e +2 dados · Sincronizada: você ganha PV +2 × nível, +1 de Defesa e +1 dado base nos seus ataques</v>
      </c>
      <c r="E96" s="2"/>
      <c r="F96" s="2"/>
      <c r="G96" s="2"/>
      <c r="H96" s="2"/>
      <c r="I96" s="3"/>
      <c r="K96" s="30" t="str">
        <f>IF($B$96="","",IF(OR($B$96="Manifestada",$B$96="Sincronizada"),"","Escolha uma opção da lista. ")&amp;IF((COUNTIF($I$27:$I$36,"Avatar da Recordação")&gt;0),"","Só vale com a Bênção Avatar da Recordação num slot liberado."))</f>
        <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8">
    <mergeCell ref="A38:L38"/>
    <mergeCell ref="A53:L53"/>
    <mergeCell ref="D54:H54"/>
    <mergeCell ref="K54:L54"/>
    <mergeCell ref="B55:E55"/>
    <mergeCell ref="B56:C56"/>
    <mergeCell ref="D56:H56"/>
    <mergeCell ref="B57:C57"/>
    <mergeCell ref="D57:H57"/>
    <mergeCell ref="B58:C58"/>
    <mergeCell ref="K59:L59"/>
    <mergeCell ref="K60:L60"/>
    <mergeCell ref="K61:L61"/>
    <mergeCell ref="K62:L62"/>
    <mergeCell ref="D69:H69"/>
    <mergeCell ref="K69:L69"/>
    <mergeCell ref="K63:L63"/>
    <mergeCell ref="K64:L64"/>
    <mergeCell ref="K65:L65"/>
    <mergeCell ref="K66:L66"/>
    <mergeCell ref="B67:C67"/>
    <mergeCell ref="D67:E67"/>
    <mergeCell ref="B69:C69"/>
    <mergeCell ref="B70:C70"/>
    <mergeCell ref="D70:H70"/>
    <mergeCell ref="K70:L70"/>
    <mergeCell ref="B71:C71"/>
    <mergeCell ref="D71:H71"/>
    <mergeCell ref="K71:L71"/>
    <mergeCell ref="E72:H72"/>
    <mergeCell ref="B72:C72"/>
    <mergeCell ref="B73:C73"/>
    <mergeCell ref="E73:H73"/>
    <mergeCell ref="D75:H75"/>
    <mergeCell ref="K75:L75"/>
    <mergeCell ref="D76:H76"/>
    <mergeCell ref="D77:H77"/>
    <mergeCell ref="B78:C78"/>
    <mergeCell ref="A79:L79"/>
    <mergeCell ref="B80:C80"/>
    <mergeCell ref="B81:C81"/>
    <mergeCell ref="B82:C82"/>
    <mergeCell ref="B83:C83"/>
    <mergeCell ref="B84:C84"/>
    <mergeCell ref="B92:C92"/>
    <mergeCell ref="A94:L94"/>
    <mergeCell ref="D95:I95"/>
    <mergeCell ref="K95:L95"/>
    <mergeCell ref="B95:C95"/>
    <mergeCell ref="B96:C96"/>
    <mergeCell ref="D96:I96"/>
    <mergeCell ref="K96:L96"/>
    <mergeCell ref="B85:C85"/>
    <mergeCell ref="B86:C86"/>
    <mergeCell ref="B87:C87"/>
    <mergeCell ref="B88:C88"/>
    <mergeCell ref="B89:C89"/>
    <mergeCell ref="B90:C90"/>
    <mergeCell ref="B91:C91"/>
    <mergeCell ref="A1:L1"/>
    <mergeCell ref="D2:E2"/>
    <mergeCell ref="J2:K2"/>
    <mergeCell ref="A3:L3"/>
    <mergeCell ref="A5:L5"/>
    <mergeCell ref="B6:C6"/>
    <mergeCell ref="B7:H7"/>
    <mergeCell ref="E6:F6"/>
    <mergeCell ref="E8:F8"/>
    <mergeCell ref="G8:H8"/>
    <mergeCell ref="B9:H9"/>
    <mergeCell ref="A11:L11"/>
    <mergeCell ref="A12:H12"/>
    <mergeCell ref="A13:H13"/>
    <mergeCell ref="A21:B21"/>
    <mergeCell ref="A22:B22"/>
    <mergeCell ref="A14:H14"/>
    <mergeCell ref="A15:H15"/>
    <mergeCell ref="A16:H16"/>
    <mergeCell ref="A17:H17"/>
    <mergeCell ref="A18:H18"/>
    <mergeCell ref="A20:L20"/>
    <mergeCell ref="G21:H21"/>
    <mergeCell ref="G22:H22"/>
    <mergeCell ref="A24:L24"/>
    <mergeCell ref="C25:E25"/>
    <mergeCell ref="K26:L26"/>
    <mergeCell ref="K27:L27"/>
    <mergeCell ref="K28:L28"/>
    <mergeCell ref="K29:L29"/>
    <mergeCell ref="K30:L30"/>
    <mergeCell ref="K31:L31"/>
    <mergeCell ref="K32:L32"/>
    <mergeCell ref="K33:L33"/>
    <mergeCell ref="K34:L34"/>
    <mergeCell ref="K35:L35"/>
    <mergeCell ref="K36:L36"/>
    <mergeCell ref="K76:L76"/>
    <mergeCell ref="K77:L77"/>
  </mergeCells>
  <conditionalFormatting sqref="A54:K92">
    <cfRule type="expression" dxfId="1" priority="1">
      <formula>$B$54="Não"</formula>
    </cfRule>
  </conditionalFormatting>
  <conditionalFormatting sqref="K27">
    <cfRule type="expression" dxfId="0" priority="2">
      <formula>LEN(K27)&gt;0</formula>
    </cfRule>
  </conditionalFormatting>
  <conditionalFormatting sqref="K28">
    <cfRule type="expression" dxfId="0" priority="3">
      <formula>LEN(K28)&gt;0</formula>
    </cfRule>
  </conditionalFormatting>
  <conditionalFormatting sqref="K29">
    <cfRule type="expression" dxfId="0" priority="4">
      <formula>LEN(K29)&gt;0</formula>
    </cfRule>
  </conditionalFormatting>
  <conditionalFormatting sqref="K30">
    <cfRule type="expression" dxfId="0" priority="5">
      <formula>LEN(K30)&gt;0</formula>
    </cfRule>
  </conditionalFormatting>
  <conditionalFormatting sqref="K31">
    <cfRule type="expression" dxfId="0" priority="6">
      <formula>LEN(K31)&gt;0</formula>
    </cfRule>
  </conditionalFormatting>
  <conditionalFormatting sqref="K32">
    <cfRule type="expression" dxfId="0" priority="7">
      <formula>LEN(K32)&gt;0</formula>
    </cfRule>
  </conditionalFormatting>
  <conditionalFormatting sqref="K33">
    <cfRule type="expression" dxfId="0" priority="8">
      <formula>LEN(K33)&gt;0</formula>
    </cfRule>
  </conditionalFormatting>
  <conditionalFormatting sqref="K34">
    <cfRule type="expression" dxfId="0" priority="9">
      <formula>LEN(K34)&gt;0</formula>
    </cfRule>
  </conditionalFormatting>
  <conditionalFormatting sqref="K35">
    <cfRule type="expression" dxfId="0" priority="10">
      <formula>LEN(K35)&gt;0</formula>
    </cfRule>
  </conditionalFormatting>
  <conditionalFormatting sqref="K36">
    <cfRule type="expression" dxfId="0" priority="11">
      <formula>LEN(K36)&gt;0</formula>
    </cfRule>
  </conditionalFormatting>
  <conditionalFormatting sqref="K60">
    <cfRule type="expression" dxfId="0" priority="12">
      <formula>LEN(K60)&gt;0</formula>
    </cfRule>
  </conditionalFormatting>
  <conditionalFormatting sqref="K61">
    <cfRule type="expression" dxfId="0" priority="13">
      <formula>LEN(K61)&gt;0</formula>
    </cfRule>
  </conditionalFormatting>
  <conditionalFormatting sqref="K62">
    <cfRule type="expression" dxfId="0" priority="14">
      <formula>LEN(K62)&gt;0</formula>
    </cfRule>
  </conditionalFormatting>
  <conditionalFormatting sqref="K63">
    <cfRule type="expression" dxfId="0" priority="15">
      <formula>LEN(K63)&gt;0</formula>
    </cfRule>
  </conditionalFormatting>
  <conditionalFormatting sqref="K64">
    <cfRule type="expression" dxfId="0" priority="16">
      <formula>LEN(K64)&gt;0</formula>
    </cfRule>
  </conditionalFormatting>
  <conditionalFormatting sqref="K65">
    <cfRule type="expression" dxfId="0" priority="17">
      <formula>LEN(K65)&gt;0</formula>
    </cfRule>
  </conditionalFormatting>
  <conditionalFormatting sqref="K66">
    <cfRule type="expression" dxfId="0" priority="18">
      <formula>LEN(K66)&gt;0</formula>
    </cfRule>
  </conditionalFormatting>
  <conditionalFormatting sqref="K69">
    <cfRule type="expression" dxfId="0" priority="19">
      <formula>LEN(K69)&gt;0</formula>
    </cfRule>
  </conditionalFormatting>
  <conditionalFormatting sqref="K70">
    <cfRule type="expression" dxfId="0" priority="20">
      <formula>LEN(K70)&gt;0</formula>
    </cfRule>
  </conditionalFormatting>
  <conditionalFormatting sqref="K71">
    <cfRule type="expression" dxfId="0" priority="21">
      <formula>LEN(K71)&gt;0</formula>
    </cfRule>
  </conditionalFormatting>
  <conditionalFormatting sqref="K75">
    <cfRule type="expression" dxfId="0" priority="22">
      <formula>LEN(K75)&gt;0</formula>
    </cfRule>
  </conditionalFormatting>
  <conditionalFormatting sqref="K76">
    <cfRule type="expression" dxfId="0" priority="23">
      <formula>LEN(K76)&gt;0</formula>
    </cfRule>
  </conditionalFormatting>
  <conditionalFormatting sqref="K77">
    <cfRule type="expression" dxfId="0" priority="24">
      <formula>LEN(K77)&gt;0</formula>
    </cfRule>
  </conditionalFormatting>
  <conditionalFormatting sqref="K54">
    <cfRule type="expression" dxfId="0" priority="25">
      <formula>LEN(K54)&gt;0</formula>
    </cfRule>
  </conditionalFormatting>
  <conditionalFormatting sqref="K95">
    <cfRule type="expression" dxfId="0" priority="26">
      <formula>LEN(K95)&gt;0</formula>
    </cfRule>
  </conditionalFormatting>
  <conditionalFormatting sqref="K96">
    <cfRule type="expression" dxfId="0" priority="27">
      <formula>LEN(K96)&gt;0</formula>
    </cfRule>
  </conditionalFormatting>
  <dataValidations>
    <dataValidation type="list" allowBlank="1" showInputMessage="1" prompt="Fora da lista - Bênção do slot 8: escolha um valor da lista. A ficha pode não reconhecer outro valor." sqref="C34">
      <formula1>$N$27:$N$38</formula1>
    </dataValidation>
    <dataValidation type="list" allowBlank="1" showInputMessage="1" prompt="Fora da lista - Bônus menor 1: escolha um valor da lista. A ficha pode não reconhecer outro valor." sqref="B69">
      <formula1>Dados!$AE$6:$AE$11</formula1>
    </dataValidation>
    <dataValidation type="list" allowBlank="1" showInputMessage="1" prompt="Fora da lista - Bênção do slot 4: escolha um valor da lista. A ficha pode não reconhecer outro valor." sqref="C30">
      <formula1>$N$27:$N$38</formula1>
    </dataValidation>
    <dataValidation type="list" allowBlank="1" showInputMessage="1" prompt="Fora da lista - Bônus menor 3: escolha um valor da lista. A ficha pode não reconhecer outro valor." sqref="B71">
      <formula1>Dados!$AE$6:$AE$11</formula1>
    </dataValidation>
    <dataValidation type="list" allowBlank="1" showInputMessage="1" prompt="Fora da lista - Atributo de ataque: escolha um valor da lista. A ficha pode não reconhecer outro valor." sqref="B67">
      <formula1>Dados!$Q$6:$Q$11</formula1>
    </dataValidation>
    <dataValidation type="list" allowBlank="1" showInputMessage="1" prompt="Fora da lista - Avatar da Recordação: Forma escolhida: escolha um valor da lista. A ficha pode não reconhecer outro valor." sqref="B96">
      <formula1>"Manifestada,Sincronizada"</formula1>
    </dataValidation>
    <dataValidation type="decimal" allowBlank="1" showInputMessage="1" prompt="Valor fora da faixa - Pontos em Discernimento: use um número inteiro de 0 a 5." sqref="B64">
      <formula1>0.0</formula1>
      <formula2>5.0</formula2>
    </dataValidation>
    <dataValidation type="list" allowBlank="1" showInputMessage="1" prompt="Fora da lista - Bônus menor 2: escolha um valor da lista. A ficha pode não reconhecer outro valor." sqref="B70">
      <formula1>Dados!$AE$6:$AE$11</formula1>
    </dataValidation>
    <dataValidation type="decimal" allowBlank="1" showInputMessage="1" prompt="Valor fora da faixa - Pontos em Agilidade: use um número inteiro de 0 a 5." sqref="B61">
      <formula1>0.0</formula1>
      <formula2>5.0</formula2>
    </dataValidation>
    <dataValidation type="decimal" allowBlank="1" showInputMessage="1" prompt="Valor fora da faixa - Pontos em Poder: use um número inteiro de 0 a 5." sqref="B60">
      <formula1>0.0</formula1>
      <formula2>5.0</formula2>
    </dataValidation>
    <dataValidation type="list" allowBlank="1" showInputMessage="1" prompt="Fora da lista - Bênção do slot 9: escolha um valor da lista. A ficha pode não reconhecer outro valor." sqref="C35">
      <formula1>$N$27:$N$38</formula1>
    </dataValidation>
    <dataValidation type="list" allowBlank="1" showInputMessage="1" prompt="Fora da lista - Função (11.3 Passo 3): escolha um valor da lista. A ficha pode não reconhecer outro valor." sqref="B57">
      <formula1>Dados!$AD$6:$AD$9</formula1>
    </dataValidation>
    <dataValidation type="list" allowBlank="1" showInputMessage="1" prompt="Fora da lista - Bênção do slot 5: escolha um valor da lista. A ficha pode não reconhecer outro valor." sqref="C31">
      <formula1>$N$27:$N$38</formula1>
    </dataValidation>
    <dataValidation type="list" allowBlank="1" showInputMessage="1" prompt="Fora da lista - Bênção do slot 1: escolha um valor da lista. A ficha pode não reconhecer outro valor." sqref="C27">
      <formula1>$N$27:$N$38</formula1>
    </dataValidation>
    <dataValidation type="list" allowBlank="1" showInputMessage="1" prompt="Fora da lista - Evolução do nível 20: escolha um valor da lista. A ficha pode não reconhecer outro valor." sqref="C77">
      <formula1>Dados!$AF$6:$AF$8</formula1>
    </dataValidation>
    <dataValidation type="list" allowBlank="1" showInputMessage="1" prompt="Fora da lista - Conceito (11.3 Passo 2): escolha um valor da lista. A ficha pode não reconhecer outro valor." sqref="B56">
      <formula1>Dados!$AC$6:$AC$10</formula1>
    </dataValidation>
    <dataValidation type="list" allowBlank="1" showInputMessage="1" prompt="Fora da lista - Fragmentos do Eu Perdido: Memória escolhida: escolha um valor da lista. A ficha pode não reconhecer outro valor." sqref="B95">
      <formula1>"Fúria,Guarda,Sabedoria"</formula1>
    </dataValidation>
    <dataValidation type="list" allowBlank="1" showInputMessage="1" prompt="Fora da lista - Elemento dele: escolha um valor da lista. A ficha pode não reconhecer outro valor." sqref="B58">
      <formula1>Dados!$R$6:$R$12</formula1>
    </dataValidation>
    <dataValidation type="list" allowBlank="1" showInputMessage="1" prompt="Fora da lista - Bênção do slot 6: escolha um valor da lista. A ficha pode não reconhecer outro valor." sqref="C32">
      <formula1>$N$27:$N$38</formula1>
    </dataValidation>
    <dataValidation type="list" allowBlank="1" showInputMessage="1" prompt="Fora da lista - Evolução do nível 8: escolha um valor da lista. A ficha pode não reconhecer outro valor." sqref="C75">
      <formula1>Dados!$AF$6:$AF$8</formula1>
    </dataValidation>
    <dataValidation type="decimal" allowBlank="1" showInputMessage="1" prompt="Valor fora da faixa - Pontos em Vigor: use um número inteiro de 0 a 5." sqref="B62">
      <formula1>0.0</formula1>
      <formula2>5.0</formula2>
    </dataValidation>
    <dataValidation type="list" allowBlank="1" showInputMessage="1" prompt="Fora da lista - Bênção do slot 2: escolha um valor da lista. A ficha pode não reconhecer outro valor." sqref="C28">
      <formula1>$N$27:$N$38</formula1>
    </dataValidation>
    <dataValidation type="decimal" allowBlank="1" showInputMessage="1" prompt="Valor fora da faixa - Pontos em Sincronia: use um número inteiro de 0 a 5." sqref="B63">
      <formula1>0.0</formula1>
      <formula2>5.0</formula2>
    </dataValidation>
    <dataValidation type="list" allowBlank="1" showInputMessage="1" prompt="Fora da lista - Bênção do slot 7: escolha um valor da lista. A ficha pode não reconhecer outro valor." sqref="C33">
      <formula1>$N$27:$N$38</formula1>
    </dataValidation>
    <dataValidation type="list" allowBlank="1" showInputMessage="1" prompt="Fora da lista - Memória Desperta: escolha um valor da lista. A ficha pode não reconhecer outro valor." sqref="B78">
      <formula1>"Defesa,Velocidade"</formula1>
    </dataValidation>
    <dataValidation type="list" allowBlank="1" showInputMessage="1" prompt="Fora da lista - Bênção do slot 3: escolha um valor da lista. A ficha pode não reconhecer outro valor." sqref="C29">
      <formula1>$N$27:$N$38</formula1>
    </dataValidation>
    <dataValidation type="list" allowBlank="1" showInputMessage="1" prompt="Fora da lista - Evolução do nível 14: escolha um valor da lista. A ficha pode não reconhecer outro valor." sqref="C76">
      <formula1>Dados!$AF$6:$AF$8</formula1>
    </dataValidation>
    <dataValidation type="decimal" allowBlank="1" showInputMessage="1" prompt="Valor fora da faixa - Pontos em Presença: use um número inteiro de 0 a 5." sqref="B65">
      <formula1>0.0</formula1>
      <formula2>5.0</formula2>
    </dataValidation>
    <dataValidation type="list" allowBlank="1" showInputMessage="1" prompt="Fora da lista - Bênção do slot 10: escolha um valor da lista. A ficha pode não reconhecer outro valor." sqref="C36">
      <formula1>$N$27:$N$38</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8.0"/>
    <col customWidth="1" min="3" max="3" width="16.0"/>
    <col customWidth="1" min="4" max="4" width="13.0"/>
    <col customWidth="1" min="5" max="5" width="14.0"/>
    <col customWidth="1" min="6" max="6" width="20.0"/>
    <col customWidth="1" min="7" max="7" width="11.0"/>
    <col customWidth="1" min="8" max="8" width="10.0"/>
    <col customWidth="1" min="9" max="9" width="11.75"/>
    <col customWidth="1" min="10" max="10" width="13.0"/>
    <col customWidth="1" min="11" max="11" width="12.0"/>
    <col customWidth="1" min="12" max="12" width="27.13"/>
    <col customWidth="1" hidden="1" min="13" max="15" width="2.0"/>
    <col customWidth="1" hidden="1" min="16" max="16" width="8.63"/>
    <col customWidth="1" hidden="1" min="17" max="17" width="4.75"/>
    <col customWidth="1" hidden="1" min="18" max="18" width="3.38"/>
    <col customWidth="1" hidden="1" min="19" max="19" width="5.5"/>
    <col customWidth="1" hidden="1" min="20" max="20" width="3.38"/>
    <col customWidth="1" hidden="1" min="21" max="21" width="2.0"/>
    <col customWidth="1" hidden="1" min="22" max="22" width="9.25"/>
    <col customWidth="1" hidden="1" min="23" max="23" width="7.75"/>
    <col customWidth="1" hidden="1" min="24" max="24" width="2.0"/>
    <col customWidth="1" hidden="1" min="25" max="25" width="11.75"/>
    <col customWidth="1" hidden="1" min="26" max="26" width="2.0"/>
    <col customWidth="1" hidden="1" min="27" max="27" width="8.0"/>
  </cols>
  <sheetData>
    <row r="1" ht="24.0" customHeight="1">
      <c r="A1" s="1" t="s">
        <v>374</v>
      </c>
      <c r="B1" s="2"/>
      <c r="C1" s="2"/>
      <c r="D1" s="2"/>
      <c r="E1" s="2"/>
      <c r="F1" s="2"/>
      <c r="G1" s="2"/>
      <c r="H1" s="2"/>
      <c r="I1" s="2"/>
      <c r="J1" s="2"/>
      <c r="K1" s="2"/>
      <c r="L1" s="3"/>
    </row>
    <row r="2" ht="36.75" customHeight="1">
      <c r="A2" s="4" t="s">
        <v>3</v>
      </c>
      <c r="B2" s="6" t="s">
        <v>5</v>
      </c>
      <c r="C2" s="9" t="s">
        <v>13</v>
      </c>
      <c r="D2" s="10" t="s">
        <v>18</v>
      </c>
      <c r="E2" s="13" t="s">
        <v>19</v>
      </c>
      <c r="F2" s="14" t="s">
        <v>21</v>
      </c>
      <c r="G2" s="15" t="s">
        <v>22</v>
      </c>
      <c r="H2" s="21" t="s">
        <v>23</v>
      </c>
      <c r="I2" s="3"/>
      <c r="J2" s="17" t="s">
        <v>24</v>
      </c>
    </row>
    <row r="3">
      <c r="A3" s="18" t="s">
        <v>380</v>
      </c>
    </row>
    <row r="5">
      <c r="A5" s="5" t="s">
        <v>381</v>
      </c>
      <c r="B5" s="2"/>
      <c r="C5" s="2"/>
      <c r="D5" s="2"/>
      <c r="E5" s="2"/>
      <c r="F5" s="2"/>
      <c r="G5" s="2"/>
      <c r="H5" s="2"/>
      <c r="I5" s="2"/>
      <c r="J5" s="2"/>
      <c r="K5" s="2"/>
      <c r="L5" s="3"/>
    </row>
    <row r="6" ht="36.75" customHeight="1">
      <c r="A6" s="14" t="s">
        <v>382</v>
      </c>
      <c r="B6" s="14" t="s">
        <v>17</v>
      </c>
      <c r="C6" s="14" t="s">
        <v>383</v>
      </c>
      <c r="D6" s="14" t="s">
        <v>386</v>
      </c>
      <c r="E6" s="14" t="s">
        <v>387</v>
      </c>
      <c r="F6" s="14" t="s">
        <v>388</v>
      </c>
      <c r="G6" s="14" t="s">
        <v>389</v>
      </c>
      <c r="H6" s="14" t="s">
        <v>390</v>
      </c>
      <c r="I6" s="14" t="s">
        <v>391</v>
      </c>
      <c r="J6" s="14" t="s">
        <v>393</v>
      </c>
      <c r="K6" s="14" t="s">
        <v>67</v>
      </c>
      <c r="L6" s="24"/>
    </row>
    <row r="7" ht="36.75" customHeight="1">
      <c r="A7" s="15" t="s">
        <v>395</v>
      </c>
      <c r="B7" s="9" t="str">
        <f>IF(LEN('Criação'!$B$107)=0,"—",""&amp;'Criação'!$B$107)</f>
        <v>—</v>
      </c>
      <c r="C7" s="9" t="str">
        <f>IF(LEN('Criação'!$B$108)=0,"—",""&amp;'Criação'!$B$108)</f>
        <v>—</v>
      </c>
      <c r="D7" s="9" t="str">
        <f>IF(LEN('Criação'!$B$109)=0,"—",""&amp;'Criação'!$B$109)</f>
        <v>—</v>
      </c>
      <c r="E7" s="9" t="str">
        <f>IF(LEN('Criação'!$B$110)=0,"—",""&amp;'Criação'!$B$110)</f>
        <v>—</v>
      </c>
      <c r="F7" s="41" t="str">
        <f>IF(LEN('Criação'!$B$111)=0,"Nenhuma",""&amp;'Criação'!$B$111)</f>
        <v>Nenhuma</v>
      </c>
      <c r="G7" s="41">
        <f>'Criação'!$B$112</f>
        <v>0</v>
      </c>
      <c r="H7" s="41" t="str">
        <f>IF('Criação'!$B$108="","",IFERROR(VLOOKUP('Criação'!$B$108,Dados!$A$457:$J$462,2,FALSE),""))</f>
        <v/>
      </c>
      <c r="I7" s="41" t="str">
        <f>'Criação'!$D$109</f>
        <v/>
      </c>
      <c r="J7" s="41" t="str">
        <f>IF('Criação'!$B$108="","",'Criação'!$D$110)</f>
        <v/>
      </c>
    </row>
    <row r="8" ht="93.75" customHeight="1">
      <c r="A8" s="46" t="s">
        <v>399</v>
      </c>
      <c r="B8" s="61"/>
      <c r="C8" s="50"/>
      <c r="D8" s="50"/>
      <c r="E8" s="50"/>
      <c r="F8" s="50"/>
      <c r="G8" s="47">
        <f>IF($C$8="",0,IF($F$8="Dissimulada",0.5,IFERROR(VLOOKUP($C$8,Dados!$A$457:$J$462,8,FALSE),0)))</f>
        <v>0</v>
      </c>
      <c r="H8" s="47" t="str">
        <f>IF($C$8="","",IFERROR(VLOOKUP($C$8,Dados!$A$457:$J$462,2,FALSE),""))</f>
        <v/>
      </c>
      <c r="I8" s="16" t="str">
        <f>IF($C$8="","",IF($C$8="Média",IF(OR($D$8="Poder",$D$8="Agilidade"),$D$8,"Poder"),IFERROR(VLOOKUP($C$8,Dados!$A$457:$J$462,6,FALSE),"")))</f>
        <v/>
      </c>
      <c r="J8" s="47" t="str">
        <f>IF($C$8="","",IF($E$8="","Físico",$E$8))</f>
        <v/>
      </c>
      <c r="K8" s="43" t="str">
        <f>IF(AND($C$8&lt;&gt;"",COUNTIF(Dados!$T$6:$T$11,$C$8)=0),"Categoria fora da lista do capítulo 24. ","")&amp;IF(AND($D$8&lt;&gt;"",$C$8&lt;&gt;"Média"),"O atributo só se escolhe na arma Média. ","")&amp;IF(AND($C$8="Média",$D$8=""),"Arma Média: escolha Poder ou Agilidade (contando Poder). ","")&amp;IF(AND($E$8&lt;&gt;"",COUNTIF(Dados!$R$6:$R$12,$E$8)=0),"Elemento fora da lista do capítulo 20. ","")&amp;IF(AND($F$8&lt;&gt;"",COUNTIF(Dados!$V$6:$V$11,$F$8)=0),"Só uma propriedade especial por arma (24.2): escolha uma da lista. ","")&amp;IF(AND($C$8="",OR(LEN($B$8)&gt;0,$D$8&lt;&gt;"",$E$8&lt;&gt;"",$F$8&lt;&gt;"")),"Escolha a categoria da arma secundária.","")</f>
        <v/>
      </c>
      <c r="L8" s="3"/>
    </row>
    <row r="9" ht="25.5" customHeight="1">
      <c r="A9" s="15" t="s">
        <v>417</v>
      </c>
      <c r="B9" s="41" t="str">
        <f>IF(LEN('Criação'!$B$91)=0,"Sem armadura",""&amp;'Criação'!$B$91)</f>
        <v>Sem armadura</v>
      </c>
      <c r="C9" s="41" t="str">
        <f>"Defesa +"&amp;'Criação'!$B$93</f>
        <v>Defesa +0</v>
      </c>
      <c r="D9" s="41" t="str">
        <f>"RD "&amp;'Criação'!$D$93</f>
        <v>RD 0</v>
      </c>
      <c r="E9" s="41" t="str">
        <f>"Velocidade "&amp;IF('Criação'!$C$93&gt;=0,"+","")&amp;'Criação'!$C$93</f>
        <v>Velocidade +0</v>
      </c>
      <c r="F9" s="41" t="str">
        <f>"Esquiva: "&amp;'Criação'!$F$93</f>
        <v>Esquiva: Permitida</v>
      </c>
      <c r="G9" s="41">
        <f>IFERROR(VLOOKUP('Criação'!$B$91,Dados!$A$474:$I$476,5,FALSE),0)</f>
        <v>0</v>
      </c>
    </row>
    <row r="11">
      <c r="A11" s="5" t="s">
        <v>429</v>
      </c>
      <c r="B11" s="2"/>
      <c r="C11" s="2"/>
      <c r="D11" s="2"/>
      <c r="E11" s="2"/>
      <c r="F11" s="2"/>
      <c r="G11" s="2"/>
      <c r="H11" s="2"/>
      <c r="I11" s="2"/>
      <c r="J11" s="2"/>
      <c r="K11" s="2"/>
      <c r="L11" s="3"/>
    </row>
    <row r="12" ht="39.75" customHeight="1">
      <c r="A12" s="14" t="s">
        <v>382</v>
      </c>
      <c r="B12" s="14" t="s">
        <v>430</v>
      </c>
      <c r="C12" s="14" t="s">
        <v>272</v>
      </c>
      <c r="D12" s="14" t="s">
        <v>273</v>
      </c>
      <c r="E12" s="14" t="s">
        <v>431</v>
      </c>
      <c r="F12" s="14" t="s">
        <v>432</v>
      </c>
      <c r="G12" s="14" t="s">
        <v>433</v>
      </c>
      <c r="H12" s="14" t="s">
        <v>273</v>
      </c>
      <c r="I12" s="14" t="s">
        <v>276</v>
      </c>
      <c r="J12" s="14" t="s">
        <v>337</v>
      </c>
      <c r="K12" s="14" t="s">
        <v>216</v>
      </c>
      <c r="L12" s="14" t="s">
        <v>106</v>
      </c>
      <c r="P12" s="14" t="s">
        <v>222</v>
      </c>
      <c r="Q12" s="14" t="s">
        <v>223</v>
      </c>
      <c r="R12" s="14" t="s">
        <v>434</v>
      </c>
      <c r="S12" s="14" t="s">
        <v>435</v>
      </c>
      <c r="T12" s="14" t="s">
        <v>436</v>
      </c>
    </row>
    <row r="13">
      <c r="A13" s="26" t="s">
        <v>437</v>
      </c>
      <c r="B13" s="27" t="str">
        <f>IF('Criação'!$B$108="","—","d20"&amp;IF($T$13&gt;=0,"+","")&amp;$T$13)</f>
        <v>—</v>
      </c>
      <c r="C13" s="27" t="str">
        <f>IF('Criação'!$B$108="","",IF($P$13&lt;=0,""&amp;($R$13+$S$13),$P$13&amp;"d"&amp;$Q$13&amp;IF(($R$13+$S$13)&gt;0,"+"&amp;($R$13+$S$13),IF(($R$13+$S$13)&lt;0,""&amp;($R$13+$S$13),""))))</f>
        <v/>
      </c>
      <c r="D13" s="27" t="str">
        <f>IF('Criação'!$B$108="","",INT($P$13*($Q$13+1)/2)+($R$13+$S$13))</f>
        <v/>
      </c>
      <c r="E13" s="41" t="str">
        <f>IF('Criação'!$B$108="","",$R$13)</f>
        <v/>
      </c>
      <c r="F13" s="41" t="str">
        <f>IF('Criação'!$B$108="","",$S$13)</f>
        <v/>
      </c>
      <c r="G13" s="41" t="str">
        <f>IF('Criação'!$B$108="","",IF(($P$13+2)&lt;=0,""&amp;($R$13+$S$13),($P$13+2)&amp;"d"&amp;$Q$13&amp;IF(($R$13+$S$13)&gt;0,"+"&amp;($R$13+$S$13),IF(($R$13+$S$13)&lt;0,""&amp;($R$13+$S$13),""))))</f>
        <v/>
      </c>
      <c r="H13" s="41" t="str">
        <f>IF('Criação'!$B$108="","",INT(($P$13+2)*($Q$13+1)/2)+($R$13+$S$13))</f>
        <v/>
      </c>
      <c r="I13" s="41" t="str">
        <f>IF('Criação'!$B$108="","",IF((COUNTIF(Caminho!$I$27:$I$36,"Olho de Lan")&gt;0),"19-20","20"))</f>
        <v/>
      </c>
      <c r="J13" s="41" t="str">
        <f>IF('Criação'!$B$108="","",1+IF('Criação'!$B$111="Peso de impacto",1,0))</f>
        <v/>
      </c>
      <c r="K13" s="41" t="str">
        <f t="array" ref="K13">IF('Criação'!$B$108="","",IFERROR(INDEX(Dados!$X$6:$X$10,MIN(5,MATCH(VLOOKUP('Criação'!$B$108,Dados!$A$457:$J$462,5,FALSE),Dados!$X$6:$X$10,0)+IF('Criação'!$B$111="Alcance estendido",1,0))),""))</f>
        <v/>
      </c>
      <c r="L13" s="41" t="str">
        <f>IF('Criação'!$B$108="","",'Criação'!$D$110)</f>
        <v/>
      </c>
      <c r="P13" s="35">
        <f>IF('Criação'!$B$108="",0,'Criação'!$D$16+IFERROR(VLOOKUP('Criação'!$B$108,Dados!$A$457:$J$462,3,FALSE),1)-1+IF(AND((COUNTIF(Caminho!$I$27:$I$36,"Avatar da Recordação")&gt;0),Caminho!$B$96="Sincronizada"),1,0))</f>
        <v>0</v>
      </c>
      <c r="Q13" s="35">
        <f>IFERROR(VLOOKUP('Criação'!$B$108,Dados!$A$457:$J$462,4,FALSE),0)</f>
        <v>0</v>
      </c>
      <c r="R13" s="35">
        <f t="array" ref="R13">IFERROR(INDEX('Criação'!$F$44:$F$49,MATCH('Criação'!$D$109,'Criação'!$A$44:$A$49,0)),0)</f>
        <v>0</v>
      </c>
      <c r="S13" s="35">
        <f t="shared" ref="S13:S14" si="1">$G$37+$D$31+$G$48</f>
        <v>0</v>
      </c>
      <c r="T13" s="35" t="str">
        <f t="array" ref="T13">IFERROR(INDEX('Criação'!$F$44:$F$49,MATCH('Criação'!$D$109,'Criação'!$A$44:$A$49,0)),0)+'Criação'!$C$14+'Criação'!$G$14+'Criação'!$B$124</f>
        <v>#ERROR!</v>
      </c>
    </row>
    <row r="14">
      <c r="A14" s="40" t="s">
        <v>441</v>
      </c>
      <c r="B14" s="38" t="str">
        <f>IF($C$8="","—","d20"&amp;IF($T$14&gt;=0,"+","")&amp;$T$14)</f>
        <v>—</v>
      </c>
      <c r="C14" s="38" t="str">
        <f>IF($C$8="","",IF($P$14&lt;=0,""&amp;($R$14+$S$14),$P$14&amp;"d"&amp;$Q$14&amp;IF(($R$14+$S$14)&gt;0,"+"&amp;($R$14+$S$14),IF(($R$14+$S$14)&lt;0,""&amp;($R$14+$S$14),""))))</f>
        <v/>
      </c>
      <c r="D14" s="38" t="str">
        <f>IF($C$8="","",INT($P$14*($Q$14+1)/2)+($R$14+$S$14))</f>
        <v/>
      </c>
      <c r="E14" s="47" t="str">
        <f>IF($C$8="","",$R$14)</f>
        <v/>
      </c>
      <c r="F14" s="47" t="str">
        <f>IF($C$8="","",$S$14)</f>
        <v/>
      </c>
      <c r="G14" s="47" t="str">
        <f>IF($C$8="","",IF(($P$14+2)&lt;=0,""&amp;($R$14+$S$14),($P$14+2)&amp;"d"&amp;$Q$14&amp;IF(($R$14+$S$14)&gt;0,"+"&amp;($R$14+$S$14),IF(($R$14+$S$14)&lt;0,""&amp;($R$14+$S$14),""))))</f>
        <v/>
      </c>
      <c r="H14" s="47" t="str">
        <f>IF($C$8="","",INT(($P$14+2)*($Q$14+1)/2)+($R$14+$S$14))</f>
        <v/>
      </c>
      <c r="I14" s="47" t="str">
        <f>IF($C$8="","",IF((COUNTIF(Caminho!$I$27:$I$36,"Olho de Lan")&gt;0),"19-20","20"))</f>
        <v/>
      </c>
      <c r="J14" s="47" t="str">
        <f>IF($C$8="","",1+IF($F$8="Peso de impacto",1,0))</f>
        <v/>
      </c>
      <c r="K14" s="47" t="str">
        <f t="array" ref="K14">IF($C$8="","",IFERROR(INDEX(Dados!$X$6:$X$10,MIN(5,MATCH(VLOOKUP($C$8,Dados!$A$457:$J$462,5,FALSE),Dados!$X$6:$X$10,0)+IF($F$8="Alcance estendido",1,0))),""))</f>
        <v/>
      </c>
      <c r="L14" s="47" t="str">
        <f>IF($C$8="","",$J$8)</f>
        <v/>
      </c>
      <c r="M14" s="49"/>
      <c r="N14" s="49"/>
      <c r="O14" s="49"/>
      <c r="P14" s="35">
        <f>IF($C$8="",0,'Criação'!$D$16+IFERROR(VLOOKUP($C$8,Dados!$A$457:$J$462,3,FALSE),1)-1+IF(AND((COUNTIF(Caminho!$I$27:$I$36,"Avatar da Recordação")&gt;0),Caminho!$B$96="Sincronizada"),1,0))</f>
        <v>0</v>
      </c>
      <c r="Q14" s="35">
        <f>IFERROR(VLOOKUP($C$8,Dados!$A$457:$J$462,4,FALSE),0)</f>
        <v>0</v>
      </c>
      <c r="R14" s="35">
        <f t="array" ref="R14">IFERROR(INDEX('Criação'!$F$44:$F$49,MATCH($I$8,'Criação'!$A$44:$A$49,0)),0)</f>
        <v>0</v>
      </c>
      <c r="S14" s="35">
        <f t="shared" si="1"/>
        <v>0</v>
      </c>
      <c r="T14" s="35" t="str">
        <f t="array" ref="T14">IFERROR(INDEX('Criação'!$F$44:$F$49,MATCH($I$8,'Criação'!$A$44:$A$49,0)),0)+'Criação'!$C$14+'Criação'!$G$14+'Criação'!$B$124</f>
        <v>#ERROR!</v>
      </c>
    </row>
    <row r="15">
      <c r="A15" s="25" t="s">
        <v>455</v>
      </c>
      <c r="L15" s="59"/>
    </row>
    <row r="17">
      <c r="A17" s="5" t="s">
        <v>456</v>
      </c>
      <c r="B17" s="2"/>
      <c r="C17" s="2"/>
      <c r="D17" s="2"/>
      <c r="E17" s="2"/>
      <c r="F17" s="2"/>
      <c r="G17" s="2"/>
      <c r="H17" s="2"/>
      <c r="I17" s="2"/>
      <c r="J17" s="2"/>
      <c r="K17" s="2"/>
      <c r="L17" s="3"/>
    </row>
    <row r="18" ht="25.5" customHeight="1">
      <c r="A18" s="15" t="s">
        <v>457</v>
      </c>
      <c r="B18" s="51"/>
      <c r="C18" s="29"/>
      <c r="D18" s="29"/>
      <c r="E18" s="29"/>
      <c r="F18" s="32"/>
    </row>
    <row r="19" ht="48.0" customHeight="1">
      <c r="A19" s="15" t="s">
        <v>458</v>
      </c>
      <c r="B19" s="34"/>
      <c r="C19" s="37" t="str">
        <f t="array" ref="C19">"Máximo na sua faixa: Nível "&amp;'Criação'!$B$14&amp;IF($P$28&gt;0," · Bônus Maior da tabela: "&amp;INDEX(Dados!$C$522:$C$526,$P$28),"")</f>
        <v>Máximo na sua faixa: Nível 1</v>
      </c>
      <c r="D19" s="2"/>
      <c r="E19" s="2"/>
      <c r="F19" s="2"/>
      <c r="G19" s="2"/>
      <c r="H19" s="2"/>
      <c r="I19" s="2"/>
      <c r="J19" s="2"/>
      <c r="K19" s="3"/>
      <c r="L19" s="30" t="str">
        <f>IF(LEN($B$19)=0,"",IF(ISNUMBER($B$19),IF(OR($B$19&lt;1,$B$19&gt;5),"O Nível do Cone vai de 1 a 5. ","")&amp;IF($P$28&gt;'Criação'!$B$14,"Cone de Nível "&amp;$P$28&amp;" acima do máximo da sua faixa (Nível "&amp;'Criação'!$B$14&amp;").",""),"Nível precisa ser um número de 1 a 5."))</f>
        <v/>
      </c>
    </row>
    <row r="20" ht="93.0" customHeight="1">
      <c r="A20" s="15" t="s">
        <v>459</v>
      </c>
      <c r="B20" s="79"/>
      <c r="C20" s="32"/>
      <c r="D20" s="37" t="str">
        <f>IF($B$20="","Sem alvo, o bônus numérico não conta (o +PV dos Níveis 2 e 4 conta sempre)","O bônus vai para: "&amp;$B$20&amp;IF(LEN($B$21)&gt;0," ("&amp;$B$21&amp;")",""))</f>
        <v>Sem alvo, o bônus numérico não conta (o +PV dos Níveis 2 e 4 conta sempre)</v>
      </c>
      <c r="E20" s="2"/>
      <c r="F20" s="2"/>
      <c r="G20" s="2"/>
      <c r="H20" s="2"/>
      <c r="I20" s="2"/>
      <c r="J20" s="2"/>
      <c r="K20" s="3"/>
      <c r="L20" s="30" t="str">
        <f>IF($B$20="","",IF(COUNTIF(Dados!$AM$6:$AM$15,$B$20)=0,"Alvo fora da lista de 25.2. ",IF(AND(OR($B$20="Um Teste de Resistência",$B$20="Uma Perícia"),LEN($B$21)=0),"Escolha qual "&amp;IF($B$20="Um Teste de Resistência","Teste de Resistência","Perícia")&amp;" recebe o bônus. ",""))&amp;IF($P$28=0,"Preencha o Nível do Cone para o bônus contar.",""))</f>
        <v/>
      </c>
      <c r="Y20" s="25" t="s">
        <v>461</v>
      </c>
    </row>
    <row r="21" ht="48.0" customHeight="1">
      <c r="A21" s="15" t="s">
        <v>462</v>
      </c>
      <c r="B21" s="79"/>
      <c r="C21" s="32"/>
      <c r="K21" s="30" t="str">
        <f>IF(LEN($B$21)=0,"",IF(AND($B$20&lt;&gt;"Um Teste de Resistência",$B$20&lt;&gt;"Uma Perícia"),"Só vale com o alvo Um Teste de Resistência ou Uma Perícia.",IF(COUNTIF($Y$21:$Y$38,$B$21)=0,"Escolha um nome da lista.","")))</f>
        <v/>
      </c>
      <c r="Y21" s="35" t="str">
        <f t="array" ref="Y21">IF($B$20="Um Teste de Resistência",IFERROR(INDEX(Dados!$AA$6:$AA$11,1),""),IF($B$20="Uma Perícia",IFERROR(INDEX(Dados!$Z$6:$Z$23,1),""),""))</f>
        <v/>
      </c>
    </row>
    <row r="22" ht="36.75" customHeight="1">
      <c r="A22" s="15" t="s">
        <v>464</v>
      </c>
      <c r="B22" s="34"/>
      <c r="C22" s="37" t="str">
        <f>IF($P$28=0,"",IF($Q$28="e","No Nível "&amp;$P$28&amp;" o Cone dá os dois: +"&amp;$S$28&amp;" e +"&amp;$T$28&amp;" PV",IF($B$22="PV","Vale o PV: +"&amp;$T$28&amp;" PV","Vale o numérico: +"&amp;$S$28&amp;IF($B$22=""," (vazio = Numérico)",""))))</f>
        <v/>
      </c>
      <c r="D22" s="2"/>
      <c r="E22" s="2"/>
      <c r="F22" s="2"/>
      <c r="G22" s="2"/>
      <c r="H22" s="2"/>
      <c r="I22" s="2"/>
      <c r="J22" s="2"/>
      <c r="K22" s="3"/>
      <c r="L22" s="30" t="str">
        <f>IF($B$22="","",IF(COUNTIF(Dados!$AN$6:$AN$7,$B$22)=0,"Escolha Numérico ou PV.",IF($Q$28="e","No Nível "&amp;$P$28&amp;" o Cone dá os dois: a escolha não se aplica.","")))</f>
        <v/>
      </c>
      <c r="Y22" s="35" t="str">
        <f t="array" ref="Y22">IF($B$20="Um Teste de Resistência",IFERROR(INDEX(Dados!$AA$6:$AA$11,2),""),IF($B$20="Uma Perícia",IFERROR(INDEX(Dados!$Z$6:$Z$23,2),""),""))</f>
        <v/>
      </c>
    </row>
    <row r="23" ht="93.75" customHeight="1">
      <c r="A23" s="15" t="s">
        <v>467</v>
      </c>
      <c r="B23" s="34"/>
      <c r="C23" s="37" t="str">
        <f t="array" ref="C23">"Cada uma: +1 e +10 PV, até o numérico chegar a +3 · no máximo 1 por faixa alcançada ("&amp;'Criação'!$B$14&amp;")"&amp;IF($P$28&gt;0," · este Cone aceita até "&amp;(3-INDEX(Dados!$D$522:$D$526,$P$28)),"")&amp;" (25.2)"</f>
        <v>Cada uma: +1 e +10 PV, até o numérico chegar a +3 · no máximo 1 por faixa alcançada (1) (25.2)</v>
      </c>
      <c r="D23" s="2"/>
      <c r="E23" s="2"/>
      <c r="F23" s="2"/>
      <c r="G23" s="2"/>
      <c r="H23" s="2"/>
      <c r="I23" s="2"/>
      <c r="J23" s="2"/>
      <c r="K23" s="3"/>
      <c r="L23" s="30" t="str">
        <f t="array" ref="L23">IF(LEN($B$23)=0,"",IF(ISNUMBER($B$23),IF($B$23&gt;'Criação'!$B$14,"Sobreposições acima de uma por faixa alcançada (máximo "&amp;'Criação'!$B$14&amp;"). ","")&amp;IF($B$23&lt;0,"Não pode ser negativo. ","")&amp;IF($P$28=0,"Sem Cone: preencha o Nível.",IF($R$28&gt;(3-INDEX(Dados!$D$522:$D$526,$P$28)),"Acima do teto: o Cone de Nível "&amp;$P$28&amp;" aceita no máximo "&amp;(3-INDEX(Dados!$D$522:$D$526,$P$28))&amp;" (o numérico para em +3 e o PV para junto, 25.2).","")),"Precisa ser um número."))</f>
        <v/>
      </c>
      <c r="Y23" s="35" t="str">
        <f t="array" ref="Y23">IF($B$20="Um Teste de Resistência",IFERROR(INDEX(Dados!$AA$6:$AA$11,3),""),IF($B$20="Uma Perícia",IFERROR(INDEX(Dados!$Z$6:$Z$23,3),""),""))</f>
        <v/>
      </c>
    </row>
    <row r="24" ht="36.75" customHeight="1">
      <c r="A24" s="15" t="s">
        <v>469</v>
      </c>
      <c r="B24" s="51"/>
      <c r="C24" s="29"/>
      <c r="D24" s="29"/>
      <c r="E24" s="29"/>
      <c r="F24" s="29"/>
      <c r="G24" s="29"/>
      <c r="H24" s="29"/>
      <c r="I24" s="29"/>
      <c r="J24" s="29"/>
      <c r="K24" s="32"/>
      <c r="Y24" s="35" t="str">
        <f t="array" ref="Y24">IF($B$20="Um Teste de Resistência",IFERROR(INDEX(Dados!$AA$6:$AA$11,4),""),IF($B$20="Uma Perícia",IFERROR(INDEX(Dados!$Z$6:$Z$23,4),""),""))</f>
        <v/>
      </c>
    </row>
    <row r="25" ht="25.5" customHeight="1">
      <c r="A25" s="15" t="s">
        <v>470</v>
      </c>
      <c r="B25" s="37" t="str">
        <f>IF($P$28=0,"",IF($P$28=1,"1 vez por combate","1 vez por Ciclo")&amp;" · temporário: entra no teto de bônus somado (25.4)")</f>
        <v/>
      </c>
      <c r="C25" s="2"/>
      <c r="D25" s="2"/>
      <c r="E25" s="2"/>
      <c r="F25" s="2"/>
      <c r="G25" s="2"/>
      <c r="H25" s="2"/>
      <c r="I25" s="2"/>
      <c r="J25" s="2"/>
      <c r="K25" s="3"/>
      <c r="Y25" s="35" t="str">
        <f t="array" ref="Y25">IF($B$20="Um Teste de Resistência",IFERROR(INDEX(Dados!$AA$6:$AA$11,5),""),IF($B$20="Uma Perícia",IFERROR(INDEX(Dados!$Z$6:$Z$23,5),""),""))</f>
        <v/>
      </c>
    </row>
    <row r="26" ht="25.5" customHeight="1">
      <c r="A26" s="15" t="s">
        <v>471</v>
      </c>
      <c r="B26" s="37" t="str">
        <f>IF($P$28&gt;=3,"Sim: +5 de Energia, no máximo 1 vez por Ciclo (Efeito Condicional)",IF($P$28=0,"","Não: só no Nível 3 ou maior"))</f>
        <v/>
      </c>
      <c r="C26" s="2"/>
      <c r="D26" s="2"/>
      <c r="E26" s="2"/>
      <c r="F26" s="2"/>
      <c r="G26" s="2"/>
      <c r="H26" s="2"/>
      <c r="I26" s="2"/>
      <c r="J26" s="2"/>
      <c r="K26" s="3"/>
      <c r="Y26" s="35" t="str">
        <f t="array" ref="Y26">IF($B$20="Um Teste de Resistência",IFERROR(INDEX(Dados!$AA$6:$AA$11,6),""),IF($B$20="Uma Perícia",IFERROR(INDEX(Dados!$Z$6:$Z$23,6),""),""))</f>
        <v/>
      </c>
    </row>
    <row r="27" ht="30.0" customHeight="1">
      <c r="B27" s="14" t="s">
        <v>473</v>
      </c>
      <c r="C27" s="14" t="s">
        <v>474</v>
      </c>
      <c r="D27" s="14" t="s">
        <v>475</v>
      </c>
      <c r="P27" s="14" t="s">
        <v>476</v>
      </c>
      <c r="Q27" s="14" t="s">
        <v>477</v>
      </c>
      <c r="R27" s="14" t="s">
        <v>478</v>
      </c>
      <c r="S27" s="14" t="s">
        <v>479</v>
      </c>
      <c r="T27" s="14" t="s">
        <v>123</v>
      </c>
      <c r="Y27" s="35" t="str">
        <f t="array" ref="Y27">IF($B$20="Um Teste de Resistência",IFERROR(INDEX(Dados!$AA$6:$AA$11,7),""),IF($B$20="Uma Perícia",IFERROR(INDEX(Dados!$Z$6:$Z$23,7),""),""))</f>
        <v/>
      </c>
    </row>
    <row r="28" ht="25.5" customHeight="1">
      <c r="A28" s="19" t="s">
        <v>480</v>
      </c>
      <c r="B28" s="31">
        <f>IF($P$28=0,0,IF($B$20="PV máximos",0,IF($Q$28="e",$S$28,IF($B$22="PV",0,$S$28))))</f>
        <v>0</v>
      </c>
      <c r="C28" s="27">
        <f>IF($P$28=0,0,IF(OR($B$20="PV máximos",$Q$28="e",$B$22="PV"),$T$28,0))</f>
        <v>0</v>
      </c>
      <c r="D28" s="37" t="str">
        <f>IF($P$28=0,"Sem Cone","+"&amp;$B$28&amp;IF($B$20=""," (sem alvo)"," em "&amp;$B$20)&amp;IF($C$28&gt;0," · +"&amp;$C$28&amp;" PV máximos",""))</f>
        <v>Sem Cone</v>
      </c>
      <c r="E28" s="2"/>
      <c r="F28" s="2"/>
      <c r="G28" s="2"/>
      <c r="H28" s="2"/>
      <c r="I28" s="2"/>
      <c r="J28" s="2"/>
      <c r="K28" s="3"/>
      <c r="P28" s="35">
        <f>IF(ISNUMBER($B$19),IF($B$19&lt;1,0,MIN(5,INT($B$19))),0)</f>
        <v>0</v>
      </c>
      <c r="Q28" s="35" t="str">
        <f t="array" ref="Q28">IF($P$28=0,"",INDEX(Dados!$E$522:$E$526,$P$28))</f>
        <v/>
      </c>
      <c r="R28" s="35">
        <f>IF(ISNUMBER($B$23),MAX(0,MIN('Criação'!$B$14,INT($B$23))),0)</f>
        <v>0</v>
      </c>
      <c r="S28" s="35">
        <f t="array" ref="S28">IF($P$28=0,0,INDEX(Dados!$D$522:$D$526,$P$28)+MIN($R$28,(3-INDEX(Dados!$D$522:$D$526,$P$28))))</f>
        <v>0</v>
      </c>
      <c r="T28" s="35">
        <f t="array" ref="T28">IF($P$28=0,0,INDEX(Dados!$F$522:$F$526,$P$28)+10*MIN($R$28,(3-INDEX(Dados!$D$522:$D$526,$P$28))))</f>
        <v>0</v>
      </c>
      <c r="Y28" s="35" t="str">
        <f t="array" ref="Y28">IF($B$20="Um Teste de Resistência",IFERROR(INDEX(Dados!$AA$6:$AA$11,8),""),IF($B$20="Uma Perícia",IFERROR(INDEX(Dados!$Z$6:$Z$23,8),""),""))</f>
        <v/>
      </c>
    </row>
    <row r="29" ht="36.75" customHeight="1">
      <c r="A29" s="25" t="s">
        <v>483</v>
      </c>
      <c r="Y29" s="35" t="str">
        <f t="array" ref="Y29">IF($B$20="Um Teste de Resistência",IFERROR(INDEX(Dados!$AA$6:$AA$11,9),""),IF($B$20="Uma Perícia",IFERROR(INDEX(Dados!$Z$6:$Z$23,9),""),""))</f>
        <v/>
      </c>
    </row>
    <row r="30" ht="36.75" customHeight="1">
      <c r="A30" s="14" t="s">
        <v>309</v>
      </c>
      <c r="B30" s="14" t="s">
        <v>299</v>
      </c>
      <c r="C30" s="14" t="s">
        <v>300</v>
      </c>
      <c r="D30" s="14" t="s">
        <v>484</v>
      </c>
      <c r="E30" s="14" t="s">
        <v>485</v>
      </c>
      <c r="F30" s="14" t="s">
        <v>486</v>
      </c>
      <c r="G30" s="14" t="s">
        <v>301</v>
      </c>
      <c r="H30" s="14" t="s">
        <v>430</v>
      </c>
      <c r="I30" s="14" t="s">
        <v>290</v>
      </c>
      <c r="J30" s="14" t="s">
        <v>487</v>
      </c>
      <c r="K30" s="14" t="s">
        <v>488</v>
      </c>
      <c r="L30" s="14" t="s">
        <v>489</v>
      </c>
      <c r="Y30" s="35" t="str">
        <f t="array" ref="Y30">IF($B$20="Um Teste de Resistência",IFERROR(INDEX(Dados!$AA$6:$AA$11,10),""),IF($B$20="Uma Perícia",IFERROR(INDEX(Dados!$Z$6:$Z$23,10),""),""))</f>
        <v/>
      </c>
    </row>
    <row r="31" ht="25.5" customHeight="1">
      <c r="A31" s="31">
        <f>$C$28</f>
        <v>0</v>
      </c>
      <c r="B31" s="27">
        <f>IF($B$20="Defesa",$B$28,0)</f>
        <v>0</v>
      </c>
      <c r="C31" s="27">
        <f>IF($B$20="Velocidade",$B$28,0)</f>
        <v>0</v>
      </c>
      <c r="D31" s="27">
        <f>IF($B$20="Dano de Ataque Básico",$B$28,0)</f>
        <v>0</v>
      </c>
      <c r="E31" s="27">
        <f>IF($B$20="Dano de Habilidade",$B$28,0)</f>
        <v>0</v>
      </c>
      <c r="F31" s="27">
        <f>IF($B$20="Dano de Ultimate",$B$28,0)</f>
        <v>0</v>
      </c>
      <c r="G31" s="27">
        <f>IF($B$20="RD",$B$28,0)</f>
        <v>0</v>
      </c>
      <c r="H31" s="27">
        <f>IF($B$20="Teste de Ataque",$B$28,0)</f>
        <v>0</v>
      </c>
      <c r="I31" s="27">
        <f>IF(AND($B$20="Um Teste de Resistência",LEN($B$21)&gt;0),$B$28,0)</f>
        <v>0</v>
      </c>
      <c r="J31" s="9" t="str">
        <f>IF($B$20="Um Teste de Resistência",""&amp;$B$21,"")</f>
        <v/>
      </c>
      <c r="K31" s="27">
        <f>IF(AND($B$20="Uma Perícia",LEN($B$21)&gt;0),$B$28,0)</f>
        <v>0</v>
      </c>
      <c r="L31" s="9" t="str">
        <f>IF($B$20="Uma Perícia",""&amp;$B$21,"")</f>
        <v/>
      </c>
      <c r="Y31" s="35" t="str">
        <f t="array" ref="Y31">IF($B$20="Um Teste de Resistência",IFERROR(INDEX(Dados!$AA$6:$AA$11,11),""),IF($B$20="Uma Perícia",IFERROR(INDEX(Dados!$Z$6:$Z$23,11),""),""))</f>
        <v/>
      </c>
    </row>
    <row r="32" ht="15.75" customHeight="1">
      <c r="Y32" s="35" t="str">
        <f t="array" ref="Y32">IF($B$20="Um Teste de Resistência",IFERROR(INDEX(Dados!$AA$6:$AA$11,12),""),IF($B$20="Uma Perícia",IFERROR(INDEX(Dados!$Z$6:$Z$23,12),""),""))</f>
        <v/>
      </c>
    </row>
    <row r="33" ht="15.75" customHeight="1">
      <c r="A33" s="5" t="s">
        <v>502</v>
      </c>
      <c r="B33" s="2"/>
      <c r="C33" s="2"/>
      <c r="D33" s="2"/>
      <c r="E33" s="2"/>
      <c r="F33" s="2"/>
      <c r="G33" s="2"/>
      <c r="H33" s="2"/>
      <c r="I33" s="2"/>
      <c r="J33" s="2"/>
      <c r="K33" s="2"/>
      <c r="L33" s="3"/>
      <c r="Y33" s="35" t="str">
        <f t="array" ref="Y33">IF($B$20="Um Teste de Resistência",IFERROR(INDEX(Dados!$AA$6:$AA$11,13),""),IF($B$20="Uma Perícia",IFERROR(INDEX(Dados!$Z$6:$Z$23,13),""),""))</f>
        <v/>
      </c>
    </row>
    <row r="34" ht="15.75" customHeight="1">
      <c r="A34" s="15" t="s">
        <v>503</v>
      </c>
      <c r="B34" s="27" t="str">
        <f>CHOOSE('Criação'!$J$16,"I","II","III","IV")</f>
        <v>I</v>
      </c>
      <c r="C34" s="19" t="s">
        <v>504</v>
      </c>
      <c r="Y34" s="35" t="str">
        <f t="array" ref="Y34">IF($B$20="Um Teste de Resistência",IFERROR(INDEX(Dados!$AA$6:$AA$11,14),""),IF($B$20="Uma Perícia",IFERROR(INDEX(Dados!$Z$6:$Z$23,14),""),""))</f>
        <v/>
      </c>
    </row>
    <row r="35" ht="36.75" customHeight="1">
      <c r="A35" s="14" t="s">
        <v>418</v>
      </c>
      <c r="B35" s="14" t="s">
        <v>506</v>
      </c>
      <c r="C35" s="14" t="s">
        <v>507</v>
      </c>
      <c r="D35" s="24"/>
      <c r="E35" s="14" t="s">
        <v>508</v>
      </c>
      <c r="F35" s="14" t="s">
        <v>421</v>
      </c>
      <c r="G35" s="14" t="s">
        <v>58</v>
      </c>
      <c r="H35" s="14" t="s">
        <v>509</v>
      </c>
      <c r="I35" s="24"/>
      <c r="J35" s="14" t="s">
        <v>510</v>
      </c>
      <c r="K35" s="14" t="s">
        <v>511</v>
      </c>
      <c r="L35" s="14" t="s">
        <v>67</v>
      </c>
      <c r="Y35" s="35" t="str">
        <f t="array" ref="Y35">IF($B$20="Um Teste de Resistência",IFERROR(INDEX(Dados!$AA$6:$AA$11,15),""),IF($B$20="Uma Perícia",IFERROR(INDEX(Dados!$Z$6:$Z$23,15),""),""))</f>
        <v/>
      </c>
    </row>
    <row r="36" ht="60.0" customHeight="1">
      <c r="A36" s="26" t="s">
        <v>514</v>
      </c>
      <c r="B36" s="34"/>
      <c r="C36" s="51"/>
      <c r="D36" s="32"/>
      <c r="E36" s="34"/>
      <c r="F36" s="41" t="str">
        <f>IF($B$36="Sim",$B$34,"—")</f>
        <v>—</v>
      </c>
      <c r="G36" s="72">
        <f t="array" ref="G36">IF($B$36="Sim",INDEX(Dados!$A$530:$F$535,1,2+'Criação'!$J$16),0)</f>
        <v>0</v>
      </c>
      <c r="H36" s="7" t="str">
        <f t="array" ref="H36">IF($B$36="Sim",INDEX(Dados!$B$530:$B$535,1)&amp;": +"&amp;$G$36,INDEX(Dados!$B$530:$B$535,1))</f>
        <v>PV máximos</v>
      </c>
      <c r="I36" s="3"/>
      <c r="J36" s="35" t="s">
        <v>519</v>
      </c>
      <c r="K36" s="35" t="s">
        <v>519</v>
      </c>
      <c r="L36" s="30" t="str">
        <f>IF(AND($E$36&lt;&gt;"",$E$36&lt;&gt;"—",$B$36&lt;&gt;"Sim"),"A peça só conta para o Conjunto com Possui = Sim. ","")&amp;IF(AND($E$36&lt;&gt;"",COUNTIF(Dados!$AO$6:$AO$9,$E$36)=0),"Conjunto: use A, B, C ou —. ","")&amp;IF(AND($B$36&lt;&gt;"",$B$36&lt;&gt;"Sim",$B$36&lt;&gt;"Não"),"Possui: use Sim ou Não. ","")</f>
        <v/>
      </c>
      <c r="Y36" s="35" t="str">
        <f t="array" ref="Y36">IF($B$20="Um Teste de Resistência",IFERROR(INDEX(Dados!$AA$6:$AA$11,16),""),IF($B$20="Uma Perícia",IFERROR(INDEX(Dados!$Z$6:$Z$23,16),""),""))</f>
        <v/>
      </c>
    </row>
    <row r="37" ht="60.0" customHeight="1">
      <c r="A37" s="40" t="s">
        <v>524</v>
      </c>
      <c r="B37" s="50"/>
      <c r="C37" s="73"/>
      <c r="D37" s="32"/>
      <c r="E37" s="50"/>
      <c r="F37" s="47" t="str">
        <f>IF($B$37="Sim",$B$34,"—")</f>
        <v>—</v>
      </c>
      <c r="G37" s="84">
        <f t="array" ref="G37">IF($B$37="Sim",INDEX(Dados!$A$530:$F$535,2,2+'Criação'!$J$16),0)</f>
        <v>0</v>
      </c>
      <c r="H37" s="21" t="str">
        <f t="array" ref="H37">IF($B$37="Sim",INDEX(Dados!$B$530:$B$535,2)&amp;": +"&amp;$G$37,INDEX(Dados!$B$530:$B$535,2))</f>
        <v>Dano de Ataque Básico</v>
      </c>
      <c r="I37" s="3"/>
      <c r="J37" s="35" t="s">
        <v>519</v>
      </c>
      <c r="K37" s="35" t="s">
        <v>519</v>
      </c>
      <c r="L37" s="55" t="str">
        <f>IF(AND($E$37&lt;&gt;"",$E$37&lt;&gt;"—",$B$37&lt;&gt;"Sim"),"A peça só conta para o Conjunto com Possui = Sim. ","")&amp;IF(AND($E$37&lt;&gt;"",COUNTIF(Dados!$AO$6:$AO$9,$E$37)=0),"Conjunto: use A, B, C ou —. ","")&amp;IF(AND($B$37&lt;&gt;"",$B$37&lt;&gt;"Sim",$B$37&lt;&gt;"Não"),"Possui: use Sim ou Não. ","")</f>
        <v/>
      </c>
      <c r="Y37" s="35" t="str">
        <f t="array" ref="Y37">IF($B$20="Um Teste de Resistência",IFERROR(INDEX(Dados!$AA$6:$AA$11,17),""),IF($B$20="Uma Perícia",IFERROR(INDEX(Dados!$Z$6:$Z$23,17),""),""))</f>
        <v/>
      </c>
    </row>
    <row r="38" ht="60.0" customHeight="1">
      <c r="A38" s="26" t="s">
        <v>535</v>
      </c>
      <c r="B38" s="34"/>
      <c r="C38" s="51"/>
      <c r="D38" s="32"/>
      <c r="E38" s="34"/>
      <c r="F38" s="41" t="str">
        <f>IF($B$38="Sim",$B$34,"—")</f>
        <v>—</v>
      </c>
      <c r="G38" s="72">
        <f t="array" ref="G38">IF($B$38="Sim",INDEX(Dados!$A$530:$F$535,3,2+'Criação'!$J$16),0)</f>
        <v>0</v>
      </c>
      <c r="H38" s="7" t="str">
        <f t="array" ref="H38">IF($B$38="Sim",INDEX(Dados!$B$530:$B$535,3)&amp;": +"&amp;$G$38,INDEX(Dados!$B$530:$B$535,3))</f>
        <v>Defesa</v>
      </c>
      <c r="I38" s="3"/>
      <c r="J38" s="35" t="s">
        <v>519</v>
      </c>
      <c r="K38" s="35" t="s">
        <v>519</v>
      </c>
      <c r="L38" s="30" t="str">
        <f>IF(AND($E$38&lt;&gt;"",$E$38&lt;&gt;"—",$B$38&lt;&gt;"Sim"),"A peça só conta para o Conjunto com Possui = Sim. ","")&amp;IF(AND($E$38&lt;&gt;"",COUNTIF(Dados!$AO$6:$AO$9,$E$38)=0),"Conjunto: use A, B, C ou —. ","")&amp;IF(AND($B$38&lt;&gt;"",$B$38&lt;&gt;"Sim",$B$38&lt;&gt;"Não"),"Possui: use Sim ou Não. ","")</f>
        <v/>
      </c>
      <c r="Y38" s="35" t="str">
        <f t="array" ref="Y38">IF($B$20="Um Teste de Resistência",IFERROR(INDEX(Dados!$AA$6:$AA$11,18),""),IF($B$20="Uma Perícia",IFERROR(INDEX(Dados!$Z$6:$Z$23,18),""),""))</f>
        <v/>
      </c>
    </row>
    <row r="39" ht="60.0" customHeight="1">
      <c r="A39" s="40" t="s">
        <v>541</v>
      </c>
      <c r="B39" s="50"/>
      <c r="C39" s="73"/>
      <c r="D39" s="32"/>
      <c r="E39" s="50"/>
      <c r="F39" s="47" t="str">
        <f>IF($B$39="Sim",$B$34,"—")</f>
        <v>—</v>
      </c>
      <c r="G39" s="84">
        <f t="array" ref="G39">IF($B$39="Sim",INDEX(Dados!$A$530:$F$535,4,2+'Criação'!$J$16),0)</f>
        <v>0</v>
      </c>
      <c r="H39" s="21" t="str">
        <f t="array" ref="H39">IF($B$39="Sim",INDEX(Dados!$B$530:$B$535,4)&amp;": +"&amp;$G$39,INDEX(Dados!$B$530:$B$535,4))</f>
        <v>Velocidade</v>
      </c>
      <c r="I39" s="3"/>
      <c r="J39" s="35" t="s">
        <v>519</v>
      </c>
      <c r="K39" s="35" t="s">
        <v>519</v>
      </c>
      <c r="L39" s="55" t="str">
        <f>IF(AND($E$39&lt;&gt;"",$E$39&lt;&gt;"—",$B$39&lt;&gt;"Sim"),"A peça só conta para o Conjunto com Possui = Sim. ","")&amp;IF(AND($E$39&lt;&gt;"",COUNTIF(Dados!$AO$6:$AO$9,$E$39)=0),"Conjunto: use A, B, C ou —. ","")&amp;IF(AND($B$39&lt;&gt;"",$B$39&lt;&gt;"Sim",$B$39&lt;&gt;"Não"),"Possui: use Sim ou Não. ","")</f>
        <v/>
      </c>
    </row>
    <row r="40" ht="93.0" customHeight="1">
      <c r="A40" s="26" t="s">
        <v>552</v>
      </c>
      <c r="B40" s="34"/>
      <c r="C40" s="51"/>
      <c r="D40" s="32"/>
      <c r="E40" s="34"/>
      <c r="F40" s="41" t="str">
        <f>IF($B$40="Sim",$B$34,"—")</f>
        <v>—</v>
      </c>
      <c r="G40" s="72">
        <f t="array" ref="G40">IF($B$40="Sim",INDEX(Dados!$A$530:$F$535,5,2+'Criação'!$J$16),0)</f>
        <v>0</v>
      </c>
      <c r="H40" s="7" t="str">
        <f t="array" ref="H40">IF($B$40="Sim",INDEX(Dados!$B$530:$B$535,5)&amp;": +"&amp;$G$40,INDEX(Dados!$B$530:$B$535,5))</f>
        <v>Dano de um Elemento escolhido</v>
      </c>
      <c r="I40" s="3"/>
      <c r="J40" s="34"/>
      <c r="K40" s="9" t="str">
        <f>IF($B$40&lt;&gt;"Sim","",IF($J$40="","Escolha o Elemento",IF($J$40='Criação'!$B$60,"Sim: +"&amp;$G$40&amp;" nas Habilidades e na Ultimate","Não: o seu Elemento é "&amp;IF(LEN('Criação'!$B$60)=0,"(vazio)",'Criação'!$B$60))))</f>
        <v/>
      </c>
      <c r="L40" s="30" t="str">
        <f>IF(AND($E$40&lt;&gt;"",$E$40&lt;&gt;"—",$B$40&lt;&gt;"Sim"),"A peça só conta para o Conjunto com Possui = Sim. ","")&amp;IF(AND($E$40&lt;&gt;"",COUNTIF(Dados!$AO$6:$AO$9,$E$40)=0),"Conjunto: use A, B, C ou —. ","")&amp;IF(AND($B$40&lt;&gt;"",$B$40&lt;&gt;"Sim",$B$40&lt;&gt;"Não"),"Possui: use Sim ou Não. ","")&amp;IF(AND($J$40&lt;&gt;"",COUNTIF(Dados!$R$6:$R$12,$J$40)=0),"Elemento fora da lista do capítulo 20.","")</f>
        <v/>
      </c>
      <c r="P40" s="35">
        <f>IF(AND($B$40="Sim",$J$40&lt;&gt;"",$J$40='Criação'!$B$60),$G$40,0)</f>
        <v>0</v>
      </c>
    </row>
    <row r="41" ht="93.0" customHeight="1">
      <c r="A41" s="40" t="s">
        <v>553</v>
      </c>
      <c r="B41" s="50"/>
      <c r="C41" s="73"/>
      <c r="D41" s="32"/>
      <c r="E41" s="50"/>
      <c r="F41" s="47" t="str">
        <f>IF($B$41="Sim",$B$34,"—")</f>
        <v>—</v>
      </c>
      <c r="G41" s="84">
        <f t="array" ref="G41">IF($B$41="Sim",INDEX(Dados!$A$530:$F$535,6,2+'Criação'!$J$16),0)</f>
        <v>0</v>
      </c>
      <c r="H41" s="21" t="str">
        <f t="array" ref="H41">IF($B$41="Sim",INDEX(Dados!$B$530:$B$535,6)&amp;": +"&amp;$G$41,INDEX(Dados!$B$530:$B$535,6))</f>
        <v>Energia, 1 vez por combate</v>
      </c>
      <c r="I41" s="3"/>
      <c r="J41" s="35" t="s">
        <v>519</v>
      </c>
      <c r="K41" s="16" t="str">
        <f>IF($B$41="Sim","+"&amp;$G$41&amp;" de Energia ao entrar na Fila, 1 vez por combate","")</f>
        <v/>
      </c>
      <c r="L41" s="55" t="str">
        <f>IF(AND($E$41&lt;&gt;"",$E$41&lt;&gt;"—",$B$41&lt;&gt;"Sim"),"A peça só conta para o Conjunto com Possui = Sim. ","")&amp;IF(AND($E$41&lt;&gt;"",COUNTIF(Dados!$AO$6:$AO$9,$E$41)=0),"Conjunto: use A, B, C ou —. ","")&amp;IF(AND($B$41&lt;&gt;"",$B$41&lt;&gt;"Sim",$B$41&lt;&gt;"Não"),"Possui: use Sim ou Não. ","")</f>
        <v/>
      </c>
    </row>
    <row r="42" ht="15.75" customHeight="1"/>
    <row r="43" ht="15.75" customHeight="1">
      <c r="A43" s="5" t="s">
        <v>564</v>
      </c>
      <c r="B43" s="2"/>
      <c r="C43" s="2"/>
      <c r="D43" s="2"/>
      <c r="E43" s="2"/>
      <c r="F43" s="2"/>
      <c r="G43" s="2"/>
      <c r="H43" s="2"/>
      <c r="I43" s="2"/>
      <c r="J43" s="2"/>
      <c r="K43" s="2"/>
      <c r="L43" s="3"/>
    </row>
    <row r="44" ht="48.75" customHeight="1">
      <c r="A44" s="14" t="s">
        <v>566</v>
      </c>
      <c r="B44" s="14" t="s">
        <v>567</v>
      </c>
      <c r="C44" s="14" t="s">
        <v>568</v>
      </c>
      <c r="D44" s="24"/>
      <c r="E44" s="14" t="s">
        <v>569</v>
      </c>
      <c r="F44" s="24"/>
      <c r="G44" s="14" t="s">
        <v>570</v>
      </c>
      <c r="H44" s="14" t="s">
        <v>571</v>
      </c>
      <c r="I44" s="14" t="s">
        <v>67</v>
      </c>
      <c r="J44" s="24"/>
      <c r="K44" s="24"/>
      <c r="L44" s="24"/>
      <c r="P44" s="14" t="s">
        <v>572</v>
      </c>
      <c r="Q44" s="14" t="s">
        <v>573</v>
      </c>
      <c r="R44" s="14" t="s">
        <v>301</v>
      </c>
      <c r="S44" s="14" t="s">
        <v>574</v>
      </c>
      <c r="AA44" s="25" t="s">
        <v>575</v>
      </c>
    </row>
    <row r="45" ht="36.75" customHeight="1">
      <c r="A45" s="26" t="s">
        <v>576</v>
      </c>
      <c r="B45" s="60"/>
      <c r="C45" s="79"/>
      <c r="D45" s="32"/>
      <c r="E45" s="79"/>
      <c r="F45" s="32"/>
      <c r="G45" s="27">
        <f>COUNTIFS($E$36:$E$41,"A",$B$36:$B$41,"Sim")</f>
        <v>0</v>
      </c>
      <c r="H45" s="27" t="str">
        <f>IF($G$45&gt;=4,"4 peças",IF($G$45&gt;=2,"2 peças","—"))</f>
        <v>—</v>
      </c>
      <c r="I45" s="30" t="str">
        <f>IF(AND($C$45&lt;&gt;"",COUNTIF(Dados!$AP$6:$AP$9,$C$45)=0),"Bônus fora da lista de 25.3. ","")&amp;IF(AND(LEN($E$45)&gt;0,$C$45&lt;&gt;"+1 em um tipo de rolagem"),"Qual rolagem só vale com o bônus +1 em um tipo de rolagem. ","")&amp;IF(AND(LEN($E$45)&gt;0,COUNTIF($AA$45:$AA$69,$E$45)=0),"Rolagem fora da lista. ","")&amp;IF(AND($G$45&gt;=2,$C$45="+1 em um tipo de rolagem",LEN($E$45)=0),"Escolha qual rolagem recebe o +1.","")</f>
        <v/>
      </c>
      <c r="P45" s="35" t="str">
        <f>IF(AND($G$45&gt;=2,$C$45="+1 em um tipo de rolagem",LEN($E$45)&gt;0),""&amp;$E$45,"")</f>
        <v/>
      </c>
      <c r="Q45" s="35">
        <f>IF(AND($G$45&gt;=2,$C$45="+1 de Velocidade"),1,0)</f>
        <v>0</v>
      </c>
      <c r="R45" s="35">
        <f>IF(AND($G$45&gt;=2,$C$45="+1 RD"),1,0)</f>
        <v>0</v>
      </c>
      <c r="S45" s="35">
        <f>IF(AND($G$45&gt;=2,$C$45="+2 de dano"),2,0)</f>
        <v>0</v>
      </c>
      <c r="AA45" s="17" t="s">
        <v>430</v>
      </c>
    </row>
    <row r="46" ht="36.75" customHeight="1">
      <c r="A46" s="40" t="s">
        <v>598</v>
      </c>
      <c r="B46" s="61"/>
      <c r="C46" s="91"/>
      <c r="D46" s="32"/>
      <c r="E46" s="91"/>
      <c r="F46" s="32"/>
      <c r="G46" s="38">
        <f>COUNTIFS($E$36:$E$41,"B",$B$36:$B$41,"Sim")</f>
        <v>0</v>
      </c>
      <c r="H46" s="38" t="str">
        <f>IF($G$46&gt;=4,"4 peças",IF($G$46&gt;=2,"2 peças","—"))</f>
        <v>—</v>
      </c>
      <c r="I46" s="43" t="str">
        <f>IF(AND($C$46&lt;&gt;"",COUNTIF(Dados!$AP$6:$AP$9,$C$46)=0),"Bônus fora da lista de 25.3. ","")&amp;IF(AND(LEN($E$46)&gt;0,$C$46&lt;&gt;"+1 em um tipo de rolagem"),"Qual rolagem só vale com o bônus +1 em um tipo de rolagem. ","")&amp;IF(AND(LEN($E$46)&gt;0,COUNTIF($AA$45:$AA$69,$E$46)=0),"Rolagem fora da lista. ","")&amp;IF(AND($G$46&gt;=2,$C$46="+1 em um tipo de rolagem",LEN($E$46)=0),"Escolha qual rolagem recebe o +1.","")</f>
        <v/>
      </c>
      <c r="J46" s="2"/>
      <c r="K46" s="2"/>
      <c r="L46" s="3"/>
      <c r="M46" s="49"/>
      <c r="N46" s="49"/>
      <c r="O46" s="49"/>
      <c r="P46" s="35" t="str">
        <f>IF(AND($G$46&gt;=2,$C$46="+1 em um tipo de rolagem",LEN($E$46)&gt;0),""&amp;$E$46,"")</f>
        <v/>
      </c>
      <c r="Q46" s="35">
        <f>IF(AND($G$46&gt;=2,$C$46="+1 de Velocidade"),1,0)</f>
        <v>0</v>
      </c>
      <c r="R46" s="35">
        <f>IF(AND($G$46&gt;=2,$C$46="+1 RD"),1,0)</f>
        <v>0</v>
      </c>
      <c r="S46" s="35">
        <f>IF(AND($G$46&gt;=2,$C$46="+2 de dano"),2,0)</f>
        <v>0</v>
      </c>
      <c r="AA46" s="17" t="s">
        <v>293</v>
      </c>
    </row>
    <row r="47" ht="36.75" customHeight="1">
      <c r="A47" s="26" t="s">
        <v>602</v>
      </c>
      <c r="B47" s="60"/>
      <c r="C47" s="79"/>
      <c r="D47" s="32"/>
      <c r="E47" s="79"/>
      <c r="F47" s="32"/>
      <c r="G47" s="27">
        <f>COUNTIFS($E$36:$E$41,"C",$B$36:$B$41,"Sim")</f>
        <v>0</v>
      </c>
      <c r="H47" s="27" t="str">
        <f>IF($G$47&gt;=4,"4 peças",IF($G$47&gt;=2,"2 peças","—"))</f>
        <v>—</v>
      </c>
      <c r="I47" s="30" t="str">
        <f>IF(AND($C$47&lt;&gt;"",COUNTIF(Dados!$AP$6:$AP$9,$C$47)=0),"Bônus fora da lista de 25.3. ","")&amp;IF(AND(LEN($E$47)&gt;0,$C$47&lt;&gt;"+1 em um tipo de rolagem"),"Qual rolagem só vale com o bônus +1 em um tipo de rolagem. ","")&amp;IF(AND(LEN($E$47)&gt;0,COUNTIF($AA$45:$AA$69,$E$47)=0),"Rolagem fora da lista. ","")&amp;IF(AND($G$47&gt;=2,$C$47="+1 em um tipo de rolagem",LEN($E$47)=0),"Escolha qual rolagem recebe o +1.","")</f>
        <v/>
      </c>
      <c r="P47" s="35" t="str">
        <f>IF(AND($G$47&gt;=2,$C$47="+1 em um tipo de rolagem",LEN($E$47)&gt;0),""&amp;$E$47,"")</f>
        <v/>
      </c>
      <c r="Q47" s="35">
        <f>IF(AND($G$47&gt;=2,$C$47="+1 de Velocidade"),1,0)</f>
        <v>0</v>
      </c>
      <c r="R47" s="35">
        <f>IF(AND($G$47&gt;=2,$C$47="+1 RD"),1,0)</f>
        <v>0</v>
      </c>
      <c r="S47" s="35">
        <f>IF(AND($G$47&gt;=2,$C$47="+2 de dano"),2,0)</f>
        <v>0</v>
      </c>
      <c r="AA47" s="17" t="s">
        <v>294</v>
      </c>
    </row>
    <row r="48" ht="36.75" customHeight="1">
      <c r="A48" s="46" t="s">
        <v>608</v>
      </c>
      <c r="B48" s="62" t="s">
        <v>300</v>
      </c>
      <c r="C48" s="38">
        <f>SUM(Q45:Q47)</f>
        <v>0</v>
      </c>
      <c r="D48" s="62" t="s">
        <v>301</v>
      </c>
      <c r="E48" s="38">
        <f>SUM(R45:R47)</f>
        <v>0</v>
      </c>
      <c r="F48" s="62" t="s">
        <v>609</v>
      </c>
      <c r="G48" s="38">
        <f>MIN(3,$S$48)</f>
        <v>0</v>
      </c>
      <c r="H48" s="62" t="s">
        <v>611</v>
      </c>
      <c r="I48" s="56" t="str">
        <f>IF(SUMPRODUCT((LEN($P$45:$P$47)&gt;0)*1)=0,"nenhuma",P45&amp;IF(LEN(P46)&gt;0,IF(LEN(P45)&gt;0," · ","")&amp;P46,"")&amp;IF(LEN(P47)&gt;0,IF(LEN(P45&amp;P46)&gt;0," · ","")&amp;P47,""))</f>
        <v>nenhuma</v>
      </c>
      <c r="J48" s="2"/>
      <c r="K48" s="3"/>
      <c r="L48" s="55" t="str">
        <f>IF($S$48&gt;3,"Os Conjuntos somam +"&amp;$S$48&amp;" de dano: o teto é +3 por rolagem (25.3).","")</f>
        <v/>
      </c>
      <c r="M48" s="49"/>
      <c r="N48" s="49"/>
      <c r="O48" s="49"/>
      <c r="P48" s="49"/>
      <c r="Q48" s="49"/>
      <c r="R48" s="49"/>
      <c r="S48" s="35">
        <f>SUM(S45:S47)</f>
        <v>0</v>
      </c>
      <c r="AA48" s="17" t="s">
        <v>310</v>
      </c>
    </row>
    <row r="49" ht="25.5" customHeight="1">
      <c r="AA49" s="17" t="s">
        <v>317</v>
      </c>
    </row>
    <row r="50" ht="25.5" customHeight="1">
      <c r="A50" s="14" t="s">
        <v>566</v>
      </c>
      <c r="B50" s="14" t="s">
        <v>319</v>
      </c>
      <c r="C50" s="14" t="s">
        <v>612</v>
      </c>
      <c r="D50" s="24"/>
      <c r="E50" s="24"/>
      <c r="F50" s="24"/>
      <c r="G50" s="24"/>
      <c r="H50" s="24"/>
      <c r="I50" s="24"/>
      <c r="J50" s="24"/>
      <c r="K50" s="24"/>
      <c r="L50" s="24"/>
      <c r="AA50" s="17" t="s">
        <v>330</v>
      </c>
    </row>
    <row r="51" ht="36.75" customHeight="1">
      <c r="A51" s="26" t="s">
        <v>576</v>
      </c>
      <c r="B51" s="9" t="str">
        <f>IF(LEN($B$45)=0,"Conjunto A",""&amp;$B$45)</f>
        <v>Conjunto A</v>
      </c>
      <c r="C51" s="51"/>
      <c r="D51" s="29"/>
      <c r="E51" s="29"/>
      <c r="F51" s="29"/>
      <c r="G51" s="29"/>
      <c r="H51" s="29"/>
      <c r="I51" s="29"/>
      <c r="J51" s="29"/>
      <c r="K51" s="29"/>
      <c r="L51" s="32"/>
      <c r="AA51" s="17" t="s">
        <v>345</v>
      </c>
    </row>
    <row r="52" ht="36.75" customHeight="1">
      <c r="A52" s="40" t="s">
        <v>598</v>
      </c>
      <c r="B52" s="16" t="str">
        <f>IF(LEN($B$46)=0,"Conjunto B",""&amp;$B$46)</f>
        <v>Conjunto B</v>
      </c>
      <c r="C52" s="73"/>
      <c r="D52" s="29"/>
      <c r="E52" s="29"/>
      <c r="F52" s="29"/>
      <c r="G52" s="29"/>
      <c r="H52" s="29"/>
      <c r="I52" s="29"/>
      <c r="J52" s="29"/>
      <c r="K52" s="29"/>
      <c r="L52" s="32"/>
      <c r="AA52" s="17" t="s">
        <v>50</v>
      </c>
    </row>
    <row r="53" ht="36.75" customHeight="1">
      <c r="A53" s="26" t="s">
        <v>602</v>
      </c>
      <c r="B53" s="9" t="str">
        <f>IF(LEN($B$47)=0,"Conjunto C",""&amp;$B$47)</f>
        <v>Conjunto C</v>
      </c>
      <c r="C53" s="51"/>
      <c r="D53" s="29"/>
      <c r="E53" s="29"/>
      <c r="F53" s="29"/>
      <c r="G53" s="29"/>
      <c r="H53" s="29"/>
      <c r="I53" s="29"/>
      <c r="J53" s="29"/>
      <c r="K53" s="29"/>
      <c r="L53" s="32"/>
      <c r="AA53" s="17" t="s">
        <v>100</v>
      </c>
    </row>
    <row r="54" ht="15.75" customHeight="1">
      <c r="AA54" s="17" t="s">
        <v>116</v>
      </c>
    </row>
    <row r="55" ht="15.75" customHeight="1">
      <c r="A55" s="5" t="s">
        <v>616</v>
      </c>
      <c r="B55" s="2"/>
      <c r="C55" s="2"/>
      <c r="D55" s="2"/>
      <c r="E55" s="2"/>
      <c r="F55" s="2"/>
      <c r="G55" s="2"/>
      <c r="H55" s="2"/>
      <c r="I55" s="2"/>
      <c r="J55" s="2"/>
      <c r="K55" s="2"/>
      <c r="L55" s="3"/>
      <c r="AA55" s="17" t="s">
        <v>143</v>
      </c>
    </row>
    <row r="56" ht="48.0" customHeight="1">
      <c r="A56" s="15" t="s">
        <v>617</v>
      </c>
      <c r="B56" s="27" t="str">
        <f>10+2*'Criação'!$F$44+IF((COUNTIF(Caminho!$I$27:$I$36,"Peso do Juramento")&gt;0),2,0)</f>
        <v>#ERROR!</v>
      </c>
      <c r="C56" s="19" t="s">
        <v>619</v>
      </c>
      <c r="V56" s="25" t="s">
        <v>620</v>
      </c>
      <c r="W56" s="25" t="s">
        <v>389</v>
      </c>
      <c r="AA56" s="17" t="s">
        <v>172</v>
      </c>
    </row>
    <row r="57" ht="25.5" customHeight="1">
      <c r="A57" s="15" t="s">
        <v>621</v>
      </c>
      <c r="B57" s="27">
        <f>$F$81+$G$7+$G$8+$G$9</f>
        <v>0</v>
      </c>
      <c r="C57" s="37" t="str">
        <f>"itens "&amp;$F$81&amp;" · armas "&amp;($G$7+$G$8)&amp;" · armadura "&amp;$G$9</f>
        <v>itens 0 · armas 0 · armadura 0</v>
      </c>
      <c r="D57" s="2"/>
      <c r="E57" s="2"/>
      <c r="F57" s="2"/>
      <c r="G57" s="2"/>
      <c r="H57" s="2"/>
      <c r="I57" s="2"/>
      <c r="J57" s="2"/>
      <c r="K57" s="3"/>
      <c r="V57" s="35" t="str">
        <f t="array" ref="V57">"Poção de Vida "&amp;INDEX(Dados!$A$480:$A$482,1)</f>
        <v>Poção de Vida Pequena</v>
      </c>
      <c r="W57" s="35">
        <f t="array" ref="W57">INDEX(Dados!$C$480:$C$482,1)</f>
        <v>0.5</v>
      </c>
      <c r="AA57" s="17" t="s">
        <v>188</v>
      </c>
    </row>
    <row r="58" ht="36.75" customHeight="1">
      <c r="A58" s="15" t="s">
        <v>624</v>
      </c>
      <c r="B58" s="63" t="str">
        <f>IF($B$57&gt;2*$B$56,"Não consegue se mover",IF($B$57&gt;$B$56,"Lentidão","Normal"))</f>
        <v>#ERROR!</v>
      </c>
      <c r="C58" s="2"/>
      <c r="D58" s="3"/>
      <c r="K58" s="30" t="str">
        <f>IF($B$57&gt;2*$B$56,"Acima do dobro da capacidade: você não consegue se mover, nem com Esforço Total (24.4).",IF($B$57&gt;$B$56,"Acima da capacidade: Lentidão (24.4). Largar carga é Ação Complementar.",""))</f>
        <v>#ERROR!</v>
      </c>
      <c r="V58" s="35" t="str">
        <f t="array" ref="V58">"Poção de Vida "&amp;INDEX(Dados!$A$480:$A$482,2)</f>
        <v>Poção de Vida Média</v>
      </c>
      <c r="W58" s="35">
        <f t="array" ref="W58">INDEX(Dados!$C$480:$C$482,2)</f>
        <v>1</v>
      </c>
      <c r="AA58" s="17" t="s">
        <v>194</v>
      </c>
    </row>
    <row r="59" ht="39.75" customHeight="1">
      <c r="A59" s="14" t="s">
        <v>625</v>
      </c>
      <c r="B59" s="24"/>
      <c r="C59" s="14" t="s">
        <v>626</v>
      </c>
      <c r="D59" s="14" t="s">
        <v>627</v>
      </c>
      <c r="E59" s="14" t="s">
        <v>628</v>
      </c>
      <c r="F59" s="14" t="s">
        <v>629</v>
      </c>
      <c r="G59" s="14" t="s">
        <v>630</v>
      </c>
      <c r="H59" s="24"/>
      <c r="I59" s="24"/>
      <c r="J59" s="24"/>
      <c r="K59" s="14" t="s">
        <v>67</v>
      </c>
      <c r="L59" s="24"/>
      <c r="V59" s="35" t="str">
        <f t="array" ref="V59">"Poção de Vida "&amp;INDEX(Dados!$A$480:$A$482,3)</f>
        <v>Poção de Vida Grande</v>
      </c>
      <c r="W59" s="35">
        <f t="array" ref="W59">INDEX(Dados!$C$480:$C$482,3)</f>
        <v>2</v>
      </c>
      <c r="AA59" s="17" t="s">
        <v>200</v>
      </c>
    </row>
    <row r="60" ht="36.75" customHeight="1">
      <c r="A60" s="96"/>
      <c r="B60" s="32"/>
      <c r="C60" s="34"/>
      <c r="D60" s="41" t="str">
        <f>IF(LEN($A$60)=0,"",IFERROR(VLOOKUP($A$60,$V$57:$W$79,2,FALSE),IF(ISNUMBER($C$60),$C$60,0)))</f>
        <v/>
      </c>
      <c r="E60" s="34"/>
      <c r="F60" s="27">
        <f>IF(LEN($A$60)=0,0,IFERROR(VLOOKUP($A$60,$V$57:$W$79,2,FALSE),IF(ISNUMBER($C$60),$C$60,0))*IF(ISNUMBER($E$60),$E$60,1))</f>
        <v>0</v>
      </c>
      <c r="G60" s="37" t="str">
        <f>IF(LEN($A$60)=0,"",IF(ISERROR(MATCH($A$60,$V$57:$V$79,0)),"Texto livre: use o Espaço que o Mestre aprovar","Sim (capítulo 24)"))</f>
        <v/>
      </c>
      <c r="H60" s="2"/>
      <c r="I60" s="2"/>
      <c r="J60" s="3"/>
      <c r="K60" s="30" t="str">
        <f>IF(LEN($A$60)=0,IF(OR(LEN($C$60)&gt;0,LEN($E$60)&gt;0),"Falta o nome do item.",""),IF(AND(ISERROR(MATCH($A$60,$V$57:$V$79,0)),LEN($C$60)=0),"Fora do catálogo: preencha o Espaço. ","")&amp;IF(AND(LEN($C$60)&gt;0,NOT(ISNUMBER($C$60))),"Espaço precisa ser um número. ","")&amp;IF(AND(LEN($E$60)&gt;0,NOT(ISNUMBER($E$60))),"Quantidade precisa ser um número.",""))</f>
        <v/>
      </c>
      <c r="V60" s="35" t="str">
        <f t="array" ref="V60">INDEX(Dados!$A$486:$A$496,1)</f>
        <v>Kit de primeiros socorros (3 usos)</v>
      </c>
      <c r="W60" s="35">
        <f t="array" ref="W60">INDEX(Dados!$B$486:$B$496,1)</f>
        <v>1</v>
      </c>
      <c r="AA60" s="17" t="s">
        <v>208</v>
      </c>
    </row>
    <row r="61" ht="36.75" customHeight="1">
      <c r="A61" s="97"/>
      <c r="B61" s="32"/>
      <c r="C61" s="50"/>
      <c r="D61" s="47" t="str">
        <f>IF(LEN($A$61)=0,"",IFERROR(VLOOKUP($A$61,$V$57:$W$79,2,FALSE),IF(ISNUMBER($C$61),$C$61,0)))</f>
        <v/>
      </c>
      <c r="E61" s="50"/>
      <c r="F61" s="38">
        <f>IF(LEN($A$61)=0,0,IFERROR(VLOOKUP($A$61,$V$57:$W$79,2,FALSE),IF(ISNUMBER($C$61),$C$61,0))*IF(ISNUMBER($E$61),$E$61,1))</f>
        <v>0</v>
      </c>
      <c r="G61" s="56" t="str">
        <f>IF(LEN($A$61)=0,"",IF(ISERROR(MATCH($A$61,$V$57:$V$79,0)),"Texto livre: use o Espaço que o Mestre aprovar","Sim (capítulo 24)"))</f>
        <v/>
      </c>
      <c r="H61" s="2"/>
      <c r="I61" s="2"/>
      <c r="J61" s="3"/>
      <c r="K61" s="43" t="str">
        <f>IF(LEN($A$61)=0,IF(OR(LEN($C$61)&gt;0,LEN($E$61)&gt;0),"Falta o nome do item.",""),IF(AND(ISERROR(MATCH($A$61,$V$57:$V$79,0)),LEN($C$61)=0),"Fora do catálogo: preencha o Espaço. ","")&amp;IF(AND(LEN($C$61)&gt;0,NOT(ISNUMBER($C$61))),"Espaço precisa ser um número. ","")&amp;IF(AND(LEN($E$61)&gt;0,NOT(ISNUMBER($E$61))),"Quantidade precisa ser um número.",""))</f>
        <v/>
      </c>
      <c r="L61" s="3"/>
      <c r="V61" s="35" t="str">
        <f t="array" ref="V61">INDEX(Dados!$A$486:$A$496,2)</f>
        <v>Kit de ferramentas</v>
      </c>
      <c r="W61" s="35">
        <f t="array" ref="W61">INDEX(Dados!$B$486:$B$496,2)</f>
        <v>1</v>
      </c>
      <c r="AA61" s="17" t="s">
        <v>227</v>
      </c>
    </row>
    <row r="62" ht="36.75" customHeight="1">
      <c r="A62" s="96"/>
      <c r="B62" s="32"/>
      <c r="C62" s="34"/>
      <c r="D62" s="41" t="str">
        <f>IF(LEN($A$62)=0,"",IFERROR(VLOOKUP($A$62,$V$57:$W$79,2,FALSE),IF(ISNUMBER($C$62),$C$62,0)))</f>
        <v/>
      </c>
      <c r="E62" s="34"/>
      <c r="F62" s="27">
        <f>IF(LEN($A$62)=0,0,IFERROR(VLOOKUP($A$62,$V$57:$W$79,2,FALSE),IF(ISNUMBER($C$62),$C$62,0))*IF(ISNUMBER($E$62),$E$62,1))</f>
        <v>0</v>
      </c>
      <c r="G62" s="37" t="str">
        <f>IF(LEN($A$62)=0,"",IF(ISERROR(MATCH($A$62,$V$57:$V$79,0)),"Texto livre: use o Espaço que o Mestre aprovar","Sim (capítulo 24)"))</f>
        <v/>
      </c>
      <c r="H62" s="2"/>
      <c r="I62" s="2"/>
      <c r="J62" s="3"/>
      <c r="K62" s="30" t="str">
        <f>IF(LEN($A$62)=0,IF(OR(LEN($C$62)&gt;0,LEN($E$62)&gt;0),"Falta o nome do item.",""),IF(AND(ISERROR(MATCH($A$62,$V$57:$V$79,0)),LEN($C$62)=0),"Fora do catálogo: preencha o Espaço. ","")&amp;IF(AND(LEN($C$62)&gt;0,NOT(ISNUMBER($C$62))),"Espaço precisa ser um número. ","")&amp;IF(AND(LEN($E$62)&gt;0,NOT(ISNUMBER($E$62))),"Quantidade precisa ser um número.",""))</f>
        <v/>
      </c>
      <c r="V62" s="35" t="str">
        <f t="array" ref="V62">INDEX(Dados!$A$486:$A$496,3)</f>
        <v>Kit de pesquisa de campo</v>
      </c>
      <c r="W62" s="35">
        <f t="array" ref="W62">INDEX(Dados!$B$486:$B$496,3)</f>
        <v>1</v>
      </c>
      <c r="AA62" s="17" t="s">
        <v>232</v>
      </c>
    </row>
    <row r="63" ht="36.75" customHeight="1">
      <c r="A63" s="97"/>
      <c r="B63" s="32"/>
      <c r="C63" s="50"/>
      <c r="D63" s="47" t="str">
        <f>IF(LEN($A$63)=0,"",IFERROR(VLOOKUP($A$63,$V$57:$W$79,2,FALSE),IF(ISNUMBER($C$63),$C$63,0)))</f>
        <v/>
      </c>
      <c r="E63" s="50"/>
      <c r="F63" s="38">
        <f>IF(LEN($A$63)=0,0,IFERROR(VLOOKUP($A$63,$V$57:$W$79,2,FALSE),IF(ISNUMBER($C$63),$C$63,0))*IF(ISNUMBER($E$63),$E$63,1))</f>
        <v>0</v>
      </c>
      <c r="G63" s="56" t="str">
        <f>IF(LEN($A$63)=0,"",IF(ISERROR(MATCH($A$63,$V$57:$V$79,0)),"Texto livre: use o Espaço que o Mestre aprovar","Sim (capítulo 24)"))</f>
        <v/>
      </c>
      <c r="H63" s="2"/>
      <c r="I63" s="2"/>
      <c r="J63" s="3"/>
      <c r="K63" s="43" t="str">
        <f>IF(LEN($A$63)=0,IF(OR(LEN($C$63)&gt;0,LEN($E$63)&gt;0),"Falta o nome do item.",""),IF(AND(ISERROR(MATCH($A$63,$V$57:$V$79,0)),LEN($C$63)=0),"Fora do catálogo: preencha o Espaço. ","")&amp;IF(AND(LEN($C$63)&gt;0,NOT(ISNUMBER($C$63))),"Espaço precisa ser um número. ","")&amp;IF(AND(LEN($E$63)&gt;0,NOT(ISNUMBER($E$63))),"Quantidade precisa ser um número.",""))</f>
        <v/>
      </c>
      <c r="L63" s="3"/>
      <c r="V63" s="35" t="str">
        <f t="array" ref="V63">INDEX(Dados!$A$486:$A$496,4)</f>
        <v>Lanterna de plasma</v>
      </c>
      <c r="W63" s="35">
        <f t="array" ref="W63">INDEX(Dados!$B$486:$B$496,4)</f>
        <v>0.5</v>
      </c>
      <c r="AA63" s="17" t="s">
        <v>241</v>
      </c>
    </row>
    <row r="64" ht="36.75" customHeight="1">
      <c r="A64" s="96"/>
      <c r="B64" s="32"/>
      <c r="C64" s="34"/>
      <c r="D64" s="41" t="str">
        <f>IF(LEN($A$64)=0,"",IFERROR(VLOOKUP($A$64,$V$57:$W$79,2,FALSE),IF(ISNUMBER($C$64),$C$64,0)))</f>
        <v/>
      </c>
      <c r="E64" s="34"/>
      <c r="F64" s="27">
        <f>IF(LEN($A$64)=0,0,IFERROR(VLOOKUP($A$64,$V$57:$W$79,2,FALSE),IF(ISNUMBER($C$64),$C$64,0))*IF(ISNUMBER($E$64),$E$64,1))</f>
        <v>0</v>
      </c>
      <c r="G64" s="37" t="str">
        <f>IF(LEN($A$64)=0,"",IF(ISERROR(MATCH($A$64,$V$57:$V$79,0)),"Texto livre: use o Espaço que o Mestre aprovar","Sim (capítulo 24)"))</f>
        <v/>
      </c>
      <c r="H64" s="2"/>
      <c r="I64" s="2"/>
      <c r="J64" s="3"/>
      <c r="K64" s="30" t="str">
        <f>IF(LEN($A$64)=0,IF(OR(LEN($C$64)&gt;0,LEN($E$64)&gt;0),"Falta o nome do item.",""),IF(AND(ISERROR(MATCH($A$64,$V$57:$V$79,0)),LEN($C$64)=0),"Fora do catálogo: preencha o Espaço. ","")&amp;IF(AND(LEN($C$64)&gt;0,NOT(ISNUMBER($C$64))),"Espaço precisa ser um número. ","")&amp;IF(AND(LEN($E$64)&gt;0,NOT(ISNUMBER($E$64))),"Quantidade precisa ser um número.",""))</f>
        <v/>
      </c>
      <c r="V64" s="35" t="str">
        <f t="array" ref="V64">INDEX(Dados!$A$486:$A$496,5)</f>
        <v>Corda de fibra, 20 m</v>
      </c>
      <c r="W64" s="35">
        <f t="array" ref="W64">INDEX(Dados!$B$486:$B$496,5)</f>
        <v>1</v>
      </c>
      <c r="AA64" s="17" t="s">
        <v>250</v>
      </c>
    </row>
    <row r="65" ht="36.75" customHeight="1">
      <c r="A65" s="97"/>
      <c r="B65" s="32"/>
      <c r="C65" s="50"/>
      <c r="D65" s="47" t="str">
        <f>IF(LEN($A$65)=0,"",IFERROR(VLOOKUP($A$65,$V$57:$W$79,2,FALSE),IF(ISNUMBER($C$65),$C$65,0)))</f>
        <v/>
      </c>
      <c r="E65" s="50"/>
      <c r="F65" s="38">
        <f>IF(LEN($A$65)=0,0,IFERROR(VLOOKUP($A$65,$V$57:$W$79,2,FALSE),IF(ISNUMBER($C$65),$C$65,0))*IF(ISNUMBER($E$65),$E$65,1))</f>
        <v>0</v>
      </c>
      <c r="G65" s="56" t="str">
        <f>IF(LEN($A$65)=0,"",IF(ISERROR(MATCH($A$65,$V$57:$V$79,0)),"Texto livre: use o Espaço que o Mestre aprovar","Sim (capítulo 24)"))</f>
        <v/>
      </c>
      <c r="H65" s="2"/>
      <c r="I65" s="2"/>
      <c r="J65" s="3"/>
      <c r="K65" s="43" t="str">
        <f>IF(LEN($A$65)=0,IF(OR(LEN($C$65)&gt;0,LEN($E$65)&gt;0),"Falta o nome do item.",""),IF(AND(ISERROR(MATCH($A$65,$V$57:$V$79,0)),LEN($C$65)=0),"Fora do catálogo: preencha o Espaço. ","")&amp;IF(AND(LEN($C$65)&gt;0,NOT(ISNUMBER($C$65))),"Espaço precisa ser um número. ","")&amp;IF(AND(LEN($E$65)&gt;0,NOT(ISNUMBER($E$65))),"Quantidade precisa ser um número.",""))</f>
        <v/>
      </c>
      <c r="L65" s="3"/>
      <c r="V65" s="35" t="str">
        <f t="array" ref="V65">INDEX(Dados!$A$486:$A$496,6)</f>
        <v>Gancho de escalada</v>
      </c>
      <c r="W65" s="35">
        <f t="array" ref="W65">INDEX(Dados!$B$486:$B$496,6)</f>
        <v>0.5</v>
      </c>
      <c r="AA65" s="17" t="s">
        <v>259</v>
      </c>
    </row>
    <row r="66" ht="36.75" customHeight="1">
      <c r="A66" s="96"/>
      <c r="B66" s="32"/>
      <c r="C66" s="34"/>
      <c r="D66" s="41" t="str">
        <f>IF(LEN($A$66)=0,"",IFERROR(VLOOKUP($A$66,$V$57:$W$79,2,FALSE),IF(ISNUMBER($C$66),$C$66,0)))</f>
        <v/>
      </c>
      <c r="E66" s="34"/>
      <c r="F66" s="27">
        <f>IF(LEN($A$66)=0,0,IFERROR(VLOOKUP($A$66,$V$57:$W$79,2,FALSE),IF(ISNUMBER($C$66),$C$66,0))*IF(ISNUMBER($E$66),$E$66,1))</f>
        <v>0</v>
      </c>
      <c r="G66" s="37" t="str">
        <f>IF(LEN($A$66)=0,"",IF(ISERROR(MATCH($A$66,$V$57:$V$79,0)),"Texto livre: use o Espaço que o Mestre aprovar","Sim (capítulo 24)"))</f>
        <v/>
      </c>
      <c r="H66" s="2"/>
      <c r="I66" s="2"/>
      <c r="J66" s="3"/>
      <c r="K66" s="30" t="str">
        <f>IF(LEN($A$66)=0,IF(OR(LEN($C$66)&gt;0,LEN($E$66)&gt;0),"Falta o nome do item.",""),IF(AND(ISERROR(MATCH($A$66,$V$57:$V$79,0)),LEN($C$66)=0),"Fora do catálogo: preencha o Espaço. ","")&amp;IF(AND(LEN($C$66)&gt;0,NOT(ISNUMBER($C$66))),"Espaço precisa ser um número. ","")&amp;IF(AND(LEN($E$66)&gt;0,NOT(ISNUMBER($E$66))),"Quantidade precisa ser um número.",""))</f>
        <v/>
      </c>
      <c r="V66" s="35" t="str">
        <f t="array" ref="V66">INDEX(Dados!$A$486:$A$496,7)</f>
        <v>Ração de viagem (3 dias)</v>
      </c>
      <c r="W66" s="35">
        <f t="array" ref="W66">INDEX(Dados!$B$486:$B$496,7)</f>
        <v>0.5</v>
      </c>
      <c r="AA66" s="17" t="s">
        <v>265</v>
      </c>
    </row>
    <row r="67" ht="36.75" customHeight="1">
      <c r="A67" s="97"/>
      <c r="B67" s="32"/>
      <c r="C67" s="50"/>
      <c r="D67" s="47" t="str">
        <f>IF(LEN($A$67)=0,"",IFERROR(VLOOKUP($A$67,$V$57:$W$79,2,FALSE),IF(ISNUMBER($C$67),$C$67,0)))</f>
        <v/>
      </c>
      <c r="E67" s="50"/>
      <c r="F67" s="38">
        <f>IF(LEN($A$67)=0,0,IFERROR(VLOOKUP($A$67,$V$57:$W$79,2,FALSE),IF(ISNUMBER($C$67),$C$67,0))*IF(ISNUMBER($E$67),$E$67,1))</f>
        <v>0</v>
      </c>
      <c r="G67" s="56" t="str">
        <f>IF(LEN($A$67)=0,"",IF(ISERROR(MATCH($A$67,$V$57:$V$79,0)),"Texto livre: use o Espaço que o Mestre aprovar","Sim (capítulo 24)"))</f>
        <v/>
      </c>
      <c r="H67" s="2"/>
      <c r="I67" s="2"/>
      <c r="J67" s="3"/>
      <c r="K67" s="43" t="str">
        <f>IF(LEN($A$67)=0,IF(OR(LEN($C$67)&gt;0,LEN($E$67)&gt;0),"Falta o nome do item.",""),IF(AND(ISERROR(MATCH($A$67,$V$57:$V$79,0)),LEN($C$67)=0),"Fora do catálogo: preencha o Espaço. ","")&amp;IF(AND(LEN($C$67)&gt;0,NOT(ISNUMBER($C$67))),"Espaço precisa ser um número. ","")&amp;IF(AND(LEN($E$67)&gt;0,NOT(ISNUMBER($E$67))),"Quantidade precisa ser um número.",""))</f>
        <v/>
      </c>
      <c r="L67" s="3"/>
      <c r="V67" s="35" t="str">
        <f t="array" ref="V67">INDEX(Dados!$A$486:$A$496,8)</f>
        <v>Comunicador de curto alcance</v>
      </c>
      <c r="W67" s="35">
        <f t="array" ref="W67">INDEX(Dados!$B$486:$B$496,8)</f>
        <v>0.5</v>
      </c>
      <c r="AA67" s="17" t="s">
        <v>268</v>
      </c>
    </row>
    <row r="68" ht="36.75" customHeight="1">
      <c r="A68" s="96"/>
      <c r="B68" s="32"/>
      <c r="C68" s="34"/>
      <c r="D68" s="41" t="str">
        <f>IF(LEN($A$68)=0,"",IFERROR(VLOOKUP($A$68,$V$57:$W$79,2,FALSE),IF(ISNUMBER($C$68),$C$68,0)))</f>
        <v/>
      </c>
      <c r="E68" s="34"/>
      <c r="F68" s="27">
        <f>IF(LEN($A$68)=0,0,IFERROR(VLOOKUP($A$68,$V$57:$W$79,2,FALSE),IF(ISNUMBER($C$68),$C$68,0))*IF(ISNUMBER($E$68),$E$68,1))</f>
        <v>0</v>
      </c>
      <c r="G68" s="37" t="str">
        <f>IF(LEN($A$68)=0,"",IF(ISERROR(MATCH($A$68,$V$57:$V$79,0)),"Texto livre: use o Espaço que o Mestre aprovar","Sim (capítulo 24)"))</f>
        <v/>
      </c>
      <c r="H68" s="2"/>
      <c r="I68" s="2"/>
      <c r="J68" s="3"/>
      <c r="K68" s="30" t="str">
        <f>IF(LEN($A$68)=0,IF(OR(LEN($C$68)&gt;0,LEN($E$68)&gt;0),"Falta o nome do item.",""),IF(AND(ISERROR(MATCH($A$68,$V$57:$V$79,0)),LEN($C$68)=0),"Fora do catálogo: preencha o Espaço. ","")&amp;IF(AND(LEN($C$68)&gt;0,NOT(ISNUMBER($C$68))),"Espaço precisa ser um número. ","")&amp;IF(AND(LEN($E$68)&gt;0,NOT(ISNUMBER($E$68))),"Quantidade precisa ser um número.",""))</f>
        <v/>
      </c>
      <c r="V68" s="35" t="str">
        <f t="array" ref="V68">INDEX(Dados!$A$486:$A$496,9)</f>
        <v>Scanner portátil</v>
      </c>
      <c r="W68" s="35">
        <f t="array" ref="W68">INDEX(Dados!$B$486:$B$496,9)</f>
        <v>1</v>
      </c>
      <c r="AA68" s="17" t="s">
        <v>280</v>
      </c>
    </row>
    <row r="69" ht="36.75" customHeight="1">
      <c r="A69" s="97"/>
      <c r="B69" s="32"/>
      <c r="C69" s="50"/>
      <c r="D69" s="47" t="str">
        <f>IF(LEN($A$69)=0,"",IFERROR(VLOOKUP($A$69,$V$57:$W$79,2,FALSE),IF(ISNUMBER($C$69),$C$69,0)))</f>
        <v/>
      </c>
      <c r="E69" s="50"/>
      <c r="F69" s="38">
        <f>IF(LEN($A$69)=0,0,IFERROR(VLOOKUP($A$69,$V$57:$W$79,2,FALSE),IF(ISNUMBER($C$69),$C$69,0))*IF(ISNUMBER($E$69),$E$69,1))</f>
        <v>0</v>
      </c>
      <c r="G69" s="56" t="str">
        <f>IF(LEN($A$69)=0,"",IF(ISERROR(MATCH($A$69,$V$57:$V$79,0)),"Texto livre: use o Espaço que o Mestre aprovar","Sim (capítulo 24)"))</f>
        <v/>
      </c>
      <c r="H69" s="2"/>
      <c r="I69" s="2"/>
      <c r="J69" s="3"/>
      <c r="K69" s="43" t="str">
        <f>IF(LEN($A$69)=0,IF(OR(LEN($C$69)&gt;0,LEN($E$69)&gt;0),"Falta o nome do item.",""),IF(AND(ISERROR(MATCH($A$69,$V$57:$V$79,0)),LEN($C$69)=0),"Fora do catálogo: preencha o Espaço. ","")&amp;IF(AND(LEN($C$69)&gt;0,NOT(ISNUMBER($C$69))),"Espaço precisa ser um número. ","")&amp;IF(AND(LEN($E$69)&gt;0,NOT(ISNUMBER($E$69))),"Quantidade precisa ser um número.",""))</f>
        <v/>
      </c>
      <c r="L69" s="3"/>
      <c r="V69" s="35" t="str">
        <f t="array" ref="V69">INDEX(Dados!$A$486:$A$496,10)</f>
        <v>Traje de vedação</v>
      </c>
      <c r="W69" s="35">
        <f t="array" ref="W69">INDEX(Dados!$B$486:$B$496,10)</f>
        <v>2</v>
      </c>
      <c r="AA69" s="17" t="s">
        <v>282</v>
      </c>
    </row>
    <row r="70" ht="39.75" customHeight="1">
      <c r="A70" s="14" t="s">
        <v>1135</v>
      </c>
      <c r="B70" s="24"/>
      <c r="C70" s="14" t="s">
        <v>626</v>
      </c>
      <c r="D70" s="14" t="s">
        <v>627</v>
      </c>
      <c r="E70" s="14" t="s">
        <v>628</v>
      </c>
      <c r="F70" s="14" t="s">
        <v>629</v>
      </c>
      <c r="G70" s="14" t="s">
        <v>630</v>
      </c>
      <c r="H70" s="24"/>
      <c r="I70" s="24"/>
      <c r="J70" s="24"/>
      <c r="K70" s="14" t="s">
        <v>67</v>
      </c>
      <c r="L70" s="24"/>
      <c r="V70" s="35" t="str">
        <f t="array" ref="V70">INDEX(Dados!$A$486:$A$496,11)</f>
        <v>Munição ou célula de reserva</v>
      </c>
      <c r="W70" s="35">
        <f t="array" ref="W70">INDEX(Dados!$B$486:$B$496,11)</f>
        <v>0.5</v>
      </c>
    </row>
    <row r="71" ht="36.75" customHeight="1">
      <c r="A71" s="96"/>
      <c r="B71" s="32"/>
      <c r="C71" s="34"/>
      <c r="D71" s="41" t="str">
        <f>IF(LEN($A$71)=0,"",IFERROR(VLOOKUP($A$71,$V$57:$W$79,2,FALSE),IF(ISNUMBER($C$71),$C$71,0)))</f>
        <v/>
      </c>
      <c r="E71" s="34"/>
      <c r="F71" s="27">
        <f>IF(LEN($A$71)=0,0,IFERROR(VLOOKUP($A$71,$V$57:$W$79,2,FALSE),IF(ISNUMBER($C$71),$C$71,0))*IF(ISNUMBER($E$71),$E$71,1))</f>
        <v>0</v>
      </c>
      <c r="G71" s="37" t="str">
        <f>IF(LEN($A$71)=0,"",IF(ISERROR(MATCH($A$71,$V$57:$V$79,0)),"Texto livre: use o Espaço que o Mestre aprovar","Sim (capítulo 24)"))</f>
        <v/>
      </c>
      <c r="H71" s="2"/>
      <c r="I71" s="2"/>
      <c r="J71" s="3"/>
      <c r="K71" s="30" t="str">
        <f>IF(LEN($A$71)=0,IF(OR(LEN($C$71)&gt;0,LEN($E$71)&gt;0),"Falta o nome do item.",""),IF(AND(ISERROR(MATCH($A$71,$V$57:$V$79,0)),LEN($C$71)=0),"Fora do catálogo: preencha o Espaço. ","")&amp;IF(AND(LEN($C$71)&gt;0,NOT(ISNUMBER($C$71))),"Espaço precisa ser um número. ","")&amp;IF(AND(LEN($E$71)&gt;0,NOT(ISNUMBER($E$71))),"Quantidade precisa ser um número.",""))</f>
        <v/>
      </c>
      <c r="V71" s="35" t="str">
        <f t="array" ref="V71">"Arma "&amp;INDEX(Dados!$A$457:$A$462,1)</f>
        <v>Arma Leve</v>
      </c>
      <c r="W71" s="35">
        <f t="array" ref="W71">INDEX(Dados!$H$457:$H$462,1)</f>
        <v>1</v>
      </c>
    </row>
    <row r="72" ht="36.75" customHeight="1">
      <c r="A72" s="97"/>
      <c r="B72" s="32"/>
      <c r="C72" s="50"/>
      <c r="D72" s="47" t="str">
        <f>IF(LEN($A$72)=0,"",IFERROR(VLOOKUP($A$72,$V$57:$W$79,2,FALSE),IF(ISNUMBER($C$72),$C$72,0)))</f>
        <v/>
      </c>
      <c r="E72" s="50"/>
      <c r="F72" s="38">
        <f>IF(LEN($A$72)=0,0,IFERROR(VLOOKUP($A$72,$V$57:$W$79,2,FALSE),IF(ISNUMBER($C$72),$C$72,0))*IF(ISNUMBER($E$72),$E$72,1))</f>
        <v>0</v>
      </c>
      <c r="G72" s="56" t="str">
        <f>IF(LEN($A$72)=0,"",IF(ISERROR(MATCH($A$72,$V$57:$V$79,0)),"Texto livre: use o Espaço que o Mestre aprovar","Sim (capítulo 24)"))</f>
        <v/>
      </c>
      <c r="H72" s="2"/>
      <c r="I72" s="2"/>
      <c r="J72" s="3"/>
      <c r="K72" s="43" t="str">
        <f>IF(LEN($A$72)=0,IF(OR(LEN($C$72)&gt;0,LEN($E$72)&gt;0),"Falta o nome do item.",""),IF(AND(ISERROR(MATCH($A$72,$V$57:$V$79,0)),LEN($C$72)=0),"Fora do catálogo: preencha o Espaço. ","")&amp;IF(AND(LEN($C$72)&gt;0,NOT(ISNUMBER($C$72))),"Espaço precisa ser um número. ","")&amp;IF(AND(LEN($E$72)&gt;0,NOT(ISNUMBER($E$72))),"Quantidade precisa ser um número.",""))</f>
        <v/>
      </c>
      <c r="L72" s="3"/>
      <c r="V72" s="35" t="str">
        <f t="array" ref="V72">"Arma "&amp;INDEX(Dados!$A$457:$A$462,2)</f>
        <v>Arma Média</v>
      </c>
      <c r="W72" s="35">
        <f t="array" ref="W72">INDEX(Dados!$H$457:$H$462,2)</f>
        <v>1</v>
      </c>
    </row>
    <row r="73" ht="36.75" customHeight="1">
      <c r="A73" s="96"/>
      <c r="B73" s="32"/>
      <c r="C73" s="34"/>
      <c r="D73" s="41" t="str">
        <f>IF(LEN($A$73)=0,"",IFERROR(VLOOKUP($A$73,$V$57:$W$79,2,FALSE),IF(ISNUMBER($C$73),$C$73,0)))</f>
        <v/>
      </c>
      <c r="E73" s="34"/>
      <c r="F73" s="27">
        <f>IF(LEN($A$73)=0,0,IFERROR(VLOOKUP($A$73,$V$57:$W$79,2,FALSE),IF(ISNUMBER($C$73),$C$73,0))*IF(ISNUMBER($E$73),$E$73,1))</f>
        <v>0</v>
      </c>
      <c r="G73" s="37" t="str">
        <f>IF(LEN($A$73)=0,"",IF(ISERROR(MATCH($A$73,$V$57:$V$79,0)),"Texto livre: use o Espaço que o Mestre aprovar","Sim (capítulo 24)"))</f>
        <v/>
      </c>
      <c r="H73" s="2"/>
      <c r="I73" s="2"/>
      <c r="J73" s="3"/>
      <c r="K73" s="30" t="str">
        <f>IF(LEN($A$73)=0,IF(OR(LEN($C$73)&gt;0,LEN($E$73)&gt;0),"Falta o nome do item.",""),IF(AND(ISERROR(MATCH($A$73,$V$57:$V$79,0)),LEN($C$73)=0),"Fora do catálogo: preencha o Espaço. ","")&amp;IF(AND(LEN($C$73)&gt;0,NOT(ISNUMBER($C$73))),"Espaço precisa ser um número. ","")&amp;IF(AND(LEN($E$73)&gt;0,NOT(ISNUMBER($E$73))),"Quantidade precisa ser um número.",""))</f>
        <v/>
      </c>
      <c r="V73" s="35" t="str">
        <f t="array" ref="V73">"Arma "&amp;INDEX(Dados!$A$457:$A$462,3)</f>
        <v>Arma Pesada</v>
      </c>
      <c r="W73" s="35">
        <f t="array" ref="W73">INDEX(Dados!$H$457:$H$462,3)</f>
        <v>2</v>
      </c>
    </row>
    <row r="74" ht="36.75" customHeight="1">
      <c r="A74" s="97"/>
      <c r="B74" s="32"/>
      <c r="C74" s="50"/>
      <c r="D74" s="47" t="str">
        <f>IF(LEN($A$74)=0,"",IFERROR(VLOOKUP($A$74,$V$57:$W$79,2,FALSE),IF(ISNUMBER($C$74),$C$74,0)))</f>
        <v/>
      </c>
      <c r="E74" s="50"/>
      <c r="F74" s="38">
        <f>IF(LEN($A$74)=0,0,IFERROR(VLOOKUP($A$74,$V$57:$W$79,2,FALSE),IF(ISNUMBER($C$74),$C$74,0))*IF(ISNUMBER($E$74),$E$74,1))</f>
        <v>0</v>
      </c>
      <c r="G74" s="56" t="str">
        <f>IF(LEN($A$74)=0,"",IF(ISERROR(MATCH($A$74,$V$57:$V$79,0)),"Texto livre: use o Espaço que o Mestre aprovar","Sim (capítulo 24)"))</f>
        <v/>
      </c>
      <c r="H74" s="2"/>
      <c r="I74" s="2"/>
      <c r="J74" s="3"/>
      <c r="K74" s="43" t="str">
        <f>IF(LEN($A$74)=0,IF(OR(LEN($C$74)&gt;0,LEN($E$74)&gt;0),"Falta o nome do item.",""),IF(AND(ISERROR(MATCH($A$74,$V$57:$V$79,0)),LEN($C$74)=0),"Fora do catálogo: preencha o Espaço. ","")&amp;IF(AND(LEN($C$74)&gt;0,NOT(ISNUMBER($C$74))),"Espaço precisa ser um número. ","")&amp;IF(AND(LEN($E$74)&gt;0,NOT(ISNUMBER($E$74))),"Quantidade precisa ser um número.",""))</f>
        <v/>
      </c>
      <c r="L74" s="3"/>
      <c r="V74" s="35" t="str">
        <f t="array" ref="V74">"Arma "&amp;INDEX(Dados!$A$457:$A$462,4)</f>
        <v>Arma Disparo curto</v>
      </c>
      <c r="W74" s="35">
        <f t="array" ref="W74">INDEX(Dados!$H$457:$H$462,4)</f>
        <v>1</v>
      </c>
    </row>
    <row r="75" ht="36.75" customHeight="1">
      <c r="A75" s="96"/>
      <c r="B75" s="32"/>
      <c r="C75" s="34"/>
      <c r="D75" s="41" t="str">
        <f>IF(LEN($A$75)=0,"",IFERROR(VLOOKUP($A$75,$V$57:$W$79,2,FALSE),IF(ISNUMBER($C$75),$C$75,0)))</f>
        <v/>
      </c>
      <c r="E75" s="34"/>
      <c r="F75" s="27">
        <f>IF(LEN($A$75)=0,0,IFERROR(VLOOKUP($A$75,$V$57:$W$79,2,FALSE),IF(ISNUMBER($C$75),$C$75,0))*IF(ISNUMBER($E$75),$E$75,1))</f>
        <v>0</v>
      </c>
      <c r="G75" s="37" t="str">
        <f>IF(LEN($A$75)=0,"",IF(ISERROR(MATCH($A$75,$V$57:$V$79,0)),"Texto livre: use o Espaço que o Mestre aprovar","Sim (capítulo 24)"))</f>
        <v/>
      </c>
      <c r="H75" s="2"/>
      <c r="I75" s="2"/>
      <c r="J75" s="3"/>
      <c r="K75" s="30" t="str">
        <f>IF(LEN($A$75)=0,IF(OR(LEN($C$75)&gt;0,LEN($E$75)&gt;0),"Falta o nome do item.",""),IF(AND(ISERROR(MATCH($A$75,$V$57:$V$79,0)),LEN($C$75)=0),"Fora do catálogo: preencha o Espaço. ","")&amp;IF(AND(LEN($C$75)&gt;0,NOT(ISNUMBER($C$75))),"Espaço precisa ser um número. ","")&amp;IF(AND(LEN($E$75)&gt;0,NOT(ISNUMBER($E$75))),"Quantidade precisa ser um número.",""))</f>
        <v/>
      </c>
      <c r="V75" s="35" t="str">
        <f t="array" ref="V75">"Arma "&amp;INDEX(Dados!$A$457:$A$462,5)</f>
        <v>Arma Disparo longo</v>
      </c>
      <c r="W75" s="35">
        <f t="array" ref="W75">INDEX(Dados!$H$457:$H$462,5)</f>
        <v>2</v>
      </c>
    </row>
    <row r="76" ht="36.75" customHeight="1">
      <c r="A76" s="97"/>
      <c r="B76" s="32"/>
      <c r="C76" s="50"/>
      <c r="D76" s="47" t="str">
        <f>IF(LEN($A$76)=0,"",IFERROR(VLOOKUP($A$76,$V$57:$W$79,2,FALSE),IF(ISNUMBER($C$76),$C$76,0)))</f>
        <v/>
      </c>
      <c r="E76" s="50"/>
      <c r="F76" s="38">
        <f>IF(LEN($A$76)=0,0,IFERROR(VLOOKUP($A$76,$V$57:$W$79,2,FALSE),IF(ISNUMBER($C$76),$C$76,0))*IF(ISNUMBER($E$76),$E$76,1))</f>
        <v>0</v>
      </c>
      <c r="G76" s="56" t="str">
        <f>IF(LEN($A$76)=0,"",IF(ISERROR(MATCH($A$76,$V$57:$V$79,0)),"Texto livre: use o Espaço que o Mestre aprovar","Sim (capítulo 24)"))</f>
        <v/>
      </c>
      <c r="H76" s="2"/>
      <c r="I76" s="2"/>
      <c r="J76" s="3"/>
      <c r="K76" s="43" t="str">
        <f>IF(LEN($A$76)=0,IF(OR(LEN($C$76)&gt;0,LEN($E$76)&gt;0),"Falta o nome do item.",""),IF(AND(ISERROR(MATCH($A$76,$V$57:$V$79,0)),LEN($C$76)=0),"Fora do catálogo: preencha o Espaço. ","")&amp;IF(AND(LEN($C$76)&gt;0,NOT(ISNUMBER($C$76))),"Espaço precisa ser um número. ","")&amp;IF(AND(LEN($E$76)&gt;0,NOT(ISNUMBER($E$76))),"Quantidade precisa ser um número.",""))</f>
        <v/>
      </c>
      <c r="L76" s="3"/>
      <c r="V76" s="35" t="str">
        <f t="array" ref="V76">"Arma "&amp;INDEX(Dados!$A$457:$A$462,6)</f>
        <v>Arma Energia</v>
      </c>
      <c r="W76" s="35">
        <f t="array" ref="W76">INDEX(Dados!$H$457:$H$462,6)</f>
        <v>2</v>
      </c>
    </row>
    <row r="77" ht="36.75" customHeight="1">
      <c r="A77" s="96"/>
      <c r="B77" s="32"/>
      <c r="C77" s="34"/>
      <c r="D77" s="41" t="str">
        <f>IF(LEN($A$77)=0,"",IFERROR(VLOOKUP($A$77,$V$57:$W$79,2,FALSE),IF(ISNUMBER($C$77),$C$77,0)))</f>
        <v/>
      </c>
      <c r="E77" s="34"/>
      <c r="F77" s="27">
        <f>IF(LEN($A$77)=0,0,IFERROR(VLOOKUP($A$77,$V$57:$W$79,2,FALSE),IF(ISNUMBER($C$77),$C$77,0))*IF(ISNUMBER($E$77),$E$77,1))</f>
        <v>0</v>
      </c>
      <c r="G77" s="37" t="str">
        <f>IF(LEN($A$77)=0,"",IF(ISERROR(MATCH($A$77,$V$57:$V$79,0)),"Texto livre: use o Espaço que o Mestre aprovar","Sim (capítulo 24)"))</f>
        <v/>
      </c>
      <c r="H77" s="2"/>
      <c r="I77" s="2"/>
      <c r="J77" s="3"/>
      <c r="K77" s="30" t="str">
        <f>IF(LEN($A$77)=0,IF(OR(LEN($C$77)&gt;0,LEN($E$77)&gt;0),"Falta o nome do item.",""),IF(AND(ISERROR(MATCH($A$77,$V$57:$V$79,0)),LEN($C$77)=0),"Fora do catálogo: preencha o Espaço. ","")&amp;IF(AND(LEN($C$77)&gt;0,NOT(ISNUMBER($C$77))),"Espaço precisa ser um número. ","")&amp;IF(AND(LEN($E$77)&gt;0,NOT(ISNUMBER($E$77))),"Quantidade precisa ser um número.",""))</f>
        <v/>
      </c>
      <c r="V77" s="35" t="str">
        <f t="array" ref="V77">"Armadura "&amp;INDEX(Dados!$A$474:$A$476,1)</f>
        <v>Armadura Leve</v>
      </c>
      <c r="W77" s="35">
        <f t="array" ref="W77">INDEX(Dados!$E$474:$E$476,1)</f>
        <v>1</v>
      </c>
    </row>
    <row r="78" ht="36.75" customHeight="1">
      <c r="A78" s="97"/>
      <c r="B78" s="32"/>
      <c r="C78" s="50"/>
      <c r="D78" s="47" t="str">
        <f>IF(LEN($A$78)=0,"",IFERROR(VLOOKUP($A$78,$V$57:$W$79,2,FALSE),IF(ISNUMBER($C$78),$C$78,0)))</f>
        <v/>
      </c>
      <c r="E78" s="50"/>
      <c r="F78" s="38">
        <f>IF(LEN($A$78)=0,0,IFERROR(VLOOKUP($A$78,$V$57:$W$79,2,FALSE),IF(ISNUMBER($C$78),$C$78,0))*IF(ISNUMBER($E$78),$E$78,1))</f>
        <v>0</v>
      </c>
      <c r="G78" s="56" t="str">
        <f>IF(LEN($A$78)=0,"",IF(ISERROR(MATCH($A$78,$V$57:$V$79,0)),"Texto livre: use o Espaço que o Mestre aprovar","Sim (capítulo 24)"))</f>
        <v/>
      </c>
      <c r="H78" s="2"/>
      <c r="I78" s="2"/>
      <c r="J78" s="3"/>
      <c r="K78" s="43" t="str">
        <f>IF(LEN($A$78)=0,IF(OR(LEN($C$78)&gt;0,LEN($E$78)&gt;0),"Falta o nome do item.",""),IF(AND(ISERROR(MATCH($A$78,$V$57:$V$79,0)),LEN($C$78)=0),"Fora do catálogo: preencha o Espaço. ","")&amp;IF(AND(LEN($C$78)&gt;0,NOT(ISNUMBER($C$78))),"Espaço precisa ser um número. ","")&amp;IF(AND(LEN($E$78)&gt;0,NOT(ISNUMBER($E$78))),"Quantidade precisa ser um número.",""))</f>
        <v/>
      </c>
      <c r="L78" s="3"/>
      <c r="V78" s="35" t="str">
        <f t="array" ref="V78">"Armadura "&amp;INDEX(Dados!$A$474:$A$476,2)</f>
        <v>Armadura Média</v>
      </c>
      <c r="W78" s="35">
        <f t="array" ref="W78">INDEX(Dados!$E$474:$E$476,2)</f>
        <v>2</v>
      </c>
    </row>
    <row r="79" ht="36.75" customHeight="1">
      <c r="A79" s="96"/>
      <c r="B79" s="32"/>
      <c r="C79" s="34"/>
      <c r="D79" s="41" t="str">
        <f>IF(LEN($A$79)=0,"",IFERROR(VLOOKUP($A$79,$V$57:$W$79,2,FALSE),IF(ISNUMBER($C$79),$C$79,0)))</f>
        <v/>
      </c>
      <c r="E79" s="34"/>
      <c r="F79" s="27">
        <f>IF(LEN($A$79)=0,0,IFERROR(VLOOKUP($A$79,$V$57:$W$79,2,FALSE),IF(ISNUMBER($C$79),$C$79,0))*IF(ISNUMBER($E$79),$E$79,1))</f>
        <v>0</v>
      </c>
      <c r="G79" s="37" t="str">
        <f>IF(LEN($A$79)=0,"",IF(ISERROR(MATCH($A$79,$V$57:$V$79,0)),"Texto livre: use o Espaço que o Mestre aprovar","Sim (capítulo 24)"))</f>
        <v/>
      </c>
      <c r="H79" s="2"/>
      <c r="I79" s="2"/>
      <c r="J79" s="3"/>
      <c r="K79" s="30" t="str">
        <f>IF(LEN($A$79)=0,IF(OR(LEN($C$79)&gt;0,LEN($E$79)&gt;0),"Falta o nome do item.",""),IF(AND(ISERROR(MATCH($A$79,$V$57:$V$79,0)),LEN($C$79)=0),"Fora do catálogo: preencha o Espaço. ","")&amp;IF(AND(LEN($C$79)&gt;0,NOT(ISNUMBER($C$79))),"Espaço precisa ser um número. ","")&amp;IF(AND(LEN($E$79)&gt;0,NOT(ISNUMBER($E$79))),"Quantidade precisa ser um número.",""))</f>
        <v/>
      </c>
      <c r="V79" s="35" t="str">
        <f t="array" ref="V79">"Armadura "&amp;INDEX(Dados!$A$474:$A$476,3)</f>
        <v>Armadura Pesada</v>
      </c>
      <c r="W79" s="35">
        <f t="array" ref="W79">INDEX(Dados!$E$474:$E$476,3)</f>
        <v>3</v>
      </c>
    </row>
    <row r="80" ht="36.75" customHeight="1">
      <c r="A80" s="97"/>
      <c r="B80" s="32"/>
      <c r="C80" s="50"/>
      <c r="D80" s="47" t="str">
        <f>IF(LEN($A$80)=0,"",IFERROR(VLOOKUP($A$80,$V$57:$W$79,2,FALSE),IF(ISNUMBER($C$80),$C$80,0)))</f>
        <v/>
      </c>
      <c r="E80" s="50"/>
      <c r="F80" s="38">
        <f>IF(LEN($A$80)=0,0,IFERROR(VLOOKUP($A$80,$V$57:$W$79,2,FALSE),IF(ISNUMBER($C$80),$C$80,0))*IF(ISNUMBER($E$80),$E$80,1))</f>
        <v>0</v>
      </c>
      <c r="G80" s="56" t="str">
        <f>IF(LEN($A$80)=0,"",IF(ISERROR(MATCH($A$80,$V$57:$V$79,0)),"Texto livre: use o Espaço que o Mestre aprovar","Sim (capítulo 24)"))</f>
        <v/>
      </c>
      <c r="H80" s="2"/>
      <c r="I80" s="2"/>
      <c r="J80" s="3"/>
      <c r="K80" s="43" t="str">
        <f>IF(LEN($A$80)=0,IF(OR(LEN($C$80)&gt;0,LEN($E$80)&gt;0),"Falta o nome do item.",""),IF(AND(ISERROR(MATCH($A$80,$V$57:$V$79,0)),LEN($C$80)=0),"Fora do catálogo: preencha o Espaço. ","")&amp;IF(AND(LEN($C$80)&gt;0,NOT(ISNUMBER($C$80))),"Espaço precisa ser um número. ","")&amp;IF(AND(LEN($E$80)&gt;0,NOT(ISNUMBER($E$80))),"Quantidade precisa ser um número.",""))</f>
        <v/>
      </c>
      <c r="L80" s="3"/>
    </row>
    <row r="81" ht="15.75" customHeight="1">
      <c r="A81" s="15" t="s">
        <v>1535</v>
      </c>
      <c r="F81" s="27">
        <f>SUM($F$60:$F$80)</f>
        <v>0</v>
      </c>
    </row>
    <row r="82" ht="15.75" customHeight="1"/>
    <row r="83" ht="15.75" customHeight="1">
      <c r="A83" s="5" t="s">
        <v>1536</v>
      </c>
      <c r="B83" s="2"/>
      <c r="C83" s="2"/>
      <c r="D83" s="2"/>
      <c r="E83" s="2"/>
      <c r="F83" s="2"/>
      <c r="G83" s="2"/>
      <c r="H83" s="2"/>
      <c r="I83" s="2"/>
      <c r="J83" s="2"/>
      <c r="K83" s="2"/>
      <c r="L83" s="3"/>
    </row>
    <row r="84" ht="15.75" customHeight="1">
      <c r="A84" s="15" t="s">
        <v>1537</v>
      </c>
      <c r="B84" s="34"/>
      <c r="K84" s="30" t="str">
        <f>IF(AND(LEN($B$84)&gt;0,NOT(ISNUMBER($B$84))),"Precisa ser um número.","")</f>
        <v/>
      </c>
    </row>
    <row r="85" ht="36.75" customHeight="1">
      <c r="A85" s="14" t="s">
        <v>1538</v>
      </c>
      <c r="B85" s="14" t="s">
        <v>1539</v>
      </c>
      <c r="C85" s="24"/>
      <c r="D85" s="24"/>
      <c r="E85" s="24"/>
      <c r="F85" s="24"/>
      <c r="G85" s="14" t="s">
        <v>1540</v>
      </c>
      <c r="K85" s="14" t="s">
        <v>67</v>
      </c>
      <c r="L85" s="24"/>
    </row>
    <row r="86" ht="15.75" customHeight="1">
      <c r="A86" s="26">
        <v>1.0</v>
      </c>
      <c r="B86" s="51"/>
      <c r="C86" s="29"/>
      <c r="D86" s="29"/>
      <c r="E86" s="29"/>
      <c r="F86" s="32"/>
      <c r="G86" s="34"/>
      <c r="K86" s="30" t="str">
        <f>IF(AND(LEN($G$86)&gt;0,NOT(ISNUMBER($G$86))),"Valor precisa ser um número.",IF(AND(LEN($G$86)=0,LEN($B$86)&gt;0),"Falta o valor.",""))</f>
        <v/>
      </c>
    </row>
    <row r="87" ht="15.75" customHeight="1">
      <c r="A87" s="40">
        <v>2.0</v>
      </c>
      <c r="B87" s="73"/>
      <c r="C87" s="29"/>
      <c r="D87" s="29"/>
      <c r="E87" s="29"/>
      <c r="F87" s="32"/>
      <c r="G87" s="50"/>
      <c r="H87" s="49"/>
      <c r="I87" s="49"/>
      <c r="J87" s="49"/>
      <c r="K87" s="43" t="str">
        <f>IF(AND(LEN($G$87)&gt;0,NOT(ISNUMBER($G$87))),"Valor precisa ser um número.",IF(AND(LEN($G$87)=0,LEN($B$87)&gt;0),"Falta o valor.",""))</f>
        <v/>
      </c>
      <c r="L87" s="3"/>
    </row>
    <row r="88" ht="15.75" customHeight="1">
      <c r="A88" s="26">
        <v>3.0</v>
      </c>
      <c r="B88" s="51"/>
      <c r="C88" s="29"/>
      <c r="D88" s="29"/>
      <c r="E88" s="29"/>
      <c r="F88" s="32"/>
      <c r="G88" s="34"/>
      <c r="K88" s="30" t="str">
        <f>IF(AND(LEN($G$88)&gt;0,NOT(ISNUMBER($G$88))),"Valor precisa ser um número.",IF(AND(LEN($G$88)=0,LEN($B$88)&gt;0),"Falta o valor.",""))</f>
        <v/>
      </c>
    </row>
    <row r="89" ht="15.75" customHeight="1">
      <c r="A89" s="40">
        <v>4.0</v>
      </c>
      <c r="B89" s="73"/>
      <c r="C89" s="29"/>
      <c r="D89" s="29"/>
      <c r="E89" s="29"/>
      <c r="F89" s="32"/>
      <c r="G89" s="50"/>
      <c r="H89" s="49"/>
      <c r="I89" s="49"/>
      <c r="J89" s="49"/>
      <c r="K89" s="43" t="str">
        <f>IF(AND(LEN($G$89)&gt;0,NOT(ISNUMBER($G$89))),"Valor precisa ser um número.",IF(AND(LEN($G$89)=0,LEN($B$89)&gt;0),"Falta o valor.",""))</f>
        <v/>
      </c>
      <c r="L89" s="3"/>
    </row>
    <row r="90" ht="15.75" customHeight="1">
      <c r="A90" s="26">
        <v>5.0</v>
      </c>
      <c r="B90" s="51"/>
      <c r="C90" s="29"/>
      <c r="D90" s="29"/>
      <c r="E90" s="29"/>
      <c r="F90" s="32"/>
      <c r="G90" s="34"/>
      <c r="K90" s="30" t="str">
        <f>IF(AND(LEN($G$90)&gt;0,NOT(ISNUMBER($G$90))),"Valor precisa ser um número.",IF(AND(LEN($G$90)=0,LEN($B$90)&gt;0),"Falta o valor.",""))</f>
        <v/>
      </c>
    </row>
    <row r="91" ht="15.75" customHeight="1">
      <c r="A91" s="40">
        <v>6.0</v>
      </c>
      <c r="B91" s="73"/>
      <c r="C91" s="29"/>
      <c r="D91" s="29"/>
      <c r="E91" s="29"/>
      <c r="F91" s="32"/>
      <c r="G91" s="50"/>
      <c r="H91" s="49"/>
      <c r="I91" s="49"/>
      <c r="J91" s="49"/>
      <c r="K91" s="43" t="str">
        <f>IF(AND(LEN($G$91)&gt;0,NOT(ISNUMBER($G$91))),"Valor precisa ser um número.",IF(AND(LEN($G$91)=0,LEN($B$91)&gt;0),"Falta o valor.",""))</f>
        <v/>
      </c>
      <c r="L91" s="3"/>
    </row>
    <row r="92" ht="15.75" customHeight="1">
      <c r="A92" s="26">
        <v>7.0</v>
      </c>
      <c r="B92" s="51"/>
      <c r="C92" s="29"/>
      <c r="D92" s="29"/>
      <c r="E92" s="29"/>
      <c r="F92" s="32"/>
      <c r="G92" s="34"/>
      <c r="K92" s="30" t="str">
        <f>IF(AND(LEN($G$92)&gt;0,NOT(ISNUMBER($G$92))),"Valor precisa ser um número.",IF(AND(LEN($G$92)=0,LEN($B$92)&gt;0),"Falta o valor.",""))</f>
        <v/>
      </c>
    </row>
    <row r="93" ht="15.75" customHeight="1">
      <c r="A93" s="40">
        <v>8.0</v>
      </c>
      <c r="B93" s="73"/>
      <c r="C93" s="29"/>
      <c r="D93" s="29"/>
      <c r="E93" s="29"/>
      <c r="F93" s="32"/>
      <c r="G93" s="50"/>
      <c r="H93" s="49"/>
      <c r="I93" s="49"/>
      <c r="J93" s="49"/>
      <c r="K93" s="43" t="str">
        <f>IF(AND(LEN($G$93)&gt;0,NOT(ISNUMBER($G$93))),"Valor precisa ser um número.",IF(AND(LEN($G$93)=0,LEN($B$93)&gt;0),"Falta o valor.",""))</f>
        <v/>
      </c>
      <c r="L93" s="3"/>
    </row>
    <row r="94" ht="15.75" customHeight="1">
      <c r="A94" s="26">
        <v>9.0</v>
      </c>
      <c r="B94" s="51"/>
      <c r="C94" s="29"/>
      <c r="D94" s="29"/>
      <c r="E94" s="29"/>
      <c r="F94" s="32"/>
      <c r="G94" s="34"/>
      <c r="K94" s="30" t="str">
        <f>IF(AND(LEN($G$94)&gt;0,NOT(ISNUMBER($G$94))),"Valor precisa ser um número.",IF(AND(LEN($G$94)=0,LEN($B$94)&gt;0),"Falta o valor.",""))</f>
        <v/>
      </c>
    </row>
    <row r="95" ht="15.75" customHeight="1">
      <c r="A95" s="40">
        <v>10.0</v>
      </c>
      <c r="B95" s="73"/>
      <c r="C95" s="29"/>
      <c r="D95" s="29"/>
      <c r="E95" s="29"/>
      <c r="F95" s="32"/>
      <c r="G95" s="50"/>
      <c r="H95" s="49"/>
      <c r="I95" s="49"/>
      <c r="J95" s="49"/>
      <c r="K95" s="43" t="str">
        <f>IF(AND(LEN($G$95)&gt;0,NOT(ISNUMBER($G$95))),"Valor precisa ser um número.",IF(AND(LEN($G$95)=0,LEN($B$95)&gt;0),"Falta o valor.",""))</f>
        <v/>
      </c>
      <c r="L95" s="3"/>
    </row>
    <row r="96" ht="15.75" customHeight="1">
      <c r="A96" s="15" t="s">
        <v>1541</v>
      </c>
      <c r="B96" s="27">
        <f>IF(ISNUMBER($B$84),$B$84,0)+SUMIF($G$86:$G$95,"&gt;-100000000")</f>
        <v>0</v>
      </c>
      <c r="K96" s="30" t="str">
        <f>IF($B$96&lt;0,"Saldo negativo.","")</f>
        <v/>
      </c>
    </row>
    <row r="97" ht="25.5" customHeight="1">
      <c r="A97" s="46" t="s">
        <v>1542</v>
      </c>
      <c r="B97" s="38">
        <f t="array" ref="B97">INDEX(Dados!$B$506:$B$510,'Criação'!$B$14)</f>
        <v>200</v>
      </c>
      <c r="C97" s="56" t="str">
        <f t="array" ref="C97">"Cr por nível ganho, para o grupo (24.5): "&amp;INDEX(Dados!$C$506:$C$510,'Criação'!$B$14)</f>
        <v>Cr por nível ganho, para o grupo (24.5): reposição de poções, uma arma, um kit</v>
      </c>
      <c r="D97" s="2"/>
      <c r="E97" s="2"/>
      <c r="F97" s="2"/>
      <c r="G97" s="2"/>
      <c r="H97" s="2"/>
      <c r="I97" s="2"/>
      <c r="J97" s="2"/>
      <c r="K97" s="3"/>
      <c r="L97" s="49"/>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2">
    <mergeCell ref="I44:L44"/>
    <mergeCell ref="I45:L45"/>
    <mergeCell ref="I46:L46"/>
    <mergeCell ref="I47:L47"/>
    <mergeCell ref="I48:K48"/>
    <mergeCell ref="C46:D46"/>
    <mergeCell ref="E46:F46"/>
    <mergeCell ref="C47:D47"/>
    <mergeCell ref="E47:F47"/>
    <mergeCell ref="C50:L50"/>
    <mergeCell ref="C51:L51"/>
    <mergeCell ref="C52:L52"/>
    <mergeCell ref="G80:J80"/>
    <mergeCell ref="K80:L80"/>
    <mergeCell ref="A78:B78"/>
    <mergeCell ref="G78:J78"/>
    <mergeCell ref="K78:L78"/>
    <mergeCell ref="A79:B79"/>
    <mergeCell ref="G79:J79"/>
    <mergeCell ref="A80:B80"/>
    <mergeCell ref="A83:L83"/>
    <mergeCell ref="K79:L79"/>
    <mergeCell ref="K84:L84"/>
    <mergeCell ref="B85:F85"/>
    <mergeCell ref="K85:L85"/>
    <mergeCell ref="B86:F86"/>
    <mergeCell ref="K86:L86"/>
    <mergeCell ref="K87:L87"/>
    <mergeCell ref="K91:L91"/>
    <mergeCell ref="K92:L92"/>
    <mergeCell ref="K96:L96"/>
    <mergeCell ref="B93:F93"/>
    <mergeCell ref="K93:L93"/>
    <mergeCell ref="B94:F94"/>
    <mergeCell ref="K94:L94"/>
    <mergeCell ref="B95:F95"/>
    <mergeCell ref="K95:L95"/>
    <mergeCell ref="C97:K97"/>
    <mergeCell ref="B87:F87"/>
    <mergeCell ref="B88:F88"/>
    <mergeCell ref="B89:F89"/>
    <mergeCell ref="B90:F90"/>
    <mergeCell ref="K90:L90"/>
    <mergeCell ref="B91:F91"/>
    <mergeCell ref="B92:F92"/>
    <mergeCell ref="A1:L1"/>
    <mergeCell ref="H2:I2"/>
    <mergeCell ref="A3:L3"/>
    <mergeCell ref="A5:L5"/>
    <mergeCell ref="K6:L6"/>
    <mergeCell ref="K8:L8"/>
    <mergeCell ref="A11:L11"/>
    <mergeCell ref="A15:L15"/>
    <mergeCell ref="A17:L17"/>
    <mergeCell ref="B18:F18"/>
    <mergeCell ref="C19:K19"/>
    <mergeCell ref="B20:C20"/>
    <mergeCell ref="D20:K20"/>
    <mergeCell ref="B21:C21"/>
    <mergeCell ref="K21:L21"/>
    <mergeCell ref="C22:K22"/>
    <mergeCell ref="C23:K23"/>
    <mergeCell ref="B24:K24"/>
    <mergeCell ref="B25:K25"/>
    <mergeCell ref="B26:K26"/>
    <mergeCell ref="D28:K28"/>
    <mergeCell ref="A33:L33"/>
    <mergeCell ref="C34:K34"/>
    <mergeCell ref="C35:D35"/>
    <mergeCell ref="H35:I35"/>
    <mergeCell ref="C36:D36"/>
    <mergeCell ref="H36:I36"/>
    <mergeCell ref="H37:I37"/>
    <mergeCell ref="C37:D37"/>
    <mergeCell ref="C38:D38"/>
    <mergeCell ref="H38:I38"/>
    <mergeCell ref="C39:D39"/>
    <mergeCell ref="H39:I39"/>
    <mergeCell ref="C40:D40"/>
    <mergeCell ref="C41:D41"/>
    <mergeCell ref="H40:I40"/>
    <mergeCell ref="H41:I41"/>
    <mergeCell ref="A43:L43"/>
    <mergeCell ref="C44:D44"/>
    <mergeCell ref="E44:F44"/>
    <mergeCell ref="C45:D45"/>
    <mergeCell ref="E45:F45"/>
    <mergeCell ref="K88:L88"/>
    <mergeCell ref="K89:L89"/>
    <mergeCell ref="G59:J59"/>
    <mergeCell ref="K59:L59"/>
    <mergeCell ref="C53:L53"/>
    <mergeCell ref="A55:L55"/>
    <mergeCell ref="C56:K56"/>
    <mergeCell ref="C57:K57"/>
    <mergeCell ref="B58:D58"/>
    <mergeCell ref="K58:L58"/>
    <mergeCell ref="A59:B59"/>
    <mergeCell ref="G62:J62"/>
    <mergeCell ref="K62:L62"/>
    <mergeCell ref="A60:B60"/>
    <mergeCell ref="G60:J60"/>
    <mergeCell ref="K60:L60"/>
    <mergeCell ref="A61:B61"/>
    <mergeCell ref="G61:J61"/>
    <mergeCell ref="K61:L61"/>
    <mergeCell ref="A62:B62"/>
    <mergeCell ref="G65:J65"/>
    <mergeCell ref="K65:L65"/>
    <mergeCell ref="A63:B63"/>
    <mergeCell ref="G63:J63"/>
    <mergeCell ref="K63:L63"/>
    <mergeCell ref="A64:B64"/>
    <mergeCell ref="G64:J64"/>
    <mergeCell ref="K64:L64"/>
    <mergeCell ref="A65:B65"/>
    <mergeCell ref="G68:J68"/>
    <mergeCell ref="K68:L68"/>
    <mergeCell ref="A66:B66"/>
    <mergeCell ref="G66:J66"/>
    <mergeCell ref="K66:L66"/>
    <mergeCell ref="A67:B67"/>
    <mergeCell ref="G67:J67"/>
    <mergeCell ref="K67:L67"/>
    <mergeCell ref="A68:B68"/>
    <mergeCell ref="G71:J71"/>
    <mergeCell ref="K71:L71"/>
    <mergeCell ref="A69:B69"/>
    <mergeCell ref="G69:J69"/>
    <mergeCell ref="K69:L69"/>
    <mergeCell ref="A70:B70"/>
    <mergeCell ref="G70:J70"/>
    <mergeCell ref="K70:L70"/>
    <mergeCell ref="A71:B71"/>
    <mergeCell ref="G74:J74"/>
    <mergeCell ref="K74:L74"/>
    <mergeCell ref="A72:B72"/>
    <mergeCell ref="G72:J72"/>
    <mergeCell ref="K72:L72"/>
    <mergeCell ref="A73:B73"/>
    <mergeCell ref="G73:J73"/>
    <mergeCell ref="K73:L73"/>
    <mergeCell ref="A74:B74"/>
    <mergeCell ref="G77:J77"/>
    <mergeCell ref="K77:L77"/>
    <mergeCell ref="A75:B75"/>
    <mergeCell ref="G75:J75"/>
    <mergeCell ref="K75:L75"/>
    <mergeCell ref="A76:B76"/>
    <mergeCell ref="G76:J76"/>
    <mergeCell ref="K76:L76"/>
    <mergeCell ref="A77:B77"/>
  </mergeCells>
  <conditionalFormatting sqref="K8">
    <cfRule type="expression" dxfId="0" priority="1">
      <formula>LEN(K8)&gt;0</formula>
    </cfRule>
  </conditionalFormatting>
  <conditionalFormatting sqref="L19">
    <cfRule type="expression" dxfId="0" priority="2">
      <formula>LEN(L19)&gt;0</formula>
    </cfRule>
  </conditionalFormatting>
  <conditionalFormatting sqref="L20">
    <cfRule type="expression" dxfId="0" priority="3">
      <formula>LEN(L20)&gt;0</formula>
    </cfRule>
  </conditionalFormatting>
  <conditionalFormatting sqref="K21">
    <cfRule type="expression" dxfId="0" priority="4">
      <formula>LEN(K21)&gt;0</formula>
    </cfRule>
  </conditionalFormatting>
  <conditionalFormatting sqref="L22">
    <cfRule type="expression" dxfId="0" priority="5">
      <formula>LEN(L22)&gt;0</formula>
    </cfRule>
  </conditionalFormatting>
  <conditionalFormatting sqref="L23">
    <cfRule type="expression" dxfId="0" priority="6">
      <formula>LEN(L23)&gt;0</formula>
    </cfRule>
  </conditionalFormatting>
  <conditionalFormatting sqref="L36">
    <cfRule type="expression" dxfId="0" priority="7">
      <formula>LEN(L36)&gt;0</formula>
    </cfRule>
  </conditionalFormatting>
  <conditionalFormatting sqref="L37">
    <cfRule type="expression" dxfId="0" priority="8">
      <formula>LEN(L37)&gt;0</formula>
    </cfRule>
  </conditionalFormatting>
  <conditionalFormatting sqref="L38">
    <cfRule type="expression" dxfId="0" priority="9">
      <formula>LEN(L38)&gt;0</formula>
    </cfRule>
  </conditionalFormatting>
  <conditionalFormatting sqref="L39">
    <cfRule type="expression" dxfId="0" priority="10">
      <formula>LEN(L39)&gt;0</formula>
    </cfRule>
  </conditionalFormatting>
  <conditionalFormatting sqref="L40">
    <cfRule type="expression" dxfId="0" priority="11">
      <formula>LEN(L40)&gt;0</formula>
    </cfRule>
  </conditionalFormatting>
  <conditionalFormatting sqref="L41">
    <cfRule type="expression" dxfId="0" priority="12">
      <formula>LEN(L41)&gt;0</formula>
    </cfRule>
  </conditionalFormatting>
  <conditionalFormatting sqref="I45">
    <cfRule type="expression" dxfId="0" priority="13">
      <formula>LEN(I45)&gt;0</formula>
    </cfRule>
  </conditionalFormatting>
  <conditionalFormatting sqref="I46">
    <cfRule type="expression" dxfId="0" priority="14">
      <formula>LEN(I46)&gt;0</formula>
    </cfRule>
  </conditionalFormatting>
  <conditionalFormatting sqref="I47">
    <cfRule type="expression" dxfId="0" priority="15">
      <formula>LEN(I47)&gt;0</formula>
    </cfRule>
  </conditionalFormatting>
  <conditionalFormatting sqref="L48">
    <cfRule type="expression" dxfId="0" priority="16">
      <formula>LEN(L48)&gt;0</formula>
    </cfRule>
  </conditionalFormatting>
  <conditionalFormatting sqref="K58">
    <cfRule type="expression" dxfId="0" priority="17">
      <formula>LEN(K58)&gt;0</formula>
    </cfRule>
  </conditionalFormatting>
  <conditionalFormatting sqref="K60">
    <cfRule type="expression" dxfId="0" priority="18">
      <formula>LEN(K60)&gt;0</formula>
    </cfRule>
  </conditionalFormatting>
  <conditionalFormatting sqref="K61">
    <cfRule type="expression" dxfId="0" priority="19">
      <formula>LEN(K61)&gt;0</formula>
    </cfRule>
  </conditionalFormatting>
  <conditionalFormatting sqref="K62">
    <cfRule type="expression" dxfId="0" priority="20">
      <formula>LEN(K62)&gt;0</formula>
    </cfRule>
  </conditionalFormatting>
  <conditionalFormatting sqref="K63">
    <cfRule type="expression" dxfId="0" priority="21">
      <formula>LEN(K63)&gt;0</formula>
    </cfRule>
  </conditionalFormatting>
  <conditionalFormatting sqref="K64">
    <cfRule type="expression" dxfId="0" priority="22">
      <formula>LEN(K64)&gt;0</formula>
    </cfRule>
  </conditionalFormatting>
  <conditionalFormatting sqref="K65">
    <cfRule type="expression" dxfId="0" priority="23">
      <formula>LEN(K65)&gt;0</formula>
    </cfRule>
  </conditionalFormatting>
  <conditionalFormatting sqref="K66">
    <cfRule type="expression" dxfId="0" priority="24">
      <formula>LEN(K66)&gt;0</formula>
    </cfRule>
  </conditionalFormatting>
  <conditionalFormatting sqref="K67">
    <cfRule type="expression" dxfId="0" priority="25">
      <formula>LEN(K67)&gt;0</formula>
    </cfRule>
  </conditionalFormatting>
  <conditionalFormatting sqref="K68">
    <cfRule type="expression" dxfId="0" priority="26">
      <formula>LEN(K68)&gt;0</formula>
    </cfRule>
  </conditionalFormatting>
  <conditionalFormatting sqref="K69">
    <cfRule type="expression" dxfId="0" priority="27">
      <formula>LEN(K69)&gt;0</formula>
    </cfRule>
  </conditionalFormatting>
  <conditionalFormatting sqref="K71">
    <cfRule type="expression" dxfId="0" priority="28">
      <formula>LEN(K71)&gt;0</formula>
    </cfRule>
  </conditionalFormatting>
  <conditionalFormatting sqref="K72">
    <cfRule type="expression" dxfId="0" priority="29">
      <formula>LEN(K72)&gt;0</formula>
    </cfRule>
  </conditionalFormatting>
  <conditionalFormatting sqref="K73">
    <cfRule type="expression" dxfId="0" priority="30">
      <formula>LEN(K73)&gt;0</formula>
    </cfRule>
  </conditionalFormatting>
  <conditionalFormatting sqref="K74">
    <cfRule type="expression" dxfId="0" priority="31">
      <formula>LEN(K74)&gt;0</formula>
    </cfRule>
  </conditionalFormatting>
  <conditionalFormatting sqref="K75">
    <cfRule type="expression" dxfId="0" priority="32">
      <formula>LEN(K75)&gt;0</formula>
    </cfRule>
  </conditionalFormatting>
  <conditionalFormatting sqref="K76">
    <cfRule type="expression" dxfId="0" priority="33">
      <formula>LEN(K76)&gt;0</formula>
    </cfRule>
  </conditionalFormatting>
  <conditionalFormatting sqref="K77">
    <cfRule type="expression" dxfId="0" priority="34">
      <formula>LEN(K77)&gt;0</formula>
    </cfRule>
  </conditionalFormatting>
  <conditionalFormatting sqref="K78">
    <cfRule type="expression" dxfId="0" priority="35">
      <formula>LEN(K78)&gt;0</formula>
    </cfRule>
  </conditionalFormatting>
  <conditionalFormatting sqref="K79">
    <cfRule type="expression" dxfId="0" priority="36">
      <formula>LEN(K79)&gt;0</formula>
    </cfRule>
  </conditionalFormatting>
  <conditionalFormatting sqref="K80">
    <cfRule type="expression" dxfId="0" priority="37">
      <formula>LEN(K80)&gt;0</formula>
    </cfRule>
  </conditionalFormatting>
  <conditionalFormatting sqref="K84">
    <cfRule type="expression" dxfId="0" priority="38">
      <formula>LEN(K84)&gt;0</formula>
    </cfRule>
  </conditionalFormatting>
  <conditionalFormatting sqref="K86">
    <cfRule type="expression" dxfId="0" priority="39">
      <formula>LEN(K86)&gt;0</formula>
    </cfRule>
  </conditionalFormatting>
  <conditionalFormatting sqref="K87">
    <cfRule type="expression" dxfId="0" priority="40">
      <formula>LEN(K87)&gt;0</formula>
    </cfRule>
  </conditionalFormatting>
  <conditionalFormatting sqref="K88">
    <cfRule type="expression" dxfId="0" priority="41">
      <formula>LEN(K88)&gt;0</formula>
    </cfRule>
  </conditionalFormatting>
  <conditionalFormatting sqref="K89">
    <cfRule type="expression" dxfId="0" priority="42">
      <formula>LEN(K89)&gt;0</formula>
    </cfRule>
  </conditionalFormatting>
  <conditionalFormatting sqref="K90">
    <cfRule type="expression" dxfId="0" priority="43">
      <formula>LEN(K90)&gt;0</formula>
    </cfRule>
  </conditionalFormatting>
  <conditionalFormatting sqref="K91">
    <cfRule type="expression" dxfId="0" priority="44">
      <formula>LEN(K91)&gt;0</formula>
    </cfRule>
  </conditionalFormatting>
  <conditionalFormatting sqref="K92">
    <cfRule type="expression" dxfId="0" priority="45">
      <formula>LEN(K92)&gt;0</formula>
    </cfRule>
  </conditionalFormatting>
  <conditionalFormatting sqref="K93">
    <cfRule type="expression" dxfId="0" priority="46">
      <formula>LEN(K93)&gt;0</formula>
    </cfRule>
  </conditionalFormatting>
  <conditionalFormatting sqref="K94">
    <cfRule type="expression" dxfId="0" priority="47">
      <formula>LEN(K94)&gt;0</formula>
    </cfRule>
  </conditionalFormatting>
  <conditionalFormatting sqref="K95">
    <cfRule type="expression" dxfId="0" priority="48">
      <formula>LEN(K95)&gt;0</formula>
    </cfRule>
  </conditionalFormatting>
  <conditionalFormatting sqref="K96">
    <cfRule type="expression" dxfId="0" priority="49">
      <formula>LEN(K96)&gt;0</formula>
    </cfRule>
  </conditionalFormatting>
  <dataValidations>
    <dataValidation type="list" allowBlank="1" showInputMessage="1" prompt="Fora da lista - Elemento da arma secundária: escolha um valor da lista. A ficha pode não reconhecer outro valor." sqref="E8">
      <formula1>Dados!$R$6:$R$12</formula1>
    </dataValidation>
    <dataValidation type="decimal" allowBlank="1" showInputMessage="1" prompt="Valor fora da faixa - Quantidade do item 11: use um número inteiro de 0 a 999." sqref="E71">
      <formula1>0.0</formula1>
      <formula2>999.0</formula2>
    </dataValidation>
    <dataValidation type="decimal" allowBlank="1" showInputMessage="1" prompt="Valor fora da faixa - Quantidade do item 17: use um número inteiro de 0 a 999." sqref="E77">
      <formula1>0.0</formula1>
      <formula2>999.0</formula2>
    </dataValidation>
    <dataValidation type="list" allowBlank="1" showInputMessage="1" prompt="Fora da lista - Item 10: escolha um valor da lista. A ficha pode não reconhecer outro valor." sqref="A69">
      <formula1>$V$57:$V$79</formula1>
    </dataValidation>
    <dataValidation type="decimal" allowBlank="1" showInputMessage="1" prompt="Valor fora da faixa - Espaço do item 2: use um número de 0 a 50." sqref="C61">
      <formula1>0.0</formula1>
      <formula2>50.0</formula2>
    </dataValidation>
    <dataValidation type="decimal" allowBlank="1" showInputMessage="1" prompt="Valor fora da faixa - Valor do lançamento 9: use um número inteiro de -10000000 a 10000000." sqref="G94">
      <formula1>-1.0E7</formula1>
      <formula2>1.0E7</formula2>
    </dataValidation>
    <dataValidation type="decimal" allowBlank="1" showInputMessage="1" prompt="Valor fora da faixa - Valor do lançamento 4: use um número inteiro de -10000000 a 10000000." sqref="G89">
      <formula1>-1.0E7</formula1>
      <formula2>1.0E7</formula2>
    </dataValidation>
    <dataValidation type="list" allowBlank="1" showInputMessage="1" prompt="Fora da lista - Item 19: escolha um valor da lista. A ficha pode não reconhecer outro valor." sqref="A79">
      <formula1>$V$57:$V$79</formula1>
    </dataValidation>
    <dataValidation type="list" allowBlank="1" showInputMessage="1" prompt="Fora da lista - Item 5: escolha um valor da lista. A ficha pode não reconhecer outro valor." sqref="A64">
      <formula1>$V$57:$V$79</formula1>
    </dataValidation>
    <dataValidation type="list" allowBlank="1" showInputMessage="1" prompt="Fora da lista - Bônus de 2 peças do Conjunto C: escolha um valor da lista. A ficha pode não reconhecer outro valor." sqref="C47">
      <formula1>Dados!$AP$6:$AP$9</formula1>
    </dataValidation>
    <dataValidation type="decimal" allowBlank="1" showInputMessage="1" prompt="Valor fora da faixa - Quantidade do item 20: use um número inteiro de 0 a 999." sqref="E80">
      <formula1>0.0</formula1>
      <formula2>999.0</formula2>
    </dataValidation>
    <dataValidation type="decimal" allowBlank="1" showInputMessage="1" prompt="Valor fora da faixa - Espaço do item 10: use um número de 0 a 50." sqref="C69">
      <formula1>0.0</formula1>
      <formula2>50.0</formula2>
    </dataValidation>
    <dataValidation type="decimal" allowBlank="1" showInputMessage="1" prompt="Valor fora da faixa - Quantidade do item 4: use um número inteiro de 0 a 999." sqref="E63">
      <formula1>0.0</formula1>
      <formula2>999.0</formula2>
    </dataValidation>
    <dataValidation type="decimal" allowBlank="1" showInputMessage="1" prompt="Valor fora da faixa - Quantidade do item 5: use um número inteiro de 0 a 999." sqref="E64">
      <formula1>0.0</formula1>
      <formula2>999.0</formula2>
    </dataValidation>
    <dataValidation type="list" allowBlank="1" showInputMessage="1" prompt="Fora da lista - Possui Botas: escolha um valor da lista. A ficha pode não reconhecer outro valor." sqref="B39">
      <formula1>Dados!$AG$6:$AG$7</formula1>
    </dataValidation>
    <dataValidation type="list" allowBlank="1" showInputMessage="1" prompt="Fora da lista - Possui Corda de Ligação: escolha um valor da lista. A ficha pode não reconhecer outro valor." sqref="B41">
      <formula1>Dados!$AG$6:$AG$7</formula1>
    </dataValidation>
    <dataValidation type="decimal" allowBlank="1" showInputMessage="1" prompt="Valor fora da faixa - Espaço do item 4: use um número de 0 a 50." sqref="C63">
      <formula1>0.0</formula1>
      <formula2>50.0</formula2>
    </dataValidation>
    <dataValidation type="decimal" allowBlank="1" showInputMessage="1" prompt="Valor fora da faixa - Espaço do item 9: use um número de 0 a 50." sqref="C68">
      <formula1>0.0</formula1>
      <formula2>50.0</formula2>
    </dataValidation>
    <dataValidation type="decimal" allowBlank="1" showInputMessage="1" prompt="Valor fora da faixa - Espaço do item 17: use um número de 0 a 50." sqref="C77">
      <formula1>0.0</formula1>
      <formula2>50.0</formula2>
    </dataValidation>
    <dataValidation type="decimal" allowBlank="1" showInputMessage="1" prompt="Valor fora da faixa - Quantidade do item 12: use um número inteiro de 0 a 999." sqref="E72">
      <formula1>0.0</formula1>
      <formula2>999.0</formula2>
    </dataValidation>
    <dataValidation type="decimal" allowBlank="1" showInputMessage="1" prompt="Valor fora da faixa - Espaço do item 20: use um número de 0 a 50." sqref="C80">
      <formula1>0.0</formula1>
      <formula2>50.0</formula2>
    </dataValidation>
    <dataValidation type="list" allowBlank="1" showInputMessage="1" prompt="Fora da lista - Item 7: escolha um valor da lista. A ficha pode não reconhecer outro valor." sqref="A66">
      <formula1>$V$57:$V$79</formula1>
    </dataValidation>
    <dataValidation type="decimal" allowBlank="1" showInputMessage="1" prompt="Valor fora da faixa - Espaço do item 12: use um número de 0 a 50." sqref="C72">
      <formula1>0.0</formula1>
      <formula2>50.0</formula2>
    </dataValidation>
    <dataValidation type="decimal" allowBlank="1" showInputMessage="1" prompt="Valor fora da faixa - Espaço do item 6: use um número de 0 a 50." sqref="C65">
      <formula1>0.0</formula1>
      <formula2>50.0</formula2>
    </dataValidation>
    <dataValidation type="list" allowBlank="1" showInputMessage="1" prompt="Fora da lista - Item 14: escolha um valor da lista. A ficha pode não reconhecer outro valor." sqref="A74">
      <formula1>$V$57:$V$79</formula1>
    </dataValidation>
    <dataValidation type="list" allowBlank="1" showInputMessage="1" prompt="Fora da lista - Possui Esfera Planar: escolha um valor da lista. A ficha pode não reconhecer outro valor." sqref="B40">
      <formula1>Dados!$AG$6:$AG$7</formula1>
    </dataValidation>
    <dataValidation type="list" allowBlank="1" showInputMessage="1" prompt="Fora da lista - Item 8: escolha um valor da lista. A ficha pode não reconhecer outro valor." sqref="A67">
      <formula1>$V$57:$V$79</formula1>
    </dataValidation>
    <dataValidation type="decimal" allowBlank="1" showInputMessage="1" prompt="Valor fora da faixa - Quantidade do item 18: use um número inteiro de 0 a 999." sqref="E78">
      <formula1>0.0</formula1>
      <formula2>999.0</formula2>
    </dataValidation>
    <dataValidation type="list" allowBlank="1" showInputMessage="1" prompt="Fora da lista - Item 1: escolha um valor da lista. A ficha pode não reconhecer outro valor." sqref="A60">
      <formula1>$V$57:$V$79</formula1>
    </dataValidation>
    <dataValidation type="list" allowBlank="1" showInputMessage="1" prompt="Fora da lista - Propriedade da arma secundária: escolha um valor da lista. A ficha pode não reconhecer outro valor." sqref="F8">
      <formula1>Dados!$V$6:$V$11</formula1>
    </dataValidation>
    <dataValidation type="list" allowBlank="1" showInputMessage="1" prompt="Fora da lista - Conjunto (Mãos): escolha um valor da lista. A ficha pode não reconhecer outro valor." sqref="E37">
      <formula1>Dados!$AO$6:$AO$9</formula1>
    </dataValidation>
    <dataValidation type="decimal" allowBlank="1" showInputMessage="1" prompt="Valor fora da faixa - Espaço do item 14: use um número de 0 a 50." sqref="C74">
      <formula1>0.0</formula1>
      <formula2>50.0</formula2>
    </dataValidation>
    <dataValidation type="decimal" allowBlank="1" showInputMessage="1" prompt="Valor fora da faixa - Valor do lançamento 5: use um número inteiro de -10000000 a 10000000." sqref="G90">
      <formula1>-1.0E7</formula1>
      <formula2>1.0E7</formula2>
    </dataValidation>
    <dataValidation type="decimal" allowBlank="1" showInputMessage="1" prompt="Valor fora da faixa - Valor do lançamento 10: use um número inteiro de -10000000 a 10000000." sqref="G95">
      <formula1>-1.0E7</formula1>
      <formula2>1.0E7</formula2>
    </dataValidation>
    <dataValidation type="list" allowBlank="1" showInputMessage="1" prompt="Fora da lista - Rolagem do Conjunto B: escolha um valor da lista. A ficha pode não reconhecer outro valor." sqref="E46">
      <formula1>$AA$45:$AA$69</formula1>
    </dataValidation>
    <dataValidation type="decimal" allowBlank="1" showInputMessage="1" prompt="Valor fora da faixa - Espaço do item 18: use um número de 0 a 50." sqref="C78">
      <formula1>0.0</formula1>
      <formula2>50.0</formula2>
    </dataValidation>
    <dataValidation type="decimal" allowBlank="1" showInputMessage="1" prompt="Valor fora da faixa - Sobreposições: use um número inteiro de 0 a 5." sqref="B23">
      <formula1>0.0</formula1>
      <formula2>5.0</formula2>
    </dataValidation>
    <dataValidation type="decimal" allowBlank="1" showInputMessage="1" prompt="Valor fora da faixa - Espaço do item 19: use um número de 0 a 50." sqref="C79">
      <formula1>0.0</formula1>
      <formula2>50.0</formula2>
    </dataValidation>
    <dataValidation type="list" allowBlank="1" showInputMessage="1" prompt="Fora da lista - Conjunto (Tronco): escolha um valor da lista. A ficha pode não reconhecer outro valor." sqref="E38">
      <formula1>Dados!$AO$6:$AO$9</formula1>
    </dataValidation>
    <dataValidation type="decimal" allowBlank="1" showInputMessage="1" prompt="Valor fora da faixa - Espaço do item 13: use um número de 0 a 50." sqref="C73">
      <formula1>0.0</formula1>
      <formula2>50.0</formula2>
    </dataValidation>
    <dataValidation type="list" allowBlank="1" showInputMessage="1" prompt="Fora da lista - Atributo da arma secundária: escolha um valor da lista. A ficha pode não reconhecer outro valor." sqref="D8">
      <formula1>Dados!$U$6:$U$7</formula1>
    </dataValidation>
    <dataValidation type="decimal" allowBlank="1" showInputMessage="1" prompt="Valor fora da faixa - Espaço do item 5: use um número de 0 a 50." sqref="C64">
      <formula1>0.0</formula1>
      <formula2>50.0</formula2>
    </dataValidation>
    <dataValidation type="decimal" allowBlank="1" showInputMessage="1" prompt="Valor fora da faixa - Valor do lançamento 8: use um número inteiro de -10000000 a 10000000." sqref="G93">
      <formula1>-1.0E7</formula1>
      <formula2>1.0E7</formula2>
    </dataValidation>
    <dataValidation type="list" allowBlank="1" showInputMessage="1" prompt="Fora da lista - Item 17: escolha um valor da lista. A ficha pode não reconhecer outro valor." sqref="A77">
      <formula1>$V$57:$V$79</formula1>
    </dataValidation>
    <dataValidation type="decimal" allowBlank="1" showInputMessage="1" prompt="Valor fora da faixa - Espaço do item 11: use um número de 0 a 50." sqref="C71">
      <formula1>0.0</formula1>
      <formula2>50.0</formula2>
    </dataValidation>
    <dataValidation type="list" allowBlank="1" showInputMessage="1" prompt="Fora da lista - Item 18: escolha um valor da lista. A ficha pode não reconhecer outro valor." sqref="A78">
      <formula1>$V$57:$V$79</formula1>
    </dataValidation>
    <dataValidation type="list" allowBlank="1" showInputMessage="1" prompt="Fora da lista - Item 4: escolha um valor da lista. A ficha pode não reconhecer outro valor." sqref="A63">
      <formula1>$V$57:$V$79</formula1>
    </dataValidation>
    <dataValidation type="list" allowBlank="1" showInputMessage="1" prompt="Fora da lista - Numérico ou PV: escolha um valor da lista. A ficha pode não reconhecer outro valor." sqref="B22">
      <formula1>Dados!$AN$6:$AN$7</formula1>
    </dataValidation>
    <dataValidation type="decimal" allowBlank="1" showInputMessage="1" prompt="Valor fora da faixa - Valor do lançamento 6: use um número inteiro de -10000000 a 10000000." sqref="G91">
      <formula1>-1.0E7</formula1>
      <formula2>1.0E7</formula2>
    </dataValidation>
    <dataValidation type="decimal" allowBlank="1" showInputMessage="1" prompt="Valor fora da faixa - Nível do Cone: use um número inteiro de 1 a 5." sqref="B19">
      <formula1>1.0</formula1>
      <formula2>5.0</formula2>
    </dataValidation>
    <dataValidation type="list" allowBlank="1" showInputMessage="1" prompt="Fora da lista - Alvo do Bônus Maior: escolha um valor da lista. A ficha pode não reconhecer outro valor." sqref="B20">
      <formula1>Dados!$AM$6:$AM$15</formula1>
    </dataValidation>
    <dataValidation type="decimal" allowBlank="1" showInputMessage="1" prompt="Valor fora da faixa - Quantidade do item 7: use um número inteiro de 0 a 999." sqref="E66">
      <formula1>0.0</formula1>
      <formula2>999.0</formula2>
    </dataValidation>
    <dataValidation type="decimal" allowBlank="1" showInputMessage="1" prompt="Valor fora da faixa - Quantidade do item 1: use um número inteiro de 0 a 999." sqref="E60">
      <formula1>0.0</formula1>
      <formula2>999.0</formula2>
    </dataValidation>
    <dataValidation type="list" allowBlank="1" showInputMessage="1" prompt="Fora da lista - Item 11: escolha um valor da lista. A ficha pode não reconhecer outro valor." sqref="A71">
      <formula1>$V$57:$V$79</formula1>
    </dataValidation>
    <dataValidation type="decimal" allowBlank="1" showInputMessage="1" prompt="Valor fora da faixa - Valor do lançamento 1: use um número inteiro de -10000000 a 10000000." sqref="G86">
      <formula1>-1.0E7</formula1>
      <formula2>1.0E7</formula2>
    </dataValidation>
    <dataValidation type="decimal" allowBlank="1" showInputMessage="1" prompt="Valor fora da faixa - Espaço do item 3: use um número de 0 a 50." sqref="C62">
      <formula1>0.0</formula1>
      <formula2>50.0</formula2>
    </dataValidation>
    <dataValidation type="decimal" allowBlank="1" showInputMessage="1" prompt="Valor fora da faixa - Quantidade do item 14: use um número inteiro de 0 a 999." sqref="E74">
      <formula1>0.0</formula1>
      <formula2>999.0</formula2>
    </dataValidation>
    <dataValidation type="list" allowBlank="1" showInputMessage="1" prompt="Fora da lista - Possui Mãos: escolha um valor da lista. A ficha pode não reconhecer outro valor." sqref="B37">
      <formula1>Dados!$AG$6:$AG$7</formula1>
    </dataValidation>
    <dataValidation type="list" allowBlank="1" showInputMessage="1" prompt="Fora da lista - Item 2: escolha um valor da lista. A ficha pode não reconhecer outro valor." sqref="A61">
      <formula1>$V$57:$V$79</formula1>
    </dataValidation>
    <dataValidation type="decimal" allowBlank="1" showInputMessage="1" prompt="Valor fora da faixa - Quantidade do item 2: use um número inteiro de 0 a 999." sqref="E61">
      <formula1>0.0</formula1>
      <formula2>999.0</formula2>
    </dataValidation>
    <dataValidation type="decimal" allowBlank="1" showInputMessage="1" prompt="Valor fora da faixa - Quantidade do item 8: use um número inteiro de 0 a 999." sqref="E67">
      <formula1>0.0</formula1>
      <formula2>999.0</formula2>
    </dataValidation>
    <dataValidation type="decimal" allowBlank="1" showInputMessage="1" prompt="Valor fora da faixa - Valor do lançamento 2: use um número inteiro de -10000000 a 10000000." sqref="G87">
      <formula1>-1.0E7</formula1>
      <formula2>1.0E7</formula2>
    </dataValidation>
    <dataValidation type="decimal" allowBlank="1" showInputMessage="1" prompt="Valor fora da faixa - Valor do lançamento 7: use um número inteiro de -10000000 a 10000000." sqref="G92">
      <formula1>-1.0E7</formula1>
      <formula2>1.0E7</formula2>
    </dataValidation>
    <dataValidation type="list" allowBlank="1" showInputMessage="1" prompt="Fora da lista - Conjunto (Cabeça): escolha um valor da lista. A ficha pode não reconhecer outro valor." sqref="E36">
      <formula1>Dados!$AO$6:$AO$9</formula1>
    </dataValidation>
    <dataValidation type="list" allowBlank="1" showInputMessage="1" prompt="Fora da lista - Rolagem do Conjunto C: escolha um valor da lista. A ficha pode não reconhecer outro valor." sqref="E47">
      <formula1>$AA$45:$AA$69</formula1>
    </dataValidation>
    <dataValidation type="list" allowBlank="1" showInputMessage="1" prompt="Fora da lista - Item 16: escolha um valor da lista. A ficha pode não reconhecer outro valor." sqref="A76">
      <formula1>$V$57:$V$79</formula1>
    </dataValidation>
    <dataValidation type="decimal" allowBlank="1" showInputMessage="1" prompt="Valor fora da faixa - Quantidade do item 15: use um número inteiro de 0 a 999." sqref="E75">
      <formula1>0.0</formula1>
      <formula2>999.0</formula2>
    </dataValidation>
    <dataValidation type="decimal" allowBlank="1" showInputMessage="1" prompt="Valor fora da faixa - Espaço do item 1: use um número de 0 a 50." sqref="C60">
      <formula1>0.0</formula1>
      <formula2>50.0</formula2>
    </dataValidation>
    <dataValidation type="list" allowBlank="1" showInputMessage="1" prompt="Fora da lista - Item 13: escolha um valor da lista. A ficha pode não reconhecer outro valor." sqref="A73">
      <formula1>$V$57:$V$79</formula1>
    </dataValidation>
    <dataValidation type="list" allowBlank="1" showInputMessage="1" prompt="Fora da lista - Conjunto (Esfera Planar): escolha um valor da lista. A ficha pode não reconhecer outro valor." sqref="E40">
      <formula1>Dados!$AO$6:$AO$9</formula1>
    </dataValidation>
    <dataValidation type="decimal" allowBlank="1" showInputMessage="1" prompt="Valor fora da faixa - Quantidade do item 3: use um número inteiro de 0 a 999." sqref="E62">
      <formula1>0.0</formula1>
      <formula2>999.0</formula2>
    </dataValidation>
    <dataValidation type="list" allowBlank="1" showInputMessage="1" prompt="Fora da lista - Rolagem do Conjunto A: escolha um valor da lista. A ficha pode não reconhecer outro valor." sqref="E45">
      <formula1>$AA$45:$AA$69</formula1>
    </dataValidation>
    <dataValidation type="decimal" allowBlank="1" showInputMessage="1" prompt="Valor fora da faixa - Espaço do item 15: use um número de 0 a 50." sqref="C75">
      <formula1>0.0</formula1>
      <formula2>50.0</formula2>
    </dataValidation>
    <dataValidation type="list" allowBlank="1" showInputMessage="1" prompt="Fora da lista - Conjunto (Corda de Ligação): escolha um valor da lista. A ficha pode não reconhecer outro valor." sqref="E41">
      <formula1>Dados!$AO$6:$AO$9</formula1>
    </dataValidation>
    <dataValidation type="list" allowBlank="1" showInputMessage="1" prompt="Fora da lista - Elemento da Esfera Planar: escolha um valor da lista. A ficha pode não reconhecer outro valor." sqref="J40">
      <formula1>Dados!$R$6:$R$12</formula1>
    </dataValidation>
    <dataValidation type="list" allowBlank="1" showInputMessage="1" prompt="Fora da lista - Possui Tronco: escolha um valor da lista. A ficha pode não reconhecer outro valor." sqref="B38">
      <formula1>Dados!$AG$6:$AG$7</formula1>
    </dataValidation>
    <dataValidation type="decimal" allowBlank="1" showInputMessage="1" prompt="Valor fora da faixa - Espaço do item 8: use um número de 0 a 50." sqref="C67">
      <formula1>0.0</formula1>
      <formula2>50.0</formula2>
    </dataValidation>
    <dataValidation type="decimal" allowBlank="1" showInputMessage="1" prompt="Valor fora da faixa - Espaço do item 7: use um número de 0 a 50." sqref="C66">
      <formula1>0.0</formula1>
      <formula2>50.0</formula2>
    </dataValidation>
    <dataValidation type="list" allowBlank="1" showInputMessage="1" prompt="Fora da lista - Bônus de 2 peças do Conjunto B: escolha um valor da lista. A ficha pode não reconhecer outro valor." sqref="C46">
      <formula1>Dados!$AP$6:$AP$9</formula1>
    </dataValidation>
    <dataValidation type="list" allowBlank="1" showInputMessage="1" prompt="Fora da lista - Item 15: escolha um valor da lista. A ficha pode não reconhecer outro valor." sqref="A75">
      <formula1>$V$57:$V$79</formula1>
    </dataValidation>
    <dataValidation type="list" allowBlank="1" showInputMessage="1" prompt="Fora da lista - Item 9: escolha um valor da lista. A ficha pode não reconhecer outro valor." sqref="A68">
      <formula1>$V$57:$V$79</formula1>
    </dataValidation>
    <dataValidation type="list" allowBlank="1" showInputMessage="1" prompt="Fora da lista - Bônus de 2 peças do Conjunto A: escolha um valor da lista. A ficha pode não reconhecer outro valor." sqref="C45">
      <formula1>Dados!$AP$6:$AP$9</formula1>
    </dataValidation>
    <dataValidation type="decimal" allowBlank="1" showInputMessage="1" prompt="Valor fora da faixa - Quantidade do item 16: use um número inteiro de 0 a 999." sqref="E76">
      <formula1>0.0</formula1>
      <formula2>999.0</formula2>
    </dataValidation>
    <dataValidation type="list" allowBlank="1" showInputMessage="1" prompt="Fora da lista - Item 20: escolha um valor da lista. A ficha pode não reconhecer outro valor." sqref="A80">
      <formula1>$V$57:$V$79</formula1>
    </dataValidation>
    <dataValidation type="decimal" allowBlank="1" showInputMessage="1" prompt="Valor fora da faixa - Quantidade do item 10: use um número inteiro de 0 a 999." sqref="E69">
      <formula1>0.0</formula1>
      <formula2>999.0</formula2>
    </dataValidation>
    <dataValidation type="decimal" allowBlank="1" showInputMessage="1" prompt="Valor fora da faixa - Quantidade do item 13: use um número inteiro de 0 a 999." sqref="E73">
      <formula1>0.0</formula1>
      <formula2>999.0</formula2>
    </dataValidation>
    <dataValidation type="list" allowBlank="1" showInputMessage="1" prompt="Fora da lista - Item 12: escolha um valor da lista. A ficha pode não reconhecer outro valor." sqref="A72">
      <formula1>$V$57:$V$79</formula1>
    </dataValidation>
    <dataValidation type="list" allowBlank="1" showInputMessage="1" prompt="Fora da lista - Item 6: escolha um valor da lista. A ficha pode não reconhecer outro valor." sqref="A65">
      <formula1>$V$57:$V$79</formula1>
    </dataValidation>
    <dataValidation type="list" allowBlank="1" showInputMessage="1" prompt="Fora da lista - Teste de Resistência ou Perícia do Cone: escolha um valor da lista. A ficha pode não reconhecer outro valor." sqref="B21">
      <formula1>$Y$21:$Y$38</formula1>
    </dataValidation>
    <dataValidation type="list" allowBlank="1" showInputMessage="1" prompt="Fora da lista - Possui Cabeça: escolha um valor da lista. A ficha pode não reconhecer outro valor." sqref="B36">
      <formula1>Dados!$AG$6:$AG$7</formula1>
    </dataValidation>
    <dataValidation type="list" allowBlank="1" showInputMessage="1" prompt="Fora da lista - Item 3: escolha um valor da lista. A ficha pode não reconhecer outro valor." sqref="A62">
      <formula1>$V$57:$V$79</formula1>
    </dataValidation>
    <dataValidation type="list" allowBlank="1" showInputMessage="1" prompt="Fora da lista - Conjunto (Botas): escolha um valor da lista. A ficha pode não reconhecer outro valor." sqref="E39">
      <formula1>Dados!$AO$6:$AO$9</formula1>
    </dataValidation>
    <dataValidation type="list" allowBlank="1" showInputMessage="1" prompt="Fora da lista - Categoria da arma secundária: escolha um valor da lista. A ficha pode não reconhecer outro valor." sqref="C8">
      <formula1>Dados!$T$6:$T$11</formula1>
    </dataValidation>
    <dataValidation type="decimal" allowBlank="1" showInputMessage="1" prompt="Valor fora da faixa - Quantidade do item 6: use um número inteiro de 0 a 999." sqref="E65">
      <formula1>0.0</formula1>
      <formula2>999.0</formula2>
    </dataValidation>
    <dataValidation type="decimal" allowBlank="1" showInputMessage="1" prompt="Valor fora da faixa - Quantidade do item 9: use um número inteiro de 0 a 999." sqref="E68">
      <formula1>0.0</formula1>
      <formula2>999.0</formula2>
    </dataValidation>
    <dataValidation type="decimal" allowBlank="1" showInputMessage="1" prompt="Valor fora da faixa - Espaço do item 16: use um número de 0 a 50." sqref="C76">
      <formula1>0.0</formula1>
      <formula2>50.0</formula2>
    </dataValidation>
    <dataValidation type="decimal" allowBlank="1" showInputMessage="1" prompt="Valor fora da faixa - Quantidade do item 19: use um número inteiro de 0 a 999." sqref="E79">
      <formula1>0.0</formula1>
      <formula2>999.0</formula2>
    </dataValidation>
    <dataValidation type="decimal" allowBlank="1" showInputMessage="1" prompt="Valor fora da faixa - Saldo inicial: use um número inteiro de -10000000 a 10000000." sqref="B84">
      <formula1>-1.0E7</formula1>
      <formula2>1.0E7</formula2>
    </dataValidation>
    <dataValidation type="decimal" allowBlank="1" showInputMessage="1" prompt="Valor fora da faixa - Valor do lançamento 3: use um número inteiro de -10000000 a 10000000." sqref="G88">
      <formula1>-1.0E7</formula1>
      <formula2>1.0E7</formula2>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8" width="22.38"/>
    <col customWidth="1" min="9" max="9" width="18.88"/>
    <col customWidth="1" min="10" max="12" width="13.0"/>
    <col customWidth="1" min="13" max="17" width="8.63"/>
    <col customWidth="1" hidden="1" min="18" max="18" width="4.0"/>
    <col customWidth="1" min="19" max="26" width="8.63"/>
  </cols>
  <sheetData>
    <row r="1" ht="24.0" customHeight="1">
      <c r="A1" s="1" t="s">
        <v>490</v>
      </c>
      <c r="B1" s="2"/>
      <c r="C1" s="2"/>
      <c r="D1" s="2"/>
      <c r="E1" s="2"/>
      <c r="F1" s="2"/>
      <c r="G1" s="2"/>
      <c r="H1" s="2"/>
      <c r="I1" s="2"/>
      <c r="J1" s="2"/>
      <c r="K1" s="2"/>
      <c r="L1" s="3"/>
    </row>
    <row r="2" ht="25.5" customHeight="1">
      <c r="A2" s="25" t="s">
        <v>3</v>
      </c>
      <c r="B2" s="6" t="s">
        <v>5</v>
      </c>
      <c r="C2" s="9" t="s">
        <v>13</v>
      </c>
      <c r="D2" s="10" t="s">
        <v>18</v>
      </c>
      <c r="E2" s="13" t="s">
        <v>19</v>
      </c>
      <c r="F2" s="14" t="s">
        <v>21</v>
      </c>
      <c r="G2" s="15" t="s">
        <v>22</v>
      </c>
      <c r="H2" s="16" t="s">
        <v>23</v>
      </c>
      <c r="I2" s="17" t="s">
        <v>24</v>
      </c>
    </row>
    <row r="3">
      <c r="A3" s="18" t="s">
        <v>491</v>
      </c>
    </row>
    <row r="5">
      <c r="A5" s="25" t="s">
        <v>492</v>
      </c>
      <c r="B5" s="59"/>
      <c r="C5" s="27">
        <f>'Criação'!$A$14</f>
        <v>1</v>
      </c>
      <c r="D5" s="19" t="s">
        <v>493</v>
      </c>
      <c r="E5" s="27">
        <f>'Criação'!$B$17</f>
        <v>4</v>
      </c>
      <c r="F5" s="19" t="s">
        <v>494</v>
      </c>
    </row>
    <row r="7">
      <c r="A7" s="5" t="s">
        <v>495</v>
      </c>
      <c r="B7" s="2"/>
      <c r="C7" s="2"/>
      <c r="D7" s="2"/>
      <c r="E7" s="2"/>
      <c r="F7" s="2"/>
      <c r="G7" s="2"/>
      <c r="H7" s="2"/>
      <c r="I7" s="3"/>
    </row>
    <row r="8" ht="25.5" customHeight="1">
      <c r="A8" s="42" t="s">
        <v>496</v>
      </c>
      <c r="B8" s="42" t="s">
        <v>71</v>
      </c>
      <c r="C8" s="42" t="s">
        <v>497</v>
      </c>
      <c r="D8" s="42" t="s">
        <v>498</v>
      </c>
      <c r="E8" s="42" t="s">
        <v>499</v>
      </c>
      <c r="F8" s="42" t="s">
        <v>88</v>
      </c>
      <c r="G8" s="42" t="s">
        <v>500</v>
      </c>
      <c r="H8" s="42" t="s">
        <v>89</v>
      </c>
      <c r="I8" s="42" t="s">
        <v>501</v>
      </c>
    </row>
    <row r="9">
      <c r="A9" s="44">
        <f t="array" ref="A9">INDEX(Dados!$A$258:$A$277,1)</f>
        <v>1</v>
      </c>
      <c r="B9" s="81">
        <f t="array" ref="B9">INDEX(Dados!$B$258:$B$277,1)</f>
        <v>2</v>
      </c>
      <c r="C9" s="81">
        <f t="array" ref="C9">INDEX(Dados!$C$258:$C$277,1)</f>
        <v>0</v>
      </c>
      <c r="D9" s="81">
        <f t="array" ref="D9">INDEX(Dados!$D$258:$D$277,1)</f>
        <v>0</v>
      </c>
      <c r="E9" s="81">
        <f t="array" ref="E9">INDEX(Dados!$E$258:$E$277,1)</f>
        <v>1</v>
      </c>
      <c r="F9" s="81">
        <f t="array" ref="F9">INDEX(Dados!$F$258:$F$277,1)</f>
        <v>1</v>
      </c>
      <c r="G9" s="81" t="str">
        <f t="array" ref="G9">INDEX(Dados!$G$258:$G$277,1)</f>
        <v>Não</v>
      </c>
      <c r="H9" s="81">
        <f t="array" ref="H9">INDEX(Dados!$H$258:$H$277,1)</f>
        <v>1</v>
      </c>
      <c r="I9" s="81" t="str">
        <f t="array" ref="I9">INDEX(Dados!$I$258:$I$277,1)</f>
        <v>Não</v>
      </c>
    </row>
    <row r="10">
      <c r="A10" s="82">
        <f t="array" ref="A10">INDEX(Dados!$A$258:$A$277,2)</f>
        <v>2</v>
      </c>
      <c r="B10" s="83">
        <f t="array" ref="B10">INDEX(Dados!$B$258:$B$277,2)</f>
        <v>2</v>
      </c>
      <c r="C10" s="83">
        <f t="array" ref="C10">INDEX(Dados!$C$258:$C$277,2)</f>
        <v>0</v>
      </c>
      <c r="D10" s="83">
        <f t="array" ref="D10">INDEX(Dados!$D$258:$D$277,2)</f>
        <v>0</v>
      </c>
      <c r="E10" s="83">
        <f t="array" ref="E10">INDEX(Dados!$E$258:$E$277,2)</f>
        <v>1</v>
      </c>
      <c r="F10" s="83">
        <f t="array" ref="F10">INDEX(Dados!$F$258:$F$277,2)</f>
        <v>1</v>
      </c>
      <c r="G10" s="83" t="str">
        <f t="array" ref="G10">INDEX(Dados!$G$258:$G$277,2)</f>
        <v>Não</v>
      </c>
      <c r="H10" s="83">
        <f t="array" ref="H10">INDEX(Dados!$H$258:$H$277,2)</f>
        <v>2</v>
      </c>
      <c r="I10" s="83" t="str">
        <f t="array" ref="I10">INDEX(Dados!$I$258:$I$277,2)</f>
        <v>Não</v>
      </c>
    </row>
    <row r="11">
      <c r="A11" s="44">
        <f t="array" ref="A11">INDEX(Dados!$A$258:$A$277,3)</f>
        <v>3</v>
      </c>
      <c r="B11" s="81">
        <f t="array" ref="B11">INDEX(Dados!$B$258:$B$277,3)</f>
        <v>2</v>
      </c>
      <c r="C11" s="81">
        <f t="array" ref="C11">INDEX(Dados!$C$258:$C$277,3)</f>
        <v>0</v>
      </c>
      <c r="D11" s="81">
        <f t="array" ref="D11">INDEX(Dados!$D$258:$D$277,3)</f>
        <v>0</v>
      </c>
      <c r="E11" s="81">
        <f t="array" ref="E11">INDEX(Dados!$E$258:$E$277,3)</f>
        <v>2</v>
      </c>
      <c r="F11" s="81">
        <f t="array" ref="F11">INDEX(Dados!$F$258:$F$277,3)</f>
        <v>2</v>
      </c>
      <c r="G11" s="81" t="str">
        <f t="array" ref="G11">INDEX(Dados!$G$258:$G$277,3)</f>
        <v>Não</v>
      </c>
      <c r="H11" s="81">
        <f t="array" ref="H11">INDEX(Dados!$H$258:$H$277,3)</f>
        <v>2</v>
      </c>
      <c r="I11" s="81" t="str">
        <f t="array" ref="I11">INDEX(Dados!$I$258:$I$277,3)</f>
        <v>Sim</v>
      </c>
    </row>
    <row r="12">
      <c r="A12" s="82">
        <f t="array" ref="A12">INDEX(Dados!$A$258:$A$277,4)</f>
        <v>4</v>
      </c>
      <c r="B12" s="83">
        <f t="array" ref="B12">INDEX(Dados!$B$258:$B$277,4)</f>
        <v>3</v>
      </c>
      <c r="C12" s="83">
        <f t="array" ref="C12">INDEX(Dados!$C$258:$C$277,4)</f>
        <v>0</v>
      </c>
      <c r="D12" s="83">
        <f t="array" ref="D12">INDEX(Dados!$D$258:$D$277,4)</f>
        <v>0</v>
      </c>
      <c r="E12" s="83">
        <f t="array" ref="E12">INDEX(Dados!$E$258:$E$277,4)</f>
        <v>2</v>
      </c>
      <c r="F12" s="83">
        <f t="array" ref="F12">INDEX(Dados!$F$258:$F$277,4)</f>
        <v>2</v>
      </c>
      <c r="G12" s="83" t="str">
        <f t="array" ref="G12">INDEX(Dados!$G$258:$G$277,4)</f>
        <v>Não</v>
      </c>
      <c r="H12" s="83">
        <f t="array" ref="H12">INDEX(Dados!$H$258:$H$277,4)</f>
        <v>2</v>
      </c>
      <c r="I12" s="83" t="str">
        <f t="array" ref="I12">INDEX(Dados!$I$258:$I$277,4)</f>
        <v>Não</v>
      </c>
    </row>
    <row r="13">
      <c r="A13" s="44">
        <f t="array" ref="A13">INDEX(Dados!$A$258:$A$277,5)</f>
        <v>5</v>
      </c>
      <c r="B13" s="81">
        <f t="array" ref="B13">INDEX(Dados!$B$258:$B$277,5)</f>
        <v>3</v>
      </c>
      <c r="C13" s="81">
        <f t="array" ref="C13">INDEX(Dados!$C$258:$C$277,5)</f>
        <v>1</v>
      </c>
      <c r="D13" s="81">
        <f t="array" ref="D13">INDEX(Dados!$D$258:$D$277,5)</f>
        <v>1</v>
      </c>
      <c r="E13" s="81">
        <f t="array" ref="E13">INDEX(Dados!$E$258:$E$277,5)</f>
        <v>3</v>
      </c>
      <c r="F13" s="81">
        <f t="array" ref="F13">INDEX(Dados!$F$258:$F$277,5)</f>
        <v>3</v>
      </c>
      <c r="G13" s="81" t="str">
        <f t="array" ref="G13">INDEX(Dados!$G$258:$G$277,5)</f>
        <v>Não</v>
      </c>
      <c r="H13" s="81">
        <f t="array" ref="H13">INDEX(Dados!$H$258:$H$277,5)</f>
        <v>2</v>
      </c>
      <c r="I13" s="81" t="str">
        <f t="array" ref="I13">INDEX(Dados!$I$258:$I$277,5)</f>
        <v>Não</v>
      </c>
    </row>
    <row r="14">
      <c r="A14" s="82">
        <f t="array" ref="A14">INDEX(Dados!$A$258:$A$277,6)</f>
        <v>6</v>
      </c>
      <c r="B14" s="83">
        <f t="array" ref="B14">INDEX(Dados!$B$258:$B$277,6)</f>
        <v>3</v>
      </c>
      <c r="C14" s="83">
        <f t="array" ref="C14">INDEX(Dados!$C$258:$C$277,6)</f>
        <v>1</v>
      </c>
      <c r="D14" s="83">
        <f t="array" ref="D14">INDEX(Dados!$D$258:$D$277,6)</f>
        <v>1</v>
      </c>
      <c r="E14" s="83">
        <f t="array" ref="E14">INDEX(Dados!$E$258:$E$277,6)</f>
        <v>3</v>
      </c>
      <c r="F14" s="83">
        <f t="array" ref="F14">INDEX(Dados!$F$258:$F$277,6)</f>
        <v>3</v>
      </c>
      <c r="G14" s="83" t="str">
        <f t="array" ref="G14">INDEX(Dados!$G$258:$G$277,6)</f>
        <v>Não</v>
      </c>
      <c r="H14" s="83">
        <f t="array" ref="H14">INDEX(Dados!$H$258:$H$277,6)</f>
        <v>3</v>
      </c>
      <c r="I14" s="83" t="str">
        <f t="array" ref="I14">INDEX(Dados!$I$258:$I$277,6)</f>
        <v>Sim</v>
      </c>
    </row>
    <row r="15">
      <c r="A15" s="44">
        <f t="array" ref="A15">INDEX(Dados!$A$258:$A$277,7)</f>
        <v>7</v>
      </c>
      <c r="B15" s="81">
        <f t="array" ref="B15">INDEX(Dados!$B$258:$B$277,7)</f>
        <v>4</v>
      </c>
      <c r="C15" s="81">
        <f t="array" ref="C15">INDEX(Dados!$C$258:$C$277,7)</f>
        <v>1</v>
      </c>
      <c r="D15" s="81">
        <f t="array" ref="D15">INDEX(Dados!$D$258:$D$277,7)</f>
        <v>1</v>
      </c>
      <c r="E15" s="81">
        <f t="array" ref="E15">INDEX(Dados!$E$258:$E$277,7)</f>
        <v>4</v>
      </c>
      <c r="F15" s="81">
        <f t="array" ref="F15">INDEX(Dados!$F$258:$F$277,7)</f>
        <v>4</v>
      </c>
      <c r="G15" s="81" t="str">
        <f t="array" ref="G15">INDEX(Dados!$G$258:$G$277,7)</f>
        <v>Não</v>
      </c>
      <c r="H15" s="81">
        <f t="array" ref="H15">INDEX(Dados!$H$258:$H$277,7)</f>
        <v>3</v>
      </c>
      <c r="I15" s="81" t="str">
        <f t="array" ref="I15">INDEX(Dados!$I$258:$I$277,7)</f>
        <v>Não</v>
      </c>
    </row>
    <row r="16">
      <c r="A16" s="82">
        <f t="array" ref="A16">INDEX(Dados!$A$258:$A$277,8)</f>
        <v>8</v>
      </c>
      <c r="B16" s="83">
        <f t="array" ref="B16">INDEX(Dados!$B$258:$B$277,8)</f>
        <v>4</v>
      </c>
      <c r="C16" s="83">
        <f t="array" ref="C16">INDEX(Dados!$C$258:$C$277,8)</f>
        <v>2</v>
      </c>
      <c r="D16" s="83">
        <f t="array" ref="D16">INDEX(Dados!$D$258:$D$277,8)</f>
        <v>1</v>
      </c>
      <c r="E16" s="83">
        <f t="array" ref="E16">INDEX(Dados!$E$258:$E$277,8)</f>
        <v>4</v>
      </c>
      <c r="F16" s="83">
        <f t="array" ref="F16">INDEX(Dados!$F$258:$F$277,8)</f>
        <v>4</v>
      </c>
      <c r="G16" s="83" t="str">
        <f t="array" ref="G16">INDEX(Dados!$G$258:$G$277,8)</f>
        <v>Não</v>
      </c>
      <c r="H16" s="83">
        <f t="array" ref="H16">INDEX(Dados!$H$258:$H$277,8)</f>
        <v>3</v>
      </c>
      <c r="I16" s="83" t="str">
        <f t="array" ref="I16">INDEX(Dados!$I$258:$I$277,8)</f>
        <v>Não</v>
      </c>
    </row>
    <row r="17">
      <c r="A17" s="44">
        <f t="array" ref="A17">INDEX(Dados!$A$258:$A$277,9)</f>
        <v>9</v>
      </c>
      <c r="B17" s="81">
        <f t="array" ref="B17">INDEX(Dados!$B$258:$B$277,9)</f>
        <v>4</v>
      </c>
      <c r="C17" s="81">
        <f t="array" ref="C17">INDEX(Dados!$C$258:$C$277,9)</f>
        <v>2</v>
      </c>
      <c r="D17" s="81">
        <f t="array" ref="D17">INDEX(Dados!$D$258:$D$277,9)</f>
        <v>1</v>
      </c>
      <c r="E17" s="81">
        <f t="array" ref="E17">INDEX(Dados!$E$258:$E$277,9)</f>
        <v>5</v>
      </c>
      <c r="F17" s="81">
        <f t="array" ref="F17">INDEX(Dados!$F$258:$F$277,9)</f>
        <v>5</v>
      </c>
      <c r="G17" s="81" t="str">
        <f t="array" ref="G17">INDEX(Dados!$G$258:$G$277,9)</f>
        <v>Não</v>
      </c>
      <c r="H17" s="81">
        <f t="array" ref="H17">INDEX(Dados!$H$258:$H$277,9)</f>
        <v>4</v>
      </c>
      <c r="I17" s="81" t="str">
        <f t="array" ref="I17">INDEX(Dados!$I$258:$I$277,9)</f>
        <v>Sim</v>
      </c>
    </row>
    <row r="18">
      <c r="A18" s="82">
        <f t="array" ref="A18">INDEX(Dados!$A$258:$A$277,10)</f>
        <v>10</v>
      </c>
      <c r="B18" s="83">
        <f t="array" ref="B18">INDEX(Dados!$B$258:$B$277,10)</f>
        <v>5</v>
      </c>
      <c r="C18" s="83">
        <f t="array" ref="C18">INDEX(Dados!$C$258:$C$277,10)</f>
        <v>2</v>
      </c>
      <c r="D18" s="83">
        <f t="array" ref="D18">INDEX(Dados!$D$258:$D$277,10)</f>
        <v>1</v>
      </c>
      <c r="E18" s="83">
        <f t="array" ref="E18">INDEX(Dados!$E$258:$E$277,10)</f>
        <v>5</v>
      </c>
      <c r="F18" s="83">
        <f t="array" ref="F18">INDEX(Dados!$F$258:$F$277,10)</f>
        <v>5</v>
      </c>
      <c r="G18" s="83" t="str">
        <f t="array" ref="G18">INDEX(Dados!$G$258:$G$277,10)</f>
        <v>Não</v>
      </c>
      <c r="H18" s="83">
        <f t="array" ref="H18">INDEX(Dados!$H$258:$H$277,10)</f>
        <v>4</v>
      </c>
      <c r="I18" s="83" t="str">
        <f t="array" ref="I18">INDEX(Dados!$I$258:$I$277,10)</f>
        <v>Não</v>
      </c>
    </row>
    <row r="19" ht="25.5" customHeight="1">
      <c r="A19" s="42" t="s">
        <v>554</v>
      </c>
      <c r="B19" s="42" t="s">
        <v>71</v>
      </c>
      <c r="C19" s="42" t="s">
        <v>497</v>
      </c>
      <c r="D19" s="42" t="s">
        <v>498</v>
      </c>
      <c r="E19" s="42" t="s">
        <v>499</v>
      </c>
      <c r="F19" s="42" t="s">
        <v>88</v>
      </c>
      <c r="G19" s="42" t="s">
        <v>500</v>
      </c>
      <c r="H19" s="42" t="s">
        <v>89</v>
      </c>
      <c r="I19" s="42" t="s">
        <v>501</v>
      </c>
    </row>
    <row r="20">
      <c r="A20" s="44">
        <f t="array" ref="A20">INDEX(Dados!$A$258:$A$277,11)</f>
        <v>11</v>
      </c>
      <c r="B20" s="81">
        <f t="array" ref="B20">INDEX(Dados!$B$258:$B$277,11)</f>
        <v>5</v>
      </c>
      <c r="C20" s="81">
        <f t="array" ref="C20">INDEX(Dados!$C$258:$C$277,11)</f>
        <v>2</v>
      </c>
      <c r="D20" s="81">
        <f t="array" ref="D20">INDEX(Dados!$D$258:$D$277,11)</f>
        <v>2</v>
      </c>
      <c r="E20" s="81">
        <f t="array" ref="E20">INDEX(Dados!$E$258:$E$277,11)</f>
        <v>6</v>
      </c>
      <c r="F20" s="81">
        <f t="array" ref="F20">INDEX(Dados!$F$258:$F$277,11)</f>
        <v>6</v>
      </c>
      <c r="G20" s="81" t="str">
        <f t="array" ref="G20">INDEX(Dados!$G$258:$G$277,11)</f>
        <v>Não</v>
      </c>
      <c r="H20" s="81">
        <f t="array" ref="H20">INDEX(Dados!$H$258:$H$277,11)</f>
        <v>4</v>
      </c>
      <c r="I20" s="81" t="str">
        <f t="array" ref="I20">INDEX(Dados!$I$258:$I$277,11)</f>
        <v>Não</v>
      </c>
    </row>
    <row r="21" ht="15.75" customHeight="1">
      <c r="A21" s="82">
        <f t="array" ref="A21">INDEX(Dados!$A$258:$A$277,12)</f>
        <v>12</v>
      </c>
      <c r="B21" s="83">
        <f t="array" ref="B21">INDEX(Dados!$B$258:$B$277,12)</f>
        <v>5</v>
      </c>
      <c r="C21" s="83">
        <f t="array" ref="C21">INDEX(Dados!$C$258:$C$277,12)</f>
        <v>2</v>
      </c>
      <c r="D21" s="83">
        <f t="array" ref="D21">INDEX(Dados!$D$258:$D$277,12)</f>
        <v>2</v>
      </c>
      <c r="E21" s="83">
        <f t="array" ref="E21">INDEX(Dados!$E$258:$E$277,12)</f>
        <v>6</v>
      </c>
      <c r="F21" s="83">
        <f t="array" ref="F21">INDEX(Dados!$F$258:$F$277,12)</f>
        <v>6</v>
      </c>
      <c r="G21" s="83" t="str">
        <f t="array" ref="G21">INDEX(Dados!$G$258:$G$277,12)</f>
        <v>Não</v>
      </c>
      <c r="H21" s="83">
        <f t="array" ref="H21">INDEX(Dados!$H$258:$H$277,12)</f>
        <v>5</v>
      </c>
      <c r="I21" s="83" t="str">
        <f t="array" ref="I21">INDEX(Dados!$I$258:$I$277,12)</f>
        <v>Sim</v>
      </c>
    </row>
    <row r="22" ht="15.75" customHeight="1">
      <c r="A22" s="44">
        <f t="array" ref="A22">INDEX(Dados!$A$258:$A$277,13)</f>
        <v>13</v>
      </c>
      <c r="B22" s="81">
        <f t="array" ref="B22">INDEX(Dados!$B$258:$B$277,13)</f>
        <v>6</v>
      </c>
      <c r="C22" s="81">
        <f t="array" ref="C22">INDEX(Dados!$C$258:$C$277,13)</f>
        <v>2</v>
      </c>
      <c r="D22" s="81">
        <f t="array" ref="D22">INDEX(Dados!$D$258:$D$277,13)</f>
        <v>2</v>
      </c>
      <c r="E22" s="81">
        <f t="array" ref="E22">INDEX(Dados!$E$258:$E$277,13)</f>
        <v>7</v>
      </c>
      <c r="F22" s="81">
        <f t="array" ref="F22">INDEX(Dados!$F$258:$F$277,13)</f>
        <v>7</v>
      </c>
      <c r="G22" s="81" t="str">
        <f t="array" ref="G22">INDEX(Dados!$G$258:$G$277,13)</f>
        <v>Não</v>
      </c>
      <c r="H22" s="81">
        <f t="array" ref="H22">INDEX(Dados!$H$258:$H$277,13)</f>
        <v>5</v>
      </c>
      <c r="I22" s="81" t="str">
        <f t="array" ref="I22">INDEX(Dados!$I$258:$I$277,13)</f>
        <v>Não</v>
      </c>
    </row>
    <row r="23" ht="15.75" customHeight="1">
      <c r="A23" s="82">
        <f t="array" ref="A23">INDEX(Dados!$A$258:$A$277,14)</f>
        <v>14</v>
      </c>
      <c r="B23" s="83">
        <f t="array" ref="B23">INDEX(Dados!$B$258:$B$277,14)</f>
        <v>6</v>
      </c>
      <c r="C23" s="83">
        <f t="array" ref="C23">INDEX(Dados!$C$258:$C$277,14)</f>
        <v>3</v>
      </c>
      <c r="D23" s="83">
        <f t="array" ref="D23">INDEX(Dados!$D$258:$D$277,14)</f>
        <v>2</v>
      </c>
      <c r="E23" s="83">
        <f t="array" ref="E23">INDEX(Dados!$E$258:$E$277,14)</f>
        <v>7</v>
      </c>
      <c r="F23" s="83">
        <f t="array" ref="F23">INDEX(Dados!$F$258:$F$277,14)</f>
        <v>7</v>
      </c>
      <c r="G23" s="83" t="str">
        <f t="array" ref="G23">INDEX(Dados!$G$258:$G$277,14)</f>
        <v>Não</v>
      </c>
      <c r="H23" s="83">
        <f t="array" ref="H23">INDEX(Dados!$H$258:$H$277,14)</f>
        <v>5</v>
      </c>
      <c r="I23" s="83" t="str">
        <f t="array" ref="I23">INDEX(Dados!$I$258:$I$277,14)</f>
        <v>Não</v>
      </c>
    </row>
    <row r="24" ht="15.75" customHeight="1">
      <c r="A24" s="44">
        <f t="array" ref="A24">INDEX(Dados!$A$258:$A$277,15)</f>
        <v>15</v>
      </c>
      <c r="B24" s="81">
        <f t="array" ref="B24">INDEX(Dados!$B$258:$B$277,15)</f>
        <v>6</v>
      </c>
      <c r="C24" s="81">
        <f t="array" ref="C24">INDEX(Dados!$C$258:$C$277,15)</f>
        <v>3</v>
      </c>
      <c r="D24" s="81">
        <f t="array" ref="D24">INDEX(Dados!$D$258:$D$277,15)</f>
        <v>2</v>
      </c>
      <c r="E24" s="81">
        <f t="array" ref="E24">INDEX(Dados!$E$258:$E$277,15)</f>
        <v>8</v>
      </c>
      <c r="F24" s="81">
        <f t="array" ref="F24">INDEX(Dados!$F$258:$F$277,15)</f>
        <v>8</v>
      </c>
      <c r="G24" s="81" t="str">
        <f t="array" ref="G24">INDEX(Dados!$G$258:$G$277,15)</f>
        <v>Não</v>
      </c>
      <c r="H24" s="81">
        <f t="array" ref="H24">INDEX(Dados!$H$258:$H$277,15)</f>
        <v>6</v>
      </c>
      <c r="I24" s="81" t="str">
        <f t="array" ref="I24">INDEX(Dados!$I$258:$I$277,15)</f>
        <v>Sim</v>
      </c>
    </row>
    <row r="25" ht="15.75" customHeight="1">
      <c r="A25" s="82">
        <f t="array" ref="A25">INDEX(Dados!$A$258:$A$277,16)</f>
        <v>16</v>
      </c>
      <c r="B25" s="83">
        <f t="array" ref="B25">INDEX(Dados!$B$258:$B$277,16)</f>
        <v>7</v>
      </c>
      <c r="C25" s="83">
        <f t="array" ref="C25">INDEX(Dados!$C$258:$C$277,16)</f>
        <v>3</v>
      </c>
      <c r="D25" s="83">
        <f t="array" ref="D25">INDEX(Dados!$D$258:$D$277,16)</f>
        <v>2</v>
      </c>
      <c r="E25" s="83">
        <f t="array" ref="E25">INDEX(Dados!$E$258:$E$277,16)</f>
        <v>8</v>
      </c>
      <c r="F25" s="83">
        <f t="array" ref="F25">INDEX(Dados!$F$258:$F$277,16)</f>
        <v>8</v>
      </c>
      <c r="G25" s="83" t="str">
        <f t="array" ref="G25">INDEX(Dados!$G$258:$G$277,16)</f>
        <v>Sim</v>
      </c>
      <c r="H25" s="83">
        <f t="array" ref="H25">INDEX(Dados!$H$258:$H$277,16)</f>
        <v>6</v>
      </c>
      <c r="I25" s="83" t="str">
        <f t="array" ref="I25">INDEX(Dados!$I$258:$I$277,16)</f>
        <v>Não</v>
      </c>
    </row>
    <row r="26" ht="15.75" customHeight="1">
      <c r="A26" s="44">
        <f t="array" ref="A26">INDEX(Dados!$A$258:$A$277,17)</f>
        <v>17</v>
      </c>
      <c r="B26" s="81">
        <f t="array" ref="B26">INDEX(Dados!$B$258:$B$277,17)</f>
        <v>7</v>
      </c>
      <c r="C26" s="81">
        <f t="array" ref="C26">INDEX(Dados!$C$258:$C$277,17)</f>
        <v>4</v>
      </c>
      <c r="D26" s="81">
        <f t="array" ref="D26">INDEX(Dados!$D$258:$D$277,17)</f>
        <v>2</v>
      </c>
      <c r="E26" s="81">
        <f t="array" ref="E26">INDEX(Dados!$E$258:$E$277,17)</f>
        <v>9</v>
      </c>
      <c r="F26" s="81">
        <f t="array" ref="F26">INDEX(Dados!$F$258:$F$277,17)</f>
        <v>8</v>
      </c>
      <c r="G26" s="81" t="str">
        <f t="array" ref="G26">INDEX(Dados!$G$258:$G$277,17)</f>
        <v>Sim</v>
      </c>
      <c r="H26" s="81">
        <f t="array" ref="H26">INDEX(Dados!$H$258:$H$277,17)</f>
        <v>6</v>
      </c>
      <c r="I26" s="81" t="str">
        <f t="array" ref="I26">INDEX(Dados!$I$258:$I$277,17)</f>
        <v>Não</v>
      </c>
    </row>
    <row r="27" ht="15.75" customHeight="1">
      <c r="A27" s="82">
        <f t="array" ref="A27">INDEX(Dados!$A$258:$A$277,18)</f>
        <v>18</v>
      </c>
      <c r="B27" s="83">
        <f t="array" ref="B27">INDEX(Dados!$B$258:$B$277,18)</f>
        <v>7</v>
      </c>
      <c r="C27" s="83">
        <f t="array" ref="C27">INDEX(Dados!$C$258:$C$277,18)</f>
        <v>4</v>
      </c>
      <c r="D27" s="83">
        <f t="array" ref="D27">INDEX(Dados!$D$258:$D$277,18)</f>
        <v>2</v>
      </c>
      <c r="E27" s="83">
        <f t="array" ref="E27">INDEX(Dados!$E$258:$E$277,18)</f>
        <v>9</v>
      </c>
      <c r="F27" s="83">
        <f t="array" ref="F27">INDEX(Dados!$F$258:$F$277,18)</f>
        <v>8</v>
      </c>
      <c r="G27" s="83" t="str">
        <f t="array" ref="G27">INDEX(Dados!$G$258:$G$277,18)</f>
        <v>Sim</v>
      </c>
      <c r="H27" s="83">
        <f t="array" ref="H27">INDEX(Dados!$H$258:$H$277,18)</f>
        <v>7</v>
      </c>
      <c r="I27" s="83" t="str">
        <f t="array" ref="I27">INDEX(Dados!$I$258:$I$277,18)</f>
        <v>Sim</v>
      </c>
    </row>
    <row r="28" ht="15.75" customHeight="1">
      <c r="A28" s="44">
        <f t="array" ref="A28">INDEX(Dados!$A$258:$A$277,19)</f>
        <v>19</v>
      </c>
      <c r="B28" s="81">
        <f t="array" ref="B28">INDEX(Dados!$B$258:$B$277,19)</f>
        <v>8</v>
      </c>
      <c r="C28" s="81">
        <f t="array" ref="C28">INDEX(Dados!$C$258:$C$277,19)</f>
        <v>4</v>
      </c>
      <c r="D28" s="81">
        <f t="array" ref="D28">INDEX(Dados!$D$258:$D$277,19)</f>
        <v>2</v>
      </c>
      <c r="E28" s="81">
        <f t="array" ref="E28">INDEX(Dados!$E$258:$E$277,19)</f>
        <v>10</v>
      </c>
      <c r="F28" s="81">
        <f t="array" ref="F28">INDEX(Dados!$F$258:$F$277,19)</f>
        <v>8</v>
      </c>
      <c r="G28" s="81" t="str">
        <f t="array" ref="G28">INDEX(Dados!$G$258:$G$277,19)</f>
        <v>Sim</v>
      </c>
      <c r="H28" s="81">
        <f t="array" ref="H28">INDEX(Dados!$H$258:$H$277,19)</f>
        <v>7</v>
      </c>
      <c r="I28" s="81" t="str">
        <f t="array" ref="I28">INDEX(Dados!$I$258:$I$277,19)</f>
        <v>Não</v>
      </c>
    </row>
    <row r="29" ht="15.75" customHeight="1">
      <c r="A29" s="82">
        <f t="array" ref="A29">INDEX(Dados!$A$258:$A$277,20)</f>
        <v>20</v>
      </c>
      <c r="B29" s="83">
        <f t="array" ref="B29">INDEX(Dados!$B$258:$B$277,20)</f>
        <v>8</v>
      </c>
      <c r="C29" s="83">
        <f t="array" ref="C29">INDEX(Dados!$C$258:$C$277,20)</f>
        <v>5</v>
      </c>
      <c r="D29" s="83">
        <f t="array" ref="D29">INDEX(Dados!$D$258:$D$277,20)</f>
        <v>3</v>
      </c>
      <c r="E29" s="83">
        <f t="array" ref="E29">INDEX(Dados!$E$258:$E$277,20)</f>
        <v>10</v>
      </c>
      <c r="F29" s="83">
        <f t="array" ref="F29">INDEX(Dados!$F$258:$F$277,20)</f>
        <v>8</v>
      </c>
      <c r="G29" s="83" t="str">
        <f t="array" ref="G29">INDEX(Dados!$G$258:$G$277,20)</f>
        <v>Sim</v>
      </c>
      <c r="H29" s="83">
        <f t="array" ref="H29">INDEX(Dados!$H$258:$H$277,20)</f>
        <v>7</v>
      </c>
      <c r="I29" s="83" t="str">
        <f t="array" ref="I29">INDEX(Dados!$I$258:$I$277,20)</f>
        <v>Não</v>
      </c>
    </row>
    <row r="30" ht="15.75" customHeight="1"/>
    <row r="31" ht="15.75" customHeight="1">
      <c r="A31" s="5" t="s">
        <v>618</v>
      </c>
      <c r="B31" s="2"/>
      <c r="C31" s="2"/>
      <c r="D31" s="2"/>
      <c r="E31" s="2"/>
      <c r="F31" s="2"/>
      <c r="G31" s="2"/>
      <c r="H31" s="2"/>
      <c r="I31" s="3"/>
    </row>
    <row r="32" ht="25.5" customHeight="1">
      <c r="A32" s="42" t="s">
        <v>496</v>
      </c>
      <c r="B32" s="42" t="s">
        <v>91</v>
      </c>
      <c r="C32" s="42" t="s">
        <v>75</v>
      </c>
      <c r="D32" s="42" t="s">
        <v>76</v>
      </c>
      <c r="E32" s="42" t="s">
        <v>92</v>
      </c>
      <c r="F32" s="42" t="s">
        <v>93</v>
      </c>
      <c r="G32" s="42" t="s">
        <v>95</v>
      </c>
      <c r="H32" s="42" t="s">
        <v>622</v>
      </c>
      <c r="I32" s="42" t="s">
        <v>623</v>
      </c>
    </row>
    <row r="33" ht="15.75" customHeight="1">
      <c r="A33" s="44">
        <f t="array" ref="A33">INDEX(Dados!$A$258:$A$277,1)</f>
        <v>1</v>
      </c>
      <c r="B33" s="81">
        <f t="array" ref="B33">INDEX(Dados!$J$258:$J$277,1)</f>
        <v>1</v>
      </c>
      <c r="C33" s="81">
        <f t="array" ref="C33">INDEX(Dados!$K$258:$K$277,1)</f>
        <v>0</v>
      </c>
      <c r="D33" s="81">
        <f t="array" ref="D33">INDEX(Dados!$L$258:$L$277,1)</f>
        <v>6</v>
      </c>
      <c r="E33" s="81">
        <f t="shared" ref="E33:E42" si="1">1+$E$5+IF($A33&gt;=17,2,IF($A33&gt;=9,1,0))</f>
        <v>5</v>
      </c>
      <c r="F33" s="81">
        <f>$E$33-2</f>
        <v>3</v>
      </c>
      <c r="G33" s="81">
        <f t="array" ref="G33">INDEX(Dados!$B$326:$B$330,INT(($A33-1)/4)+1)</f>
        <v>2</v>
      </c>
      <c r="H33" s="81" t="str">
        <f t="shared" ref="H33:H42" si="2">"Nível "&amp;(INT(($A33-1)/4)+1)</f>
        <v>Nível 1</v>
      </c>
      <c r="I33" s="81" t="str">
        <f t="shared" ref="I33:I42" si="3">CHOOSE(IF($A33&lt;=6,1,IF($A33&lt;=12,2,IF($A33&lt;=17,3,4))),"I","II","III","IV")</f>
        <v>I</v>
      </c>
    </row>
    <row r="34" ht="15.75" customHeight="1">
      <c r="A34" s="82">
        <f t="array" ref="A34">INDEX(Dados!$A$258:$A$277,2)</f>
        <v>2</v>
      </c>
      <c r="B34" s="83">
        <f t="array" ref="B34">INDEX(Dados!$J$258:$J$277,2)</f>
        <v>1</v>
      </c>
      <c r="C34" s="83">
        <f t="array" ref="C34">INDEX(Dados!$K$258:$K$277,2)</f>
        <v>0</v>
      </c>
      <c r="D34" s="83">
        <f t="array" ref="D34">INDEX(Dados!$L$258:$L$277,2)</f>
        <v>6</v>
      </c>
      <c r="E34" s="83">
        <f t="shared" si="1"/>
        <v>5</v>
      </c>
      <c r="F34" s="83">
        <f>$E$34-2</f>
        <v>3</v>
      </c>
      <c r="G34" s="83">
        <f t="array" ref="G34">INDEX(Dados!$B$326:$B$330,INT(($A34-1)/4)+1)</f>
        <v>2</v>
      </c>
      <c r="H34" s="83" t="str">
        <f t="shared" si="2"/>
        <v>Nível 1</v>
      </c>
      <c r="I34" s="83" t="str">
        <f t="shared" si="3"/>
        <v>I</v>
      </c>
    </row>
    <row r="35" ht="15.75" customHeight="1">
      <c r="A35" s="44">
        <f t="array" ref="A35">INDEX(Dados!$A$258:$A$277,3)</f>
        <v>3</v>
      </c>
      <c r="B35" s="81">
        <f t="array" ref="B35">INDEX(Dados!$J$258:$J$277,3)</f>
        <v>1</v>
      </c>
      <c r="C35" s="81">
        <f t="array" ref="C35">INDEX(Dados!$K$258:$K$277,3)</f>
        <v>0</v>
      </c>
      <c r="D35" s="81">
        <f t="array" ref="D35">INDEX(Dados!$L$258:$L$277,3)</f>
        <v>6</v>
      </c>
      <c r="E35" s="81">
        <f t="shared" si="1"/>
        <v>5</v>
      </c>
      <c r="F35" s="81">
        <f>$E$35-2</f>
        <v>3</v>
      </c>
      <c r="G35" s="81">
        <f t="array" ref="G35">INDEX(Dados!$B$326:$B$330,INT(($A35-1)/4)+1)</f>
        <v>2</v>
      </c>
      <c r="H35" s="81" t="str">
        <f t="shared" si="2"/>
        <v>Nível 1</v>
      </c>
      <c r="I35" s="81" t="str">
        <f t="shared" si="3"/>
        <v>I</v>
      </c>
    </row>
    <row r="36" ht="15.75" customHeight="1">
      <c r="A36" s="82">
        <f t="array" ref="A36">INDEX(Dados!$A$258:$A$277,4)</f>
        <v>4</v>
      </c>
      <c r="B36" s="83">
        <f t="array" ref="B36">INDEX(Dados!$J$258:$J$277,4)</f>
        <v>1</v>
      </c>
      <c r="C36" s="83">
        <f t="array" ref="C36">INDEX(Dados!$K$258:$K$277,4)</f>
        <v>0</v>
      </c>
      <c r="D36" s="83">
        <f t="array" ref="D36">INDEX(Dados!$L$258:$L$277,4)</f>
        <v>8</v>
      </c>
      <c r="E36" s="83">
        <f t="shared" si="1"/>
        <v>5</v>
      </c>
      <c r="F36" s="83">
        <f>$E$36-2</f>
        <v>3</v>
      </c>
      <c r="G36" s="83">
        <f t="array" ref="G36">INDEX(Dados!$B$326:$B$330,INT(($A36-1)/4)+1)</f>
        <v>2</v>
      </c>
      <c r="H36" s="83" t="str">
        <f t="shared" si="2"/>
        <v>Nível 1</v>
      </c>
      <c r="I36" s="83" t="str">
        <f t="shared" si="3"/>
        <v>I</v>
      </c>
    </row>
    <row r="37" ht="15.75" customHeight="1">
      <c r="A37" s="44">
        <f t="array" ref="A37">INDEX(Dados!$A$258:$A$277,5)</f>
        <v>5</v>
      </c>
      <c r="B37" s="81">
        <f t="array" ref="B37">INDEX(Dados!$J$258:$J$277,5)</f>
        <v>2</v>
      </c>
      <c r="C37" s="81">
        <f t="array" ref="C37">INDEX(Dados!$K$258:$K$277,5)</f>
        <v>1</v>
      </c>
      <c r="D37" s="81">
        <f t="array" ref="D37">INDEX(Dados!$L$258:$L$277,5)</f>
        <v>8</v>
      </c>
      <c r="E37" s="81">
        <f t="shared" si="1"/>
        <v>5</v>
      </c>
      <c r="F37" s="81">
        <f>$E$37-2</f>
        <v>3</v>
      </c>
      <c r="G37" s="81">
        <f t="array" ref="G37">INDEX(Dados!$B$326:$B$330,INT(($A37-1)/4)+1)</f>
        <v>3</v>
      </c>
      <c r="H37" s="81" t="str">
        <f t="shared" si="2"/>
        <v>Nível 2</v>
      </c>
      <c r="I37" s="81" t="str">
        <f t="shared" si="3"/>
        <v>I</v>
      </c>
    </row>
    <row r="38" ht="15.75" customHeight="1">
      <c r="A38" s="82">
        <f t="array" ref="A38">INDEX(Dados!$A$258:$A$277,6)</f>
        <v>6</v>
      </c>
      <c r="B38" s="83">
        <f t="array" ref="B38">INDEX(Dados!$J$258:$J$277,6)</f>
        <v>2</v>
      </c>
      <c r="C38" s="83">
        <f t="array" ref="C38">INDEX(Dados!$K$258:$K$277,6)</f>
        <v>1</v>
      </c>
      <c r="D38" s="83">
        <f t="array" ref="D38">INDEX(Dados!$L$258:$L$277,6)</f>
        <v>8</v>
      </c>
      <c r="E38" s="83">
        <f t="shared" si="1"/>
        <v>5</v>
      </c>
      <c r="F38" s="83">
        <f>$E$38-2</f>
        <v>3</v>
      </c>
      <c r="G38" s="83">
        <f t="array" ref="G38">INDEX(Dados!$B$326:$B$330,INT(($A38-1)/4)+1)</f>
        <v>3</v>
      </c>
      <c r="H38" s="83" t="str">
        <f t="shared" si="2"/>
        <v>Nível 2</v>
      </c>
      <c r="I38" s="83" t="str">
        <f t="shared" si="3"/>
        <v>I</v>
      </c>
    </row>
    <row r="39" ht="15.75" customHeight="1">
      <c r="A39" s="44">
        <f t="array" ref="A39">INDEX(Dados!$A$258:$A$277,7)</f>
        <v>7</v>
      </c>
      <c r="B39" s="81">
        <f t="array" ref="B39">INDEX(Dados!$J$258:$J$277,7)</f>
        <v>2</v>
      </c>
      <c r="C39" s="81">
        <f t="array" ref="C39">INDEX(Dados!$K$258:$K$277,7)</f>
        <v>1</v>
      </c>
      <c r="D39" s="81">
        <f t="array" ref="D39">INDEX(Dados!$L$258:$L$277,7)</f>
        <v>10</v>
      </c>
      <c r="E39" s="81">
        <f t="shared" si="1"/>
        <v>5</v>
      </c>
      <c r="F39" s="81">
        <f>$E$39-2</f>
        <v>3</v>
      </c>
      <c r="G39" s="81">
        <f t="array" ref="G39">INDEX(Dados!$B$326:$B$330,INT(($A39-1)/4)+1)</f>
        <v>3</v>
      </c>
      <c r="H39" s="81" t="str">
        <f t="shared" si="2"/>
        <v>Nível 2</v>
      </c>
      <c r="I39" s="81" t="str">
        <f t="shared" si="3"/>
        <v>II</v>
      </c>
    </row>
    <row r="40" ht="15.75" customHeight="1">
      <c r="A40" s="82">
        <f t="array" ref="A40">INDEX(Dados!$A$258:$A$277,8)</f>
        <v>8</v>
      </c>
      <c r="B40" s="83">
        <f t="array" ref="B40">INDEX(Dados!$J$258:$J$277,8)</f>
        <v>2</v>
      </c>
      <c r="C40" s="83">
        <f t="array" ref="C40">INDEX(Dados!$K$258:$K$277,8)</f>
        <v>1</v>
      </c>
      <c r="D40" s="83">
        <f t="array" ref="D40">INDEX(Dados!$L$258:$L$277,8)</f>
        <v>10</v>
      </c>
      <c r="E40" s="83">
        <f t="shared" si="1"/>
        <v>5</v>
      </c>
      <c r="F40" s="83">
        <f>$E$40-2</f>
        <v>3</v>
      </c>
      <c r="G40" s="83">
        <f t="array" ref="G40">INDEX(Dados!$B$326:$B$330,INT(($A40-1)/4)+1)</f>
        <v>3</v>
      </c>
      <c r="H40" s="83" t="str">
        <f t="shared" si="2"/>
        <v>Nível 2</v>
      </c>
      <c r="I40" s="83" t="str">
        <f t="shared" si="3"/>
        <v>II</v>
      </c>
    </row>
    <row r="41" ht="15.75" customHeight="1">
      <c r="A41" s="44">
        <f t="array" ref="A41">INDEX(Dados!$A$258:$A$277,9)</f>
        <v>9</v>
      </c>
      <c r="B41" s="81">
        <f t="array" ref="B41">INDEX(Dados!$J$258:$J$277,9)</f>
        <v>3</v>
      </c>
      <c r="C41" s="81">
        <f t="array" ref="C41">INDEX(Dados!$K$258:$K$277,9)</f>
        <v>1</v>
      </c>
      <c r="D41" s="81">
        <f t="array" ref="D41">INDEX(Dados!$L$258:$L$277,9)</f>
        <v>10</v>
      </c>
      <c r="E41" s="81">
        <f t="shared" si="1"/>
        <v>6</v>
      </c>
      <c r="F41" s="81">
        <f>$E$41-2</f>
        <v>4</v>
      </c>
      <c r="G41" s="81">
        <f t="array" ref="G41">INDEX(Dados!$B$326:$B$330,INT(($A41-1)/4)+1)</f>
        <v>4</v>
      </c>
      <c r="H41" s="81" t="str">
        <f t="shared" si="2"/>
        <v>Nível 3</v>
      </c>
      <c r="I41" s="81" t="str">
        <f t="shared" si="3"/>
        <v>II</v>
      </c>
    </row>
    <row r="42" ht="15.75" customHeight="1">
      <c r="A42" s="82">
        <f t="array" ref="A42">INDEX(Dados!$A$258:$A$277,10)</f>
        <v>10</v>
      </c>
      <c r="B42" s="83">
        <f t="array" ref="B42">INDEX(Dados!$J$258:$J$277,10)</f>
        <v>3</v>
      </c>
      <c r="C42" s="83">
        <f t="array" ref="C42">INDEX(Dados!$K$258:$K$277,10)</f>
        <v>1</v>
      </c>
      <c r="D42" s="83">
        <f t="array" ref="D42">INDEX(Dados!$L$258:$L$277,10)</f>
        <v>12</v>
      </c>
      <c r="E42" s="83">
        <f t="shared" si="1"/>
        <v>6</v>
      </c>
      <c r="F42" s="83">
        <f>$E$42-2</f>
        <v>4</v>
      </c>
      <c r="G42" s="83">
        <f t="array" ref="G42">INDEX(Dados!$B$326:$B$330,INT(($A42-1)/4)+1)</f>
        <v>4</v>
      </c>
      <c r="H42" s="83" t="str">
        <f t="shared" si="2"/>
        <v>Nível 3</v>
      </c>
      <c r="I42" s="83" t="str">
        <f t="shared" si="3"/>
        <v>II</v>
      </c>
    </row>
    <row r="43" ht="25.5" customHeight="1">
      <c r="A43" s="42" t="s">
        <v>554</v>
      </c>
      <c r="B43" s="42" t="s">
        <v>91</v>
      </c>
      <c r="C43" s="42" t="s">
        <v>75</v>
      </c>
      <c r="D43" s="42" t="s">
        <v>76</v>
      </c>
      <c r="E43" s="42" t="s">
        <v>92</v>
      </c>
      <c r="F43" s="42" t="s">
        <v>93</v>
      </c>
      <c r="G43" s="42" t="s">
        <v>95</v>
      </c>
      <c r="H43" s="42" t="s">
        <v>622</v>
      </c>
      <c r="I43" s="42" t="s">
        <v>623</v>
      </c>
    </row>
    <row r="44" ht="15.75" customHeight="1">
      <c r="A44" s="44">
        <f t="array" ref="A44">INDEX(Dados!$A$258:$A$277,11)</f>
        <v>11</v>
      </c>
      <c r="B44" s="81">
        <f t="array" ref="B44">INDEX(Dados!$J$258:$J$277,11)</f>
        <v>3</v>
      </c>
      <c r="C44" s="81">
        <f t="array" ref="C44">INDEX(Dados!$K$258:$K$277,11)</f>
        <v>2</v>
      </c>
      <c r="D44" s="81">
        <f t="array" ref="D44">INDEX(Dados!$L$258:$L$277,11)</f>
        <v>12</v>
      </c>
      <c r="E44" s="81">
        <f t="shared" ref="E44:E53" si="4">1+$E$5+IF($A44&gt;=17,2,IF($A44&gt;=9,1,0))</f>
        <v>6</v>
      </c>
      <c r="F44" s="81">
        <f>$E$44-2</f>
        <v>4</v>
      </c>
      <c r="G44" s="81">
        <f t="array" ref="G44">INDEX(Dados!$B$326:$B$330,INT(($A44-1)/4)+1)</f>
        <v>4</v>
      </c>
      <c r="H44" s="81" t="str">
        <f t="shared" ref="H44:H53" si="5">"Nível "&amp;(INT(($A44-1)/4)+1)</f>
        <v>Nível 3</v>
      </c>
      <c r="I44" s="81" t="str">
        <f t="shared" ref="I44:I53" si="6">CHOOSE(IF($A44&lt;=6,1,IF($A44&lt;=12,2,IF($A44&lt;=17,3,4))),"I","II","III","IV")</f>
        <v>II</v>
      </c>
    </row>
    <row r="45" ht="15.75" customHeight="1">
      <c r="A45" s="82">
        <f t="array" ref="A45">INDEX(Dados!$A$258:$A$277,12)</f>
        <v>12</v>
      </c>
      <c r="B45" s="83">
        <f t="array" ref="B45">INDEX(Dados!$J$258:$J$277,12)</f>
        <v>3</v>
      </c>
      <c r="C45" s="83">
        <f t="array" ref="C45">INDEX(Dados!$K$258:$K$277,12)</f>
        <v>2</v>
      </c>
      <c r="D45" s="83">
        <f t="array" ref="D45">INDEX(Dados!$L$258:$L$277,12)</f>
        <v>12</v>
      </c>
      <c r="E45" s="83">
        <f t="shared" si="4"/>
        <v>6</v>
      </c>
      <c r="F45" s="83">
        <f>$E$45-2</f>
        <v>4</v>
      </c>
      <c r="G45" s="83">
        <f t="array" ref="G45">INDEX(Dados!$B$326:$B$330,INT(($A45-1)/4)+1)</f>
        <v>4</v>
      </c>
      <c r="H45" s="83" t="str">
        <f t="shared" si="5"/>
        <v>Nível 3</v>
      </c>
      <c r="I45" s="83" t="str">
        <f t="shared" si="6"/>
        <v>II</v>
      </c>
    </row>
    <row r="46" ht="15.75" customHeight="1">
      <c r="A46" s="44">
        <f t="array" ref="A46">INDEX(Dados!$A$258:$A$277,13)</f>
        <v>13</v>
      </c>
      <c r="B46" s="81">
        <f t="array" ref="B46">INDEX(Dados!$J$258:$J$277,13)</f>
        <v>4</v>
      </c>
      <c r="C46" s="81">
        <f t="array" ref="C46">INDEX(Dados!$K$258:$K$277,13)</f>
        <v>2</v>
      </c>
      <c r="D46" s="81">
        <f t="array" ref="D46">INDEX(Dados!$L$258:$L$277,13)</f>
        <v>14</v>
      </c>
      <c r="E46" s="81">
        <f t="shared" si="4"/>
        <v>6</v>
      </c>
      <c r="F46" s="81">
        <f>$E$46-2</f>
        <v>4</v>
      </c>
      <c r="G46" s="81">
        <f t="array" ref="G46">INDEX(Dados!$B$326:$B$330,INT(($A46-1)/4)+1)</f>
        <v>5</v>
      </c>
      <c r="H46" s="81" t="str">
        <f t="shared" si="5"/>
        <v>Nível 4</v>
      </c>
      <c r="I46" s="81" t="str">
        <f t="shared" si="6"/>
        <v>III</v>
      </c>
    </row>
    <row r="47" ht="15.75" customHeight="1">
      <c r="A47" s="82">
        <f t="array" ref="A47">INDEX(Dados!$A$258:$A$277,14)</f>
        <v>14</v>
      </c>
      <c r="B47" s="83">
        <f t="array" ref="B47">INDEX(Dados!$J$258:$J$277,14)</f>
        <v>4</v>
      </c>
      <c r="C47" s="83">
        <f t="array" ref="C47">INDEX(Dados!$K$258:$K$277,14)</f>
        <v>2</v>
      </c>
      <c r="D47" s="83">
        <f t="array" ref="D47">INDEX(Dados!$L$258:$L$277,14)</f>
        <v>14</v>
      </c>
      <c r="E47" s="83">
        <f t="shared" si="4"/>
        <v>6</v>
      </c>
      <c r="F47" s="83">
        <f>$E$47-2</f>
        <v>4</v>
      </c>
      <c r="G47" s="83">
        <f t="array" ref="G47">INDEX(Dados!$B$326:$B$330,INT(($A47-1)/4)+1)</f>
        <v>5</v>
      </c>
      <c r="H47" s="83" t="str">
        <f t="shared" si="5"/>
        <v>Nível 4</v>
      </c>
      <c r="I47" s="83" t="str">
        <f t="shared" si="6"/>
        <v>III</v>
      </c>
    </row>
    <row r="48" ht="15.75" customHeight="1">
      <c r="A48" s="44">
        <f t="array" ref="A48">INDEX(Dados!$A$258:$A$277,15)</f>
        <v>15</v>
      </c>
      <c r="B48" s="81">
        <f t="array" ref="B48">INDEX(Dados!$J$258:$J$277,15)</f>
        <v>4</v>
      </c>
      <c r="C48" s="81">
        <f t="array" ref="C48">INDEX(Dados!$K$258:$K$277,15)</f>
        <v>2</v>
      </c>
      <c r="D48" s="81">
        <f t="array" ref="D48">INDEX(Dados!$L$258:$L$277,15)</f>
        <v>14</v>
      </c>
      <c r="E48" s="81">
        <f t="shared" si="4"/>
        <v>6</v>
      </c>
      <c r="F48" s="81">
        <f>$E$48-2</f>
        <v>4</v>
      </c>
      <c r="G48" s="81">
        <f t="array" ref="G48">INDEX(Dados!$B$326:$B$330,INT(($A48-1)/4)+1)</f>
        <v>5</v>
      </c>
      <c r="H48" s="81" t="str">
        <f t="shared" si="5"/>
        <v>Nível 4</v>
      </c>
      <c r="I48" s="81" t="str">
        <f t="shared" si="6"/>
        <v>III</v>
      </c>
    </row>
    <row r="49" ht="15.75" customHeight="1">
      <c r="A49" s="82">
        <f t="array" ref="A49">INDEX(Dados!$A$258:$A$277,16)</f>
        <v>16</v>
      </c>
      <c r="B49" s="83">
        <f t="array" ref="B49">INDEX(Dados!$J$258:$J$277,16)</f>
        <v>4</v>
      </c>
      <c r="C49" s="83">
        <f t="array" ref="C49">INDEX(Dados!$K$258:$K$277,16)</f>
        <v>2</v>
      </c>
      <c r="D49" s="83">
        <f t="array" ref="D49">INDEX(Dados!$L$258:$L$277,16)</f>
        <v>16</v>
      </c>
      <c r="E49" s="83">
        <f t="shared" si="4"/>
        <v>6</v>
      </c>
      <c r="F49" s="83">
        <f>$E$49-2</f>
        <v>4</v>
      </c>
      <c r="G49" s="83">
        <f t="array" ref="G49">INDEX(Dados!$B$326:$B$330,INT(($A49-1)/4)+1)</f>
        <v>5</v>
      </c>
      <c r="H49" s="83" t="str">
        <f t="shared" si="5"/>
        <v>Nível 4</v>
      </c>
      <c r="I49" s="83" t="str">
        <f t="shared" si="6"/>
        <v>III</v>
      </c>
    </row>
    <row r="50" ht="15.75" customHeight="1">
      <c r="A50" s="44">
        <f t="array" ref="A50">INDEX(Dados!$A$258:$A$277,17)</f>
        <v>17</v>
      </c>
      <c r="B50" s="81">
        <f t="array" ref="B50">INDEX(Dados!$J$258:$J$277,17)</f>
        <v>5</v>
      </c>
      <c r="C50" s="81">
        <f t="array" ref="C50">INDEX(Dados!$K$258:$K$277,17)</f>
        <v>3</v>
      </c>
      <c r="D50" s="81">
        <f t="array" ref="D50">INDEX(Dados!$L$258:$L$277,17)</f>
        <v>16</v>
      </c>
      <c r="E50" s="81">
        <f t="shared" si="4"/>
        <v>7</v>
      </c>
      <c r="F50" s="81">
        <f>$E$50-2</f>
        <v>5</v>
      </c>
      <c r="G50" s="81">
        <f t="array" ref="G50">INDEX(Dados!$B$326:$B$330,INT(($A50-1)/4)+1)</f>
        <v>6</v>
      </c>
      <c r="H50" s="81" t="str">
        <f t="shared" si="5"/>
        <v>Nível 5</v>
      </c>
      <c r="I50" s="81" t="str">
        <f t="shared" si="6"/>
        <v>III</v>
      </c>
    </row>
    <row r="51" ht="15.75" customHeight="1">
      <c r="A51" s="82">
        <f t="array" ref="A51">INDEX(Dados!$A$258:$A$277,18)</f>
        <v>18</v>
      </c>
      <c r="B51" s="83">
        <f t="array" ref="B51">INDEX(Dados!$J$258:$J$277,18)</f>
        <v>5</v>
      </c>
      <c r="C51" s="83">
        <f t="array" ref="C51">INDEX(Dados!$K$258:$K$277,18)</f>
        <v>3</v>
      </c>
      <c r="D51" s="83">
        <f t="array" ref="D51">INDEX(Dados!$L$258:$L$277,18)</f>
        <v>16</v>
      </c>
      <c r="E51" s="83">
        <f t="shared" si="4"/>
        <v>7</v>
      </c>
      <c r="F51" s="83">
        <f>$E$51-2</f>
        <v>5</v>
      </c>
      <c r="G51" s="83">
        <f t="array" ref="G51">INDEX(Dados!$B$326:$B$330,INT(($A51-1)/4)+1)</f>
        <v>6</v>
      </c>
      <c r="H51" s="83" t="str">
        <f t="shared" si="5"/>
        <v>Nível 5</v>
      </c>
      <c r="I51" s="83" t="str">
        <f t="shared" si="6"/>
        <v>IV</v>
      </c>
    </row>
    <row r="52" ht="15.75" customHeight="1">
      <c r="A52" s="44">
        <f t="array" ref="A52">INDEX(Dados!$A$258:$A$277,19)</f>
        <v>19</v>
      </c>
      <c r="B52" s="81">
        <f t="array" ref="B52">INDEX(Dados!$J$258:$J$277,19)</f>
        <v>5</v>
      </c>
      <c r="C52" s="81">
        <f t="array" ref="C52">INDEX(Dados!$K$258:$K$277,19)</f>
        <v>3</v>
      </c>
      <c r="D52" s="81">
        <f t="array" ref="D52">INDEX(Dados!$L$258:$L$277,19)</f>
        <v>18</v>
      </c>
      <c r="E52" s="81">
        <f t="shared" si="4"/>
        <v>7</v>
      </c>
      <c r="F52" s="81">
        <f>$E$52-2</f>
        <v>5</v>
      </c>
      <c r="G52" s="81">
        <f t="array" ref="G52">INDEX(Dados!$B$326:$B$330,INT(($A52-1)/4)+1)</f>
        <v>6</v>
      </c>
      <c r="H52" s="81" t="str">
        <f t="shared" si="5"/>
        <v>Nível 5</v>
      </c>
      <c r="I52" s="81" t="str">
        <f t="shared" si="6"/>
        <v>IV</v>
      </c>
    </row>
    <row r="53" ht="15.75" customHeight="1">
      <c r="A53" s="82">
        <f t="array" ref="A53">INDEX(Dados!$A$258:$A$277,20)</f>
        <v>20</v>
      </c>
      <c r="B53" s="83">
        <f t="array" ref="B53">INDEX(Dados!$J$258:$J$277,20)</f>
        <v>5</v>
      </c>
      <c r="C53" s="83">
        <f t="array" ref="C53">INDEX(Dados!$K$258:$K$277,20)</f>
        <v>3</v>
      </c>
      <c r="D53" s="83">
        <f t="array" ref="D53">INDEX(Dados!$L$258:$L$277,20)</f>
        <v>18</v>
      </c>
      <c r="E53" s="83">
        <f t="shared" si="4"/>
        <v>7</v>
      </c>
      <c r="F53" s="83">
        <f>$E$53-2</f>
        <v>5</v>
      </c>
      <c r="G53" s="83">
        <f t="array" ref="G53">INDEX(Dados!$B$326:$B$330,INT(($A53-1)/4)+1)</f>
        <v>6</v>
      </c>
      <c r="H53" s="83" t="str">
        <f t="shared" si="5"/>
        <v>Nível 5</v>
      </c>
      <c r="I53" s="83" t="str">
        <f t="shared" si="6"/>
        <v>IV</v>
      </c>
    </row>
    <row r="54" ht="15.75" customHeight="1"/>
    <row r="55" ht="15.75" customHeight="1">
      <c r="A55" s="5" t="s">
        <v>1021</v>
      </c>
      <c r="B55" s="2"/>
      <c r="C55" s="2"/>
      <c r="D55" s="2"/>
      <c r="E55" s="2"/>
      <c r="F55" s="2"/>
      <c r="G55" s="2"/>
      <c r="H55" s="2"/>
      <c r="I55" s="3"/>
    </row>
    <row r="56" ht="25.5" customHeight="1">
      <c r="A56" s="14" t="s">
        <v>582</v>
      </c>
      <c r="B56" s="14" t="s">
        <v>635</v>
      </c>
      <c r="C56" s="14" t="s">
        <v>1028</v>
      </c>
      <c r="D56" s="14" t="s">
        <v>1029</v>
      </c>
      <c r="E56" s="14" t="s">
        <v>1030</v>
      </c>
      <c r="F56" s="14" t="s">
        <v>1032</v>
      </c>
      <c r="G56" s="14" t="s">
        <v>1033</v>
      </c>
      <c r="H56" s="14" t="s">
        <v>67</v>
      </c>
      <c r="I56" s="24"/>
    </row>
    <row r="57" ht="25.5" customHeight="1">
      <c r="A57" s="26">
        <v>3.0</v>
      </c>
      <c r="B57" s="41" t="str">
        <f>IF($C$5&gt;=3,"Liberado","Libera no nível 3")</f>
        <v>Libera no nível 3</v>
      </c>
      <c r="C57" s="34"/>
      <c r="D57" s="34"/>
      <c r="E57" s="34"/>
      <c r="F57" s="41">
        <f>IF(AND(3&lt;=$C$5,$D$57&lt;&gt;""),IF($C$57="+1 em dois",1,2),0)</f>
        <v>0</v>
      </c>
      <c r="G57" s="41">
        <f>IF(AND(3&lt;=$C$5,$C$57="+1 em dois",$E$57&lt;&gt;"",$E$57&lt;&gt;$D$57),1,0)</f>
        <v>0</v>
      </c>
      <c r="H57" s="30" t="str">
        <f>IF(AND(OR($C$57&lt;&gt;"",$D$57&lt;&gt;"",$E$57&lt;&gt;""),3&gt;$C$5),"Ainda não liberado (nível 3)",IF(AND($C$57="+1 em dois",$D$57&lt;&gt;"",$D$57=$E$57),"+1 em dois exige atributos diferentes: contou só um +1",IF(AND($E$57&lt;&gt;"",$C$57&lt;&gt;"+1 em dois"),"Atributo 2 só vale no modo +1 em dois",IF(AND($C$57="+1 em dois",$D$57&lt;&gt;"",$E$57=""),"Falta o Atributo 2",""))))</f>
        <v/>
      </c>
    </row>
    <row r="58" ht="25.5" customHeight="1">
      <c r="A58" s="40">
        <v>6.0</v>
      </c>
      <c r="B58" s="47" t="str">
        <f>IF($C$5&gt;=6,"Liberado","Libera no nível 6")</f>
        <v>Libera no nível 6</v>
      </c>
      <c r="C58" s="50"/>
      <c r="D58" s="50"/>
      <c r="E58" s="50"/>
      <c r="F58" s="47">
        <f>IF(AND(6&lt;=$C$5,$D$58&lt;&gt;""),IF($C$58="+1 em dois",1,2),0)</f>
        <v>0</v>
      </c>
      <c r="G58" s="47">
        <f>IF(AND(6&lt;=$C$5,$C$58="+1 em dois",$E$58&lt;&gt;"",$E$58&lt;&gt;$D$58),1,0)</f>
        <v>0</v>
      </c>
      <c r="H58" s="43" t="str">
        <f>IF(AND(OR($C$58&lt;&gt;"",$D$58&lt;&gt;"",$E$58&lt;&gt;""),6&gt;$C$5),"Ainda não liberado (nível 6)",IF(AND($C$58="+1 em dois",$D$58&lt;&gt;"",$D$58=$E$58),"+1 em dois exige atributos diferentes: contou só um +1",IF(AND($E$58&lt;&gt;"",$C$58&lt;&gt;"+1 em dois"),"Atributo 2 só vale no modo +1 em dois",IF(AND($C$58="+1 em dois",$D$58&lt;&gt;"",$E$58=""),"Falta o Atributo 2",""))))</f>
        <v/>
      </c>
      <c r="I58" s="3"/>
    </row>
    <row r="59" ht="25.5" customHeight="1">
      <c r="A59" s="26">
        <v>9.0</v>
      </c>
      <c r="B59" s="41" t="str">
        <f>IF($C$5&gt;=9,"Liberado","Libera no nível 9")</f>
        <v>Libera no nível 9</v>
      </c>
      <c r="C59" s="34"/>
      <c r="D59" s="34"/>
      <c r="E59" s="34"/>
      <c r="F59" s="41">
        <f>IF(AND(9&lt;=$C$5,$D$59&lt;&gt;""),IF($C$59="+1 em dois",1,2),0)</f>
        <v>0</v>
      </c>
      <c r="G59" s="41">
        <f>IF(AND(9&lt;=$C$5,$C$59="+1 em dois",$E$59&lt;&gt;"",$E$59&lt;&gt;$D$59),1,0)</f>
        <v>0</v>
      </c>
      <c r="H59" s="30" t="str">
        <f>IF(AND(OR($C$59&lt;&gt;"",$D$59&lt;&gt;"",$E$59&lt;&gt;""),9&gt;$C$5),"Ainda não liberado (nível 9)",IF(AND($C$59="+1 em dois",$D$59&lt;&gt;"",$D$59=$E$59),"+1 em dois exige atributos diferentes: contou só um +1",IF(AND($E$59&lt;&gt;"",$C$59&lt;&gt;"+1 em dois"),"Atributo 2 só vale no modo +1 em dois",IF(AND($C$59="+1 em dois",$D$59&lt;&gt;"",$E$59=""),"Falta o Atributo 2",""))))</f>
        <v/>
      </c>
    </row>
    <row r="60" ht="25.5" customHeight="1">
      <c r="A60" s="40">
        <v>12.0</v>
      </c>
      <c r="B60" s="47" t="str">
        <f>IF($C$5&gt;=12,"Liberado","Libera no nível 12")</f>
        <v>Libera no nível 12</v>
      </c>
      <c r="C60" s="50"/>
      <c r="D60" s="50"/>
      <c r="E60" s="50"/>
      <c r="F60" s="47">
        <f>IF(AND(12&lt;=$C$5,$D$60&lt;&gt;""),IF($C$60="+1 em dois",1,2),0)</f>
        <v>0</v>
      </c>
      <c r="G60" s="47">
        <f>IF(AND(12&lt;=$C$5,$C$60="+1 em dois",$E$60&lt;&gt;"",$E$60&lt;&gt;$D$60),1,0)</f>
        <v>0</v>
      </c>
      <c r="H60" s="43" t="str">
        <f>IF(AND(OR($C$60&lt;&gt;"",$D$60&lt;&gt;"",$E$60&lt;&gt;""),12&gt;$C$5),"Ainda não liberado (nível 12)",IF(AND($C$60="+1 em dois",$D$60&lt;&gt;"",$D$60=$E$60),"+1 em dois exige atributos diferentes: contou só um +1",IF(AND($E$60&lt;&gt;"",$C$60&lt;&gt;"+1 em dois"),"Atributo 2 só vale no modo +1 em dois",IF(AND($C$60="+1 em dois",$D$60&lt;&gt;"",$E$60=""),"Falta o Atributo 2",""))))</f>
        <v/>
      </c>
      <c r="I60" s="3"/>
    </row>
    <row r="61" ht="25.5" customHeight="1">
      <c r="A61" s="26">
        <v>15.0</v>
      </c>
      <c r="B61" s="41" t="str">
        <f>IF($C$5&gt;=15,"Liberado","Libera no nível 15")</f>
        <v>Libera no nível 15</v>
      </c>
      <c r="C61" s="34"/>
      <c r="D61" s="34"/>
      <c r="E61" s="34"/>
      <c r="F61" s="41">
        <f>IF(AND(15&lt;=$C$5,$D$61&lt;&gt;""),IF($C$61="+1 em dois",1,2),0)</f>
        <v>0</v>
      </c>
      <c r="G61" s="41">
        <f>IF(AND(15&lt;=$C$5,$C$61="+1 em dois",$E$61&lt;&gt;"",$E$61&lt;&gt;$D$61),1,0)</f>
        <v>0</v>
      </c>
      <c r="H61" s="30" t="str">
        <f>IF(AND(OR($C$61&lt;&gt;"",$D$61&lt;&gt;"",$E$61&lt;&gt;""),15&gt;$C$5),"Ainda não liberado (nível 15)",IF(AND($C$61="+1 em dois",$D$61&lt;&gt;"",$D$61=$E$61),"+1 em dois exige atributos diferentes: contou só um +1",IF(AND($E$61&lt;&gt;"",$C$61&lt;&gt;"+1 em dois"),"Atributo 2 só vale no modo +1 em dois",IF(AND($C$61="+1 em dois",$D$61&lt;&gt;"",$E$61=""),"Falta o Atributo 2",""))))</f>
        <v/>
      </c>
    </row>
    <row r="62" ht="25.5" customHeight="1">
      <c r="A62" s="40">
        <v>18.0</v>
      </c>
      <c r="B62" s="47" t="str">
        <f>IF($C$5&gt;=18,"Liberado","Libera no nível 18")</f>
        <v>Libera no nível 18</v>
      </c>
      <c r="C62" s="50"/>
      <c r="D62" s="50"/>
      <c r="E62" s="50"/>
      <c r="F62" s="47">
        <f>IF(AND(18&lt;=$C$5,$D$62&lt;&gt;""),IF($C$62="+1 em dois",1,2),0)</f>
        <v>0</v>
      </c>
      <c r="G62" s="47">
        <f>IF(AND(18&lt;=$C$5,$C$62="+1 em dois",$E$62&lt;&gt;"",$E$62&lt;&gt;$D$62),1,0)</f>
        <v>0</v>
      </c>
      <c r="H62" s="43" t="str">
        <f>IF(AND(OR($C$62&lt;&gt;"",$D$62&lt;&gt;"",$E$62&lt;&gt;""),18&gt;$C$5),"Ainda não liberado (nível 18)",IF(AND($C$62="+1 em dois",$D$62&lt;&gt;"",$D$62=$E$62),"+1 em dois exige atributos diferentes: contou só um +1",IF(AND($E$62&lt;&gt;"",$C$62&lt;&gt;"+1 em dois"),"Atributo 2 só vale no modo +1 em dois",IF(AND($C$62="+1 em dois",$D$62&lt;&gt;"",$E$62=""),"Falta o Atributo 2",""))))</f>
        <v/>
      </c>
      <c r="I62" s="3"/>
    </row>
    <row r="63" ht="15.75" customHeight="1">
      <c r="A63" s="25" t="s">
        <v>1229</v>
      </c>
      <c r="D63" s="59"/>
      <c r="E63" s="27">
        <f>$C$5+2</f>
        <v>3</v>
      </c>
      <c r="F63" s="19" t="s">
        <v>1230</v>
      </c>
    </row>
    <row r="64" ht="15.75" customHeight="1"/>
    <row r="65" ht="15.75" customHeight="1">
      <c r="A65" s="5" t="s">
        <v>1232</v>
      </c>
      <c r="B65" s="2"/>
      <c r="C65" s="2"/>
      <c r="D65" s="2"/>
      <c r="E65" s="2"/>
      <c r="F65" s="2"/>
      <c r="G65" s="2"/>
      <c r="H65" s="2"/>
      <c r="I65" s="3"/>
    </row>
    <row r="66" ht="15.75" customHeight="1">
      <c r="A66" s="14" t="s">
        <v>1145</v>
      </c>
      <c r="B66" s="14" t="s">
        <v>582</v>
      </c>
      <c r="C66" s="14" t="s">
        <v>1240</v>
      </c>
      <c r="D66" s="24"/>
      <c r="E66" s="24"/>
      <c r="F66" s="14" t="s">
        <v>635</v>
      </c>
      <c r="G66" s="14" t="s">
        <v>1241</v>
      </c>
      <c r="H66" s="24"/>
      <c r="I66" s="14" t="s">
        <v>67</v>
      </c>
    </row>
    <row r="67" ht="36.75" customHeight="1">
      <c r="A67" s="26" t="s">
        <v>873</v>
      </c>
      <c r="B67" s="41">
        <f t="array" ref="B67">INDEX(Dados!$B$289:$B$292,1)</f>
        <v>5</v>
      </c>
      <c r="C67" s="79"/>
      <c r="D67" s="29"/>
      <c r="E67" s="32"/>
      <c r="F67" s="9" t="str">
        <f>IF($C$5&gt;=$B$67,IF($C$67="","Liberada: escolha a opção","Ativa"),"Libera no nível "&amp;$B$67)</f>
        <v>Libera no nível 5</v>
      </c>
      <c r="G67" s="7" t="str">
        <f t="array" ref="G67">INDEX(Dados!$C$289:$C$292,1)</f>
        <v>1 uso por combate de uma Habilidade de Nível 3 ou menor sem custo de PH; ou +1 de Velocidade permanente</v>
      </c>
      <c r="H67" s="3"/>
      <c r="I67" s="30" t="str">
        <f>IF(AND($C$67&lt;&gt;"",$C$5&lt;$B$67),"Ainda não liberada (nível "&amp;$B$67&amp;")","")</f>
        <v/>
      </c>
      <c r="R67" s="35" t="str">
        <f>IF($C$5&gt;=$B$67,$C$67,"")</f>
        <v/>
      </c>
    </row>
    <row r="68" ht="36.75" customHeight="1">
      <c r="A68" s="40" t="s">
        <v>889</v>
      </c>
      <c r="B68" s="47">
        <f t="array" ref="B68">INDEX(Dados!$B$289:$B$292,2)</f>
        <v>10</v>
      </c>
      <c r="C68" s="91"/>
      <c r="D68" s="29"/>
      <c r="E68" s="32"/>
      <c r="F68" s="16" t="str">
        <f>IF($C$5&gt;=$B$68,IF($C$68="","Liberada: escolha a opção","Ativa"),"Libera no nível "&amp;$B$68)</f>
        <v>Libera no nível 10</v>
      </c>
      <c r="G68" s="21" t="str">
        <f t="array" ref="G68">INDEX(Dados!$C$289:$C$292,2)</f>
        <v>Sua Ultimate ganha um efeito extra, dentro dos limites de buff e debuff lidos no Nível equivalente da sua faixa (capítulo 17)</v>
      </c>
      <c r="H68" s="3"/>
      <c r="I68" s="55" t="str">
        <f>IF(AND($C$68&lt;&gt;"",$C$5&lt;$B$68),"Ainda não liberada (nível "&amp;$B$68&amp;")","")</f>
        <v/>
      </c>
      <c r="R68" s="35" t="str">
        <f>IF($C$5&gt;=$B$68,$C$68,"")</f>
        <v/>
      </c>
    </row>
    <row r="69" ht="36.75" customHeight="1">
      <c r="A69" s="26" t="s">
        <v>900</v>
      </c>
      <c r="B69" s="41">
        <f t="array" ref="B69">INDEX(Dados!$B$289:$B$292,3)</f>
        <v>15</v>
      </c>
      <c r="C69" s="79"/>
      <c r="D69" s="29"/>
      <c r="E69" s="32"/>
      <c r="F69" s="9" t="str">
        <f>IF($C$5&gt;=$B$69,IF($C$69="","Liberada: escolha a opção","Ativa"),"Libera no nível "&amp;$B$69)</f>
        <v>Libera no nível 15</v>
      </c>
      <c r="G69" s="7" t="str">
        <f t="array" ref="G69">INDEX(Dados!$C$289:$C$292,3)</f>
        <v>Uma Habilidade sua sobe 1 Nível de efeito e passa a custar o PH do Nível novo, sem passar do seu Nível máximo</v>
      </c>
      <c r="H69" s="3"/>
      <c r="I69" s="30" t="str">
        <f>IF(AND($C$69&lt;&gt;"",$C$5&lt;$B$69),"Ainda não liberada (nível "&amp;$B$69&amp;")","")</f>
        <v/>
      </c>
      <c r="R69" s="35" t="str">
        <f>IF($C$5&gt;=$B$69,$C$69,"")</f>
        <v/>
      </c>
    </row>
    <row r="70" ht="36.75" customHeight="1">
      <c r="A70" s="40" t="s">
        <v>1181</v>
      </c>
      <c r="B70" s="47">
        <f t="array" ref="B70">INDEX(Dados!$B$289:$B$292,4)</f>
        <v>20</v>
      </c>
      <c r="C70" s="91"/>
      <c r="D70" s="29"/>
      <c r="E70" s="32"/>
      <c r="F70" s="16" t="str">
        <f>IF($C$5&gt;=$B$70,IF($C$70="","Liberada: escolha a opção","Ativa"),"Libera no nível "&amp;$B$70)</f>
        <v>Libera no nível 20</v>
      </c>
      <c r="G70" s="21" t="str">
        <f t="array" ref="G70">INDEX(Dados!$C$289:$C$292,4)</f>
        <v>Sua Ultimate ativa com 80 de Energia e consome 80 (o teto do medidor continua 100); ou sua Bênção Avatar afeta um alvo adicional</v>
      </c>
      <c r="H70" s="3"/>
      <c r="I70" s="55" t="str">
        <f>IF(AND($C$70&lt;&gt;"",$C$5&lt;$B$70),"Ainda não liberada (nível "&amp;$B$70&amp;")","")</f>
        <v/>
      </c>
      <c r="R70" s="35" t="str">
        <f>IF($C$5&gt;=$B$70,$C$70,"")</f>
        <v/>
      </c>
    </row>
    <row r="71" ht="15.75" customHeight="1"/>
    <row r="72" ht="15.75" customHeight="1">
      <c r="A72" s="5" t="s">
        <v>1340</v>
      </c>
      <c r="B72" s="2"/>
      <c r="C72" s="2"/>
      <c r="D72" s="2"/>
      <c r="E72" s="2"/>
      <c r="F72" s="2"/>
      <c r="G72" s="2"/>
      <c r="H72" s="2"/>
      <c r="I72" s="3"/>
    </row>
    <row r="73" ht="15.75" customHeight="1">
      <c r="A73" s="25" t="s">
        <v>1341</v>
      </c>
      <c r="B73" s="59"/>
      <c r="C73" s="27">
        <f>MIN(20,$C$5+1)</f>
        <v>2</v>
      </c>
    </row>
    <row r="74" ht="15.75" customHeight="1">
      <c r="A74" s="37" t="str">
        <f>IF($C$5&gt;=20,"Você está no nível 20, o máximo do jogo.","Nível "&amp;$C$73&amp;":")</f>
        <v>Nível 2:</v>
      </c>
      <c r="B74" s="2"/>
      <c r="C74" s="2"/>
      <c r="D74" s="2"/>
      <c r="E74" s="2"/>
      <c r="F74" s="2"/>
      <c r="G74" s="2"/>
      <c r="H74" s="2"/>
      <c r="I74" s="3"/>
    </row>
    <row r="75" ht="15.75" customHeight="1">
      <c r="A75" s="37" t="str">
        <f t="array" ref="A75">IF(AND($C$5&lt;20,INDEX(Dados!$B$258:$B$277,$C$73)&gt;INDEX(Dados!$B$258:$B$277,$C$5)),"Eficiência sobe para +"&amp;INDEX(Dados!$B$258:$B$277,$C$73)&amp;" (Eficácia +"&amp;2*INDEX(Dados!$B$258:$B$277,$C$73)&amp;")","")</f>
        <v/>
      </c>
      <c r="B75" s="2"/>
      <c r="C75" s="2"/>
      <c r="D75" s="2"/>
      <c r="E75" s="2"/>
      <c r="F75" s="2"/>
      <c r="G75" s="2"/>
      <c r="H75" s="2"/>
      <c r="I75" s="3"/>
    </row>
    <row r="76" ht="15.75" customHeight="1">
      <c r="A76" s="37" t="str">
        <f>IF(AND($C$5&lt;20,MOD($C$73,2)=1),"Nova Bênção (slot do nível "&amp;$C$73&amp;", aba Caminho)","")</f>
        <v/>
      </c>
      <c r="B76" s="2"/>
      <c r="C76" s="2"/>
      <c r="D76" s="2"/>
      <c r="E76" s="2"/>
      <c r="F76" s="2"/>
      <c r="G76" s="2"/>
      <c r="H76" s="2"/>
      <c r="I76" s="3"/>
    </row>
    <row r="77" ht="15.75" customHeight="1">
      <c r="A77" s="37" t="str">
        <f t="array" ref="A77">IF(AND($C$5&lt;20,INDEX(Dados!$F$258:$F$277,$C$73)&gt;INDEX(Dados!$F$258:$F$277,$C$5)),"Mais 1 Habilidade conhecida (total "&amp;INDEX(Dados!$F$258:$F$277,$C$73)&amp;")",IF(AND($C$5&lt;20,INDEX(Dados!$G$258:$G$277,$C$73)="Sim"),"Reescreva 1 Habilidade (16.6)",""))</f>
        <v/>
      </c>
      <c r="B77" s="2"/>
      <c r="C77" s="2"/>
      <c r="D77" s="2"/>
      <c r="E77" s="2"/>
      <c r="F77" s="2"/>
      <c r="G77" s="2"/>
      <c r="H77" s="2"/>
      <c r="I77" s="3"/>
    </row>
    <row r="78" ht="15.75" customHeight="1">
      <c r="A78" s="37" t="str">
        <f t="array" ref="A78">IF(AND($C$5&lt;20,INDEX(Dados!$H$258:$H$277,$C$73)&gt;INDEX(Dados!$H$258:$H$277,$C$5)),"Habilidades até o Nível "&amp;INDEX(Dados!$H$258:$H$277,$C$73),"")</f>
        <v>Habilidades até o Nível 2</v>
      </c>
      <c r="B78" s="2"/>
      <c r="C78" s="2"/>
      <c r="D78" s="2"/>
      <c r="E78" s="2"/>
      <c r="F78" s="2"/>
      <c r="G78" s="2"/>
      <c r="H78" s="2"/>
      <c r="I78" s="3"/>
    </row>
    <row r="79" ht="15.75" customHeight="1">
      <c r="A79" s="37" t="str">
        <f t="array" ref="A79">IF(AND($C$5&lt;20,INDEX(Dados!$I$258:$I$277,$C$73)="Sim"),"Aumento de Atributo: +2 em um ou +1 em dois (tabela acima)","")</f>
        <v/>
      </c>
      <c r="B79" s="2"/>
      <c r="C79" s="2"/>
      <c r="D79" s="2"/>
      <c r="E79" s="2"/>
      <c r="F79" s="2"/>
      <c r="G79" s="2"/>
      <c r="H79" s="2"/>
      <c r="I79" s="3"/>
    </row>
    <row r="80" ht="15.75" customHeight="1">
      <c r="A80" s="37" t="str">
        <f t="array" ref="A80">IF(AND($C$5&lt;20,INDEX(Dados!$J$258:$J$277,$C$73)&gt;INDEX(Dados!$J$258:$J$277,$C$5)),"Ataque Básico com "&amp;INDEX(Dados!$J$258:$J$277,$C$73)&amp;" dados","")</f>
        <v/>
      </c>
      <c r="B80" s="2"/>
      <c r="C80" s="2"/>
      <c r="D80" s="2"/>
      <c r="E80" s="2"/>
      <c r="F80" s="2"/>
      <c r="G80" s="2"/>
      <c r="H80" s="2"/>
      <c r="I80" s="3"/>
    </row>
    <row r="81" ht="15.75" customHeight="1">
      <c r="A81" s="37" t="str">
        <f t="array" ref="A81">IF(AND($C$5&lt;20,INDEX(Dados!$K$258:$K$277,$C$73)&gt;INDEX(Dados!$K$258:$K$277,$C$5)),"Especialização de Combate +"&amp;INDEX(Dados!$K$258:$K$277,$C$73),"")</f>
        <v/>
      </c>
      <c r="B81" s="2"/>
      <c r="C81" s="2"/>
      <c r="D81" s="2"/>
      <c r="E81" s="2"/>
      <c r="F81" s="2"/>
      <c r="G81" s="2"/>
      <c r="H81" s="2"/>
      <c r="I81" s="3"/>
    </row>
    <row r="82" ht="15.75" customHeight="1">
      <c r="A82" s="37" t="str">
        <f t="array" ref="A82">IF(AND($C$5&lt;20,OR(INDEX(Dados!$C$258:$C$277,$C$73)&gt;INDEX(Dados!$C$258:$C$277,$C$5),INDEX(Dados!$D$258:$D$277,$C$73)&gt;INDEX(Dados!$D$258:$D$277,$C$5))),"Slots de Eficácia: "&amp;INDEX(Dados!$C$258:$C$277,$C$73)&amp;" em Perícias e "&amp;INDEX(Dados!$D$258:$D$277,$C$73)&amp;" em Testes de Resistência","")</f>
        <v/>
      </c>
      <c r="B82" s="2"/>
      <c r="C82" s="2"/>
      <c r="D82" s="2"/>
      <c r="E82" s="2"/>
      <c r="F82" s="2"/>
      <c r="G82" s="2"/>
      <c r="H82" s="2"/>
      <c r="I82" s="3"/>
    </row>
    <row r="83" ht="15.75" customHeight="1">
      <c r="A83" s="37" t="str">
        <f>IF($C$5&lt;20,"PV máximos +"&amp;(5+'Criação'!$B$36+'Criação'!$F$46)&amp;" (5 + N + Bônus de Vigor)","")</f>
        <v>#ERROR!</v>
      </c>
      <c r="B83" s="2"/>
      <c r="C83" s="2"/>
      <c r="D83" s="2"/>
      <c r="E83" s="2"/>
      <c r="F83" s="2"/>
      <c r="G83" s="2"/>
      <c r="H83" s="2"/>
      <c r="I83" s="3"/>
    </row>
    <row r="84" ht="15.75" customHeight="1">
      <c r="A84" s="37" t="str">
        <f t="array" ref="A84">IF(AND($C$5&lt;20,MOD($C$5,4)=0),"Nova faixa de nível: Ultimate de Nível equivalente "&amp;INDEX(Dados!$B$326:$B$330,INT(($C$73-1)/4)+1)&amp;" e Cone de Luz até o Nível "&amp;(INT(($C$73-1)/4)+1),"")</f>
        <v/>
      </c>
      <c r="B84" s="2"/>
      <c r="C84" s="2"/>
      <c r="D84" s="2"/>
      <c r="E84" s="2"/>
      <c r="F84" s="2"/>
      <c r="G84" s="2"/>
      <c r="H84" s="2"/>
      <c r="I84" s="3"/>
    </row>
    <row r="85" ht="15.75" customHeight="1">
      <c r="A85" s="37" t="str">
        <f>IF(AND($C$5&lt;20,MOD($C$73,5)=0),"Ressonância "&amp;CHOOSE(INT($C$73/5),"I","II","III","IV")&amp;" (tabela acima)","")</f>
        <v/>
      </c>
      <c r="B85" s="2"/>
      <c r="C85" s="2"/>
      <c r="D85" s="2"/>
      <c r="E85" s="2"/>
      <c r="F85" s="2"/>
      <c r="G85" s="2"/>
      <c r="H85" s="2"/>
      <c r="I85" s="3"/>
    </row>
    <row r="86" ht="15.75" customHeight="1">
      <c r="A86" s="37" t="str">
        <f>IF(AND($C$5&lt;20,OR($C$73=7,$C$73=13,$C$73=18)),"Relíquias sobem para o Tier "&amp;CHOOSE(IF($C$73=7,1,IF($C$73=13,2,3)),"II","III","IV"),"")</f>
        <v/>
      </c>
      <c r="B86" s="2"/>
      <c r="C86" s="2"/>
      <c r="D86" s="2"/>
      <c r="E86" s="2"/>
      <c r="F86" s="2"/>
      <c r="G86" s="2"/>
      <c r="H86" s="2"/>
      <c r="I86" s="3"/>
    </row>
    <row r="87" ht="15.75" customHeight="1">
      <c r="A87" s="37" t="str">
        <f>IF(AND($C$5&lt;20,OR($C$73=9,$C$73=17)),"PH do grupo: máximo +1","")</f>
        <v/>
      </c>
      <c r="B87" s="2"/>
      <c r="C87" s="2"/>
      <c r="D87" s="2"/>
      <c r="E87" s="2"/>
      <c r="F87" s="2"/>
      <c r="G87" s="2"/>
      <c r="H87" s="2"/>
      <c r="I87" s="3"/>
    </row>
    <row r="88" ht="15.75" customHeight="1">
      <c r="A88" s="37" t="str">
        <f>IF(AND($C$5&lt;20,'Criação'!$B$33="A Recordação"),IF(MOD($C$73,2)=0,"Memoespírito: +1 ponto de atributo. ","")&amp;IF(OR($C$73=8,$C$73=14,$C$73=20),"Memoespírito: nova Evolução.",""),"")</f>
        <v/>
      </c>
      <c r="B88" s="2"/>
      <c r="C88" s="2"/>
      <c r="D88" s="2"/>
      <c r="E88" s="2"/>
      <c r="F88" s="2"/>
      <c r="G88" s="2"/>
      <c r="H88" s="2"/>
      <c r="I88" s="3"/>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1:L1"/>
    <mergeCell ref="A3:L3"/>
    <mergeCell ref="A5:B5"/>
    <mergeCell ref="F5:I5"/>
    <mergeCell ref="A7:I7"/>
    <mergeCell ref="A31:I31"/>
    <mergeCell ref="A55:I55"/>
    <mergeCell ref="H56:I56"/>
    <mergeCell ref="H57:I57"/>
    <mergeCell ref="H58:I58"/>
    <mergeCell ref="H59:I59"/>
    <mergeCell ref="H60:I60"/>
    <mergeCell ref="H61:I61"/>
    <mergeCell ref="H62:I62"/>
    <mergeCell ref="G67:H67"/>
    <mergeCell ref="G68:H68"/>
    <mergeCell ref="A63:D63"/>
    <mergeCell ref="F63:I63"/>
    <mergeCell ref="A65:I65"/>
    <mergeCell ref="C66:E66"/>
    <mergeCell ref="G66:H66"/>
    <mergeCell ref="C67:E67"/>
    <mergeCell ref="C68:E68"/>
    <mergeCell ref="C69:E69"/>
    <mergeCell ref="G69:H69"/>
    <mergeCell ref="C70:E70"/>
    <mergeCell ref="G70:H70"/>
    <mergeCell ref="A72:I72"/>
    <mergeCell ref="A73:B73"/>
    <mergeCell ref="A74:I74"/>
    <mergeCell ref="A82:I82"/>
    <mergeCell ref="A83:I83"/>
    <mergeCell ref="A84:I84"/>
    <mergeCell ref="A85:I85"/>
    <mergeCell ref="A86:I86"/>
    <mergeCell ref="A87:I87"/>
    <mergeCell ref="A88:I88"/>
    <mergeCell ref="A75:I75"/>
    <mergeCell ref="A76:I76"/>
    <mergeCell ref="A77:I77"/>
    <mergeCell ref="A78:I78"/>
    <mergeCell ref="A79:I79"/>
    <mergeCell ref="A80:I80"/>
    <mergeCell ref="A81:I81"/>
  </mergeCells>
  <conditionalFormatting sqref="A9:I29">
    <cfRule type="expression" dxfId="2" priority="1">
      <formula>$A9=$C$5</formula>
    </cfRule>
  </conditionalFormatting>
  <conditionalFormatting sqref="A33:I53">
    <cfRule type="expression" dxfId="2" priority="2">
      <formula>$A33=$C$5</formula>
    </cfRule>
  </conditionalFormatting>
  <conditionalFormatting sqref="H57">
    <cfRule type="expression" dxfId="0" priority="3">
      <formula>LEN(H57)&gt;0</formula>
    </cfRule>
  </conditionalFormatting>
  <conditionalFormatting sqref="H58">
    <cfRule type="expression" dxfId="0" priority="4">
      <formula>LEN(H58)&gt;0</formula>
    </cfRule>
  </conditionalFormatting>
  <conditionalFormatting sqref="H59">
    <cfRule type="expression" dxfId="0" priority="5">
      <formula>LEN(H59)&gt;0</formula>
    </cfRule>
  </conditionalFormatting>
  <conditionalFormatting sqref="H60">
    <cfRule type="expression" dxfId="0" priority="6">
      <formula>LEN(H60)&gt;0</formula>
    </cfRule>
  </conditionalFormatting>
  <conditionalFormatting sqref="H61">
    <cfRule type="expression" dxfId="0" priority="7">
      <formula>LEN(H61)&gt;0</formula>
    </cfRule>
  </conditionalFormatting>
  <conditionalFormatting sqref="H62">
    <cfRule type="expression" dxfId="0" priority="8">
      <formula>LEN(H62)&gt;0</formula>
    </cfRule>
  </conditionalFormatting>
  <conditionalFormatting sqref="I67">
    <cfRule type="expression" dxfId="0" priority="9">
      <formula>LEN(I67)&gt;0</formula>
    </cfRule>
  </conditionalFormatting>
  <conditionalFormatting sqref="I68">
    <cfRule type="expression" dxfId="0" priority="10">
      <formula>LEN(I68)&gt;0</formula>
    </cfRule>
  </conditionalFormatting>
  <conditionalFormatting sqref="I69">
    <cfRule type="expression" dxfId="0" priority="11">
      <formula>LEN(I69)&gt;0</formula>
    </cfRule>
  </conditionalFormatting>
  <conditionalFormatting sqref="I70">
    <cfRule type="expression" dxfId="0" priority="12">
      <formula>LEN(I70)&gt;0</formula>
    </cfRule>
  </conditionalFormatting>
  <dataValidations>
    <dataValidation type="list" allowBlank="1" showInputMessage="1" prompt="Fora da lista - Aumento do nível 9: escolha um valor da lista. A ficha pode não reconhecer outro valor." sqref="C59">
      <formula1>Dados!$AJ$6:$AJ$7</formula1>
    </dataValidation>
    <dataValidation type="list" allowBlank="1" showInputMessage="1" prompt="Fora da lista - Ressonância IV: escolha um valor da lista. A ficha pode não reconhecer outro valor." sqref="C70">
      <formula1>Dados!$AT$6:$AT$7</formula1>
    </dataValidation>
    <dataValidation type="list" allowBlank="1" showInputMessage="1" prompt="Fora da lista - Aumento do nível 18: escolha um valor da lista. A ficha pode não reconhecer outro valor." sqref="C62">
      <formula1>Dados!$AJ$6:$AJ$7</formula1>
    </dataValidation>
    <dataValidation type="list" allowBlank="1" showInputMessage="1" prompt="Fora da lista - Ressonância I: escolha um valor da lista. A ficha pode não reconhecer outro valor." sqref="C67">
      <formula1>Dados!$AQ$6:$AQ$7</formula1>
    </dataValidation>
    <dataValidation type="list" allowBlank="1" showInputMessage="1" prompt="Fora da lista - Aumento do nível 3: escolha um valor da lista. A ficha pode não reconhecer outro valor." sqref="C57">
      <formula1>Dados!$AJ$6:$AJ$7</formula1>
    </dataValidation>
    <dataValidation type="list" allowBlank="1" showInputMessage="1" prompt="Fora da lista - Ressonância III: escolha um valor da lista. A ficha pode não reconhecer outro valor." sqref="C69">
      <formula1>Dados!$AS$6</formula1>
    </dataValidation>
    <dataValidation type="list" allowBlank="1" showInputMessage="1" prompt="Fora da lista - Aumento do nível 6: escolha um valor da lista. A ficha pode não reconhecer outro valor." sqref="C58">
      <formula1>Dados!$AJ$6:$AJ$7</formula1>
    </dataValidation>
    <dataValidation type="list" allowBlank="1" showInputMessage="1" prompt="Fora da lista - Aumento do nível 15: escolha um valor da lista. A ficha pode não reconhecer outro valor." sqref="C61">
      <formula1>Dados!$AJ$6:$AJ$7</formula1>
    </dataValidation>
    <dataValidation type="list" allowBlank="1" showInputMessage="1" prompt="Fora da lista - Ressonância II: escolha um valor da lista. A ficha pode não reconhecer outro valor." sqref="C68">
      <formula1>Dados!$AR$6</formula1>
    </dataValidation>
    <dataValidation type="list" allowBlank="1" showInputMessage="1" prompt="Fora da lista - Atributo 1: escolha um valor da lista. A ficha pode não reconhecer outro valor." sqref="D57:D62">
      <formula1>Dados!$Q$6:$Q$11</formula1>
    </dataValidation>
    <dataValidation type="list" allowBlank="1" showInputMessage="1" prompt="Fora da lista - Atributo 2: escolha um valor da lista. A ficha pode não reconhecer outro valor." sqref="E57:E62">
      <formula1>Dados!$Q$6:$Q$11</formula1>
    </dataValidation>
    <dataValidation type="list" allowBlank="1" showInputMessage="1" prompt="Fora da lista - Aumento do nível 12: escolha um valor da lista. A ficha pode não reconhecer outro valor." sqref="C60">
      <formula1>Dados!$AJ$6:$AJ$7</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12" width="13.0"/>
    <col customWidth="1" min="13" max="26" width="8.63"/>
  </cols>
  <sheetData>
    <row r="1" ht="24.0" customHeight="1">
      <c r="A1" s="1" t="s">
        <v>505</v>
      </c>
      <c r="B1" s="2"/>
      <c r="C1" s="2"/>
      <c r="D1" s="2"/>
      <c r="E1" s="2"/>
      <c r="F1" s="2"/>
      <c r="G1" s="2"/>
      <c r="H1" s="2"/>
      <c r="I1" s="2"/>
      <c r="J1" s="2"/>
      <c r="K1" s="2"/>
      <c r="L1" s="3"/>
    </row>
    <row r="2" ht="36.75" customHeight="1">
      <c r="A2" s="4" t="s">
        <v>3</v>
      </c>
      <c r="B2" s="6" t="s">
        <v>5</v>
      </c>
      <c r="C2" s="9" t="s">
        <v>13</v>
      </c>
      <c r="D2" s="10" t="s">
        <v>18</v>
      </c>
      <c r="E2" s="13" t="s">
        <v>19</v>
      </c>
      <c r="F2" s="14" t="s">
        <v>21</v>
      </c>
      <c r="G2" s="15" t="s">
        <v>22</v>
      </c>
      <c r="H2" s="16" t="s">
        <v>23</v>
      </c>
      <c r="I2" s="17" t="s">
        <v>24</v>
      </c>
    </row>
    <row r="3">
      <c r="A3" s="18" t="s">
        <v>512</v>
      </c>
    </row>
    <row r="5">
      <c r="A5" s="5" t="s">
        <v>513</v>
      </c>
      <c r="B5" s="2"/>
      <c r="C5" s="2"/>
      <c r="D5" s="2"/>
      <c r="E5" s="2"/>
      <c r="F5" s="2"/>
      <c r="G5" s="2"/>
      <c r="H5" s="2"/>
      <c r="I5" s="2"/>
      <c r="J5" s="2"/>
      <c r="K5" s="2"/>
      <c r="L5" s="3"/>
    </row>
    <row r="6" ht="30.0" customHeight="1">
      <c r="A6" s="19" t="s">
        <v>515</v>
      </c>
    </row>
    <row r="8">
      <c r="A8" s="5" t="s">
        <v>516</v>
      </c>
      <c r="B8" s="2"/>
      <c r="C8" s="2"/>
      <c r="D8" s="2"/>
      <c r="E8" s="2"/>
      <c r="F8" s="2"/>
      <c r="G8" s="2"/>
      <c r="H8" s="2"/>
      <c r="I8" s="2"/>
      <c r="J8" s="2"/>
      <c r="K8" s="2"/>
      <c r="L8" s="3"/>
    </row>
    <row r="9">
      <c r="A9" s="14" t="s">
        <v>517</v>
      </c>
      <c r="B9" s="14" t="s">
        <v>71</v>
      </c>
      <c r="C9" s="14" t="s">
        <v>72</v>
      </c>
    </row>
    <row r="10">
      <c r="A10" s="26" t="s">
        <v>518</v>
      </c>
      <c r="B10" s="41" t="str">
        <f t="array" ref="B10">"+"&amp;INDEX(Dados!$B$258:$B$277,1)</f>
        <v>+2</v>
      </c>
      <c r="C10" s="41" t="str">
        <f t="array" ref="C10">"+"&amp;(2*INDEX(Dados!$B$258:$B$277,1))</f>
        <v>+4</v>
      </c>
      <c r="D10" s="37" t="str">
        <f>"Você agora: nível "&amp;'Criação'!$A$14&amp;", Eficiência +"&amp;'Criação'!$C$14&amp;", Eficácia +"&amp;(2*'Criação'!$C$14)</f>
        <v>Você agora: nível 1, Eficiência +2, Eficácia +4</v>
      </c>
      <c r="E10" s="2"/>
      <c r="F10" s="2"/>
      <c r="G10" s="2"/>
      <c r="H10" s="2"/>
      <c r="I10" s="3"/>
    </row>
    <row r="11">
      <c r="A11" s="40" t="s">
        <v>520</v>
      </c>
      <c r="B11" s="47" t="str">
        <f t="array" ref="B11">"+"&amp;INDEX(Dados!$B$258:$B$277,4)</f>
        <v>+3</v>
      </c>
      <c r="C11" s="47" t="str">
        <f t="array" ref="C11">"+"&amp;(2*INDEX(Dados!$B$258:$B$277,4))</f>
        <v>+6</v>
      </c>
    </row>
    <row r="12">
      <c r="A12" s="26" t="s">
        <v>521</v>
      </c>
      <c r="B12" s="41" t="str">
        <f t="array" ref="B12">"+"&amp;INDEX(Dados!$B$258:$B$277,7)</f>
        <v>+4</v>
      </c>
      <c r="C12" s="41" t="str">
        <f t="array" ref="C12">"+"&amp;(2*INDEX(Dados!$B$258:$B$277,7))</f>
        <v>+8</v>
      </c>
    </row>
    <row r="13">
      <c r="A13" s="40" t="s">
        <v>522</v>
      </c>
      <c r="B13" s="47" t="str">
        <f t="array" ref="B13">"+"&amp;INDEX(Dados!$B$258:$B$277,10)</f>
        <v>+5</v>
      </c>
      <c r="C13" s="47" t="str">
        <f t="array" ref="C13">"+"&amp;(2*INDEX(Dados!$B$258:$B$277,10))</f>
        <v>+10</v>
      </c>
    </row>
    <row r="14">
      <c r="A14" s="26" t="s">
        <v>523</v>
      </c>
      <c r="B14" s="41" t="str">
        <f t="array" ref="B14">"+"&amp;INDEX(Dados!$B$258:$B$277,13)</f>
        <v>+6</v>
      </c>
      <c r="C14" s="41" t="str">
        <f t="array" ref="C14">"+"&amp;(2*INDEX(Dados!$B$258:$B$277,13))</f>
        <v>+12</v>
      </c>
    </row>
    <row r="15">
      <c r="A15" s="40" t="s">
        <v>525</v>
      </c>
      <c r="B15" s="47" t="str">
        <f t="array" ref="B15">"+"&amp;INDEX(Dados!$B$258:$B$277,16)</f>
        <v>+7</v>
      </c>
      <c r="C15" s="47" t="str">
        <f t="array" ref="C15">"+"&amp;(2*INDEX(Dados!$B$258:$B$277,16))</f>
        <v>+14</v>
      </c>
    </row>
    <row r="16">
      <c r="A16" s="26" t="s">
        <v>526</v>
      </c>
      <c r="B16" s="41" t="str">
        <f t="array" ref="B16">"+"&amp;INDEX(Dados!$B$258:$B$277,19)</f>
        <v>+8</v>
      </c>
      <c r="C16" s="41" t="str">
        <f t="array" ref="C16">"+"&amp;(2*INDEX(Dados!$B$258:$B$277,19))</f>
        <v>+16</v>
      </c>
    </row>
    <row r="18">
      <c r="A18" s="5" t="s">
        <v>527</v>
      </c>
      <c r="B18" s="2"/>
      <c r="C18" s="2"/>
      <c r="D18" s="2"/>
      <c r="E18" s="2"/>
      <c r="F18" s="2"/>
      <c r="G18" s="2"/>
      <c r="H18" s="2"/>
      <c r="I18" s="2"/>
      <c r="J18" s="2"/>
      <c r="K18" s="2"/>
      <c r="L18" s="3"/>
    </row>
    <row r="19">
      <c r="A19" s="14" t="s">
        <v>528</v>
      </c>
      <c r="B19" s="14" t="s">
        <v>529</v>
      </c>
      <c r="C19" s="14" t="s">
        <v>530</v>
      </c>
      <c r="D19" s="14" t="s">
        <v>531</v>
      </c>
      <c r="E19" s="14" t="s">
        <v>532</v>
      </c>
      <c r="F19" s="14" t="s">
        <v>533</v>
      </c>
      <c r="G19" s="14" t="s">
        <v>534</v>
      </c>
      <c r="H19" s="14" t="s">
        <v>526</v>
      </c>
    </row>
    <row r="20">
      <c r="A20" s="26" t="s">
        <v>58</v>
      </c>
      <c r="B20" s="27" t="str">
        <f>IF(VLOOKUP(8,Dados!$A$27:$B$39,2,FALSE)&gt;=0,"+","")&amp;VLOOKUP(8,Dados!$A$27:$B$39,2,FALSE)</f>
        <v>-1</v>
      </c>
      <c r="C20" s="27" t="str">
        <f>IF(VLOOKUP(10,Dados!$A$27:$B$39,2,FALSE)&gt;=0,"+","")&amp;VLOOKUP(10,Dados!$A$27:$B$39,2,FALSE)</f>
        <v>+0</v>
      </c>
      <c r="D20" s="27" t="str">
        <f>IF(VLOOKUP(12,Dados!$A$27:$B$39,2,FALSE)&gt;=0,"+","")&amp;VLOOKUP(12,Dados!$A$27:$B$39,2,FALSE)</f>
        <v>+1</v>
      </c>
      <c r="E20" s="27" t="str">
        <f>IF(VLOOKUP(14,Dados!$A$27:$B$39,2,FALSE)&gt;=0,"+","")&amp;VLOOKUP(14,Dados!$A$27:$B$39,2,FALSE)</f>
        <v>+2</v>
      </c>
      <c r="F20" s="27" t="str">
        <f>IF(VLOOKUP(15,Dados!$A$27:$B$39,2,FALSE)&gt;=0,"+","")&amp;VLOOKUP(15,Dados!$A$27:$B$39,2,FALSE)</f>
        <v>+3</v>
      </c>
      <c r="G20" s="27" t="str">
        <f>IF(VLOOKUP(17,Dados!$A$27:$B$39,2,FALSE)&gt;=0,"+","")&amp;VLOOKUP(17,Dados!$A$27:$B$39,2,FALSE)</f>
        <v>+4</v>
      </c>
      <c r="H20" s="27" t="str">
        <f>IF(VLOOKUP(19,Dados!$A$27:$B$39,2,FALSE)&gt;=0,"+","")&amp;VLOOKUP(19,Dados!$A$27:$B$39,2,FALSE)</f>
        <v>+5</v>
      </c>
    </row>
    <row r="21" ht="15.75" customHeight="1"/>
    <row r="22" ht="15.75" customHeight="1">
      <c r="A22" s="5" t="s">
        <v>538</v>
      </c>
      <c r="B22" s="2"/>
      <c r="C22" s="2"/>
      <c r="D22" s="2"/>
      <c r="E22" s="2"/>
      <c r="F22" s="2"/>
      <c r="G22" s="2"/>
      <c r="H22" s="2"/>
      <c r="I22" s="2"/>
      <c r="J22" s="2"/>
      <c r="K22" s="2"/>
      <c r="L22" s="3"/>
    </row>
    <row r="23" ht="30.0" customHeight="1">
      <c r="A23" s="86" t="s">
        <v>42</v>
      </c>
      <c r="B23" s="42" t="s">
        <v>542</v>
      </c>
      <c r="C23" s="42" t="s">
        <v>543</v>
      </c>
      <c r="D23" s="42" t="s">
        <v>544</v>
      </c>
      <c r="E23" s="42" t="s">
        <v>545</v>
      </c>
      <c r="F23" s="42" t="s">
        <v>546</v>
      </c>
    </row>
    <row r="24" ht="15.75" customHeight="1">
      <c r="A24" s="87" t="str">
        <f>IF(LEN(Dados!$A$417)=0,"",Dados!$A$417)</f>
        <v>Trivial</v>
      </c>
      <c r="B24" s="88">
        <f>IF(LEN(Dados!$B$417)=0,"",Dados!$B$417)</f>
        <v>8</v>
      </c>
      <c r="C24" s="88">
        <f>IF(LEN(Dados!$C$417)=0,"",Dados!$C$417)</f>
        <v>9</v>
      </c>
      <c r="D24" s="88">
        <f>IF(LEN(Dados!$D$417)=0,"",Dados!$D$417)</f>
        <v>10</v>
      </c>
      <c r="E24" s="88">
        <f>IF(LEN(Dados!$E$417)=0,"",Dados!$E$417)</f>
        <v>11</v>
      </c>
      <c r="F24" s="88">
        <f>IF(LEN(Dados!$F$417)=0,"",Dados!$F$417)</f>
        <v>12</v>
      </c>
    </row>
    <row r="25" ht="15.75" customHeight="1">
      <c r="A25" s="89" t="str">
        <f>IF(LEN(Dados!$A$418)=0,"",Dados!$A$418)</f>
        <v>Fácil</v>
      </c>
      <c r="B25" s="90">
        <f>IF(LEN(Dados!$B$418)=0,"",Dados!$B$418)</f>
        <v>10</v>
      </c>
      <c r="C25" s="90">
        <f>IF(LEN(Dados!$C$418)=0,"",Dados!$C$418)</f>
        <v>12</v>
      </c>
      <c r="D25" s="90">
        <f>IF(LEN(Dados!$D$418)=0,"",Dados!$D$418)</f>
        <v>14</v>
      </c>
      <c r="E25" s="90">
        <f>IF(LEN(Dados!$E$418)=0,"",Dados!$E$418)</f>
        <v>16</v>
      </c>
      <c r="F25" s="90">
        <f>IF(LEN(Dados!$F$418)=0,"",Dados!$F$418)</f>
        <v>18</v>
      </c>
    </row>
    <row r="26" ht="15.75" customHeight="1">
      <c r="A26" s="87" t="str">
        <f>IF(LEN(Dados!$A$419)=0,"",Dados!$A$419)</f>
        <v>Média</v>
      </c>
      <c r="B26" s="88">
        <f>IF(LEN(Dados!$B$419)=0,"",Dados!$B$419)</f>
        <v>13</v>
      </c>
      <c r="C26" s="88">
        <f>IF(LEN(Dados!$C$419)=0,"",Dados!$C$419)</f>
        <v>16</v>
      </c>
      <c r="D26" s="88">
        <f>IF(LEN(Dados!$D$419)=0,"",Dados!$D$419)</f>
        <v>19</v>
      </c>
      <c r="E26" s="88">
        <f>IF(LEN(Dados!$E$419)=0,"",Dados!$E$419)</f>
        <v>22</v>
      </c>
      <c r="F26" s="88">
        <f>IF(LEN(Dados!$F$419)=0,"",Dados!$F$419)</f>
        <v>25</v>
      </c>
    </row>
    <row r="27" ht="15.75" customHeight="1">
      <c r="A27" s="89" t="str">
        <f>IF(LEN(Dados!$A$420)=0,"",Dados!$A$420)</f>
        <v>Difícil</v>
      </c>
      <c r="B27" s="90">
        <f>IF(LEN(Dados!$B$420)=0,"",Dados!$B$420)</f>
        <v>16</v>
      </c>
      <c r="C27" s="90">
        <f>IF(LEN(Dados!$C$420)=0,"",Dados!$C$420)</f>
        <v>19</v>
      </c>
      <c r="D27" s="90">
        <f>IF(LEN(Dados!$D$420)=0,"",Dados!$D$420)</f>
        <v>23</v>
      </c>
      <c r="E27" s="90">
        <f>IF(LEN(Dados!$E$420)=0,"",Dados!$E$420)</f>
        <v>27</v>
      </c>
      <c r="F27" s="90">
        <f>IF(LEN(Dados!$F$420)=0,"",Dados!$F$420)</f>
        <v>30</v>
      </c>
    </row>
    <row r="28" ht="15.75" customHeight="1">
      <c r="A28" s="87" t="str">
        <f>IF(LEN(Dados!$A$421)=0,"",Dados!$A$421)</f>
        <v>Muito Difícil</v>
      </c>
      <c r="B28" s="88">
        <f>IF(LEN(Dados!$B$421)=0,"",Dados!$B$421)</f>
        <v>19</v>
      </c>
      <c r="C28" s="88">
        <f>IF(LEN(Dados!$C$421)=0,"",Dados!$C$421)</f>
        <v>23</v>
      </c>
      <c r="D28" s="88">
        <f>IF(LEN(Dados!$D$421)=0,"",Dados!$D$421)</f>
        <v>27</v>
      </c>
      <c r="E28" s="88">
        <f>IF(LEN(Dados!$E$421)=0,"",Dados!$E$421)</f>
        <v>31</v>
      </c>
      <c r="F28" s="88">
        <f>IF(LEN(Dados!$F$421)=0,"",Dados!$F$421)</f>
        <v>35</v>
      </c>
    </row>
    <row r="29" ht="15.75" customHeight="1">
      <c r="A29" s="89" t="str">
        <f>IF(LEN(Dados!$A$422)=0,"",Dados!$A$422)</f>
        <v>Heroica</v>
      </c>
      <c r="B29" s="90">
        <f>IF(LEN(Dados!$B$422)=0,"",Dados!$B$422)</f>
        <v>22</v>
      </c>
      <c r="C29" s="90">
        <f>IF(LEN(Dados!$C$422)=0,"",Dados!$C$422)</f>
        <v>26</v>
      </c>
      <c r="D29" s="90">
        <f>IF(LEN(Dados!$D$422)=0,"",Dados!$D$422)</f>
        <v>31</v>
      </c>
      <c r="E29" s="90">
        <f>IF(LEN(Dados!$E$422)=0,"",Dados!$E$422)</f>
        <v>34</v>
      </c>
      <c r="F29" s="90">
        <f>IF(LEN(Dados!$F$422)=0,"",Dados!$F$422)</f>
        <v>38</v>
      </c>
    </row>
    <row r="30" ht="15.75" customHeight="1">
      <c r="A30" s="74" t="str">
        <f>"A sua faixa agora: "&amp;CHOOSE('Criação'!$B$14,"1-4","5-8","9-12","13-16","17-20")&amp;" · Sucesso Automático: bônus total da Perícia ≥ DT, não rola (27.2)"</f>
        <v>A sua faixa agora: 1-4 · Sucesso Automático: bônus total da Perícia ≥ DT, não rola (27.2)</v>
      </c>
      <c r="B30" s="2"/>
      <c r="C30" s="2"/>
      <c r="D30" s="2"/>
      <c r="E30" s="2"/>
      <c r="F30" s="2"/>
      <c r="G30" s="2"/>
      <c r="H30" s="2"/>
      <c r="I30" s="2"/>
      <c r="J30" s="2"/>
      <c r="K30" s="2"/>
      <c r="L30" s="67"/>
    </row>
    <row r="31" ht="15.75" customHeight="1"/>
    <row r="32" ht="15.75" customHeight="1">
      <c r="A32" s="5" t="s">
        <v>557</v>
      </c>
      <c r="B32" s="2"/>
      <c r="C32" s="2"/>
      <c r="D32" s="2"/>
      <c r="E32" s="2"/>
      <c r="F32" s="2"/>
      <c r="G32" s="2"/>
      <c r="H32" s="2"/>
      <c r="I32" s="2"/>
      <c r="J32" s="2"/>
      <c r="K32" s="2"/>
      <c r="L32" s="3"/>
    </row>
    <row r="33" ht="30.0" customHeight="1">
      <c r="A33" s="86" t="s">
        <v>562</v>
      </c>
      <c r="B33" s="24"/>
      <c r="C33" s="24"/>
      <c r="D33" s="24"/>
      <c r="E33" s="86" t="s">
        <v>43</v>
      </c>
      <c r="F33" s="24"/>
      <c r="G33" s="24"/>
      <c r="H33" s="24"/>
      <c r="I33" s="42" t="s">
        <v>563</v>
      </c>
    </row>
    <row r="34" ht="15.75" customHeight="1">
      <c r="A34" s="92" t="str">
        <f>IF(LEN(Dados!$A$426)=0,"",Dados!$A$426)</f>
        <v>Descobrir uma Fraqueza de inimigo</v>
      </c>
      <c r="B34" s="2"/>
      <c r="C34" s="2"/>
      <c r="D34" s="67"/>
      <c r="E34" s="93" t="str">
        <f>IF(LEN(Dados!$B$426)=0,"",Dados!$B$426)</f>
        <v>13 / 14 / 15 / 16 / 17, pela faixa do inimigo</v>
      </c>
      <c r="F34" s="2"/>
      <c r="G34" s="2"/>
      <c r="H34" s="3"/>
      <c r="I34" s="88" t="str">
        <f>IF(LEN(Dados!$C$426)=0,"",Dados!$C$426)</f>
        <v>20</v>
      </c>
    </row>
    <row r="35" ht="15.75" customHeight="1">
      <c r="A35" s="94" t="str">
        <f>IF(LEN(Dados!$A$427)=0,"",Dados!$A$427)</f>
        <v>Surpresa (Teste de Percepção Mental)</v>
      </c>
      <c r="B35" s="2"/>
      <c r="C35" s="2"/>
      <c r="D35" s="67"/>
      <c r="E35" s="95" t="str">
        <f>IF(LEN(Dados!$B$427)=0,"",Dados!$B$427)</f>
        <v>13, fixa em todas as faixas</v>
      </c>
      <c r="F35" s="2"/>
      <c r="G35" s="2"/>
      <c r="H35" s="3"/>
      <c r="I35" s="90" t="str">
        <f>IF(LEN(Dados!$C$427)=0,"",Dados!$C$427)</f>
        <v>19</v>
      </c>
    </row>
    <row r="36" ht="15.75" customHeight="1">
      <c r="A36" s="92" t="str">
        <f>IF(LEN(Dados!$A$428)=0,"",Dados!$A$428)</f>
        <v>Morrendo (Teste de Força de Vontade, sem Eficiência)</v>
      </c>
      <c r="B36" s="2"/>
      <c r="C36" s="2"/>
      <c r="D36" s="67"/>
      <c r="E36" s="93" t="str">
        <f>IF(LEN(Dados!$B$428)=0,"",Dados!$B$428)</f>
        <v>10</v>
      </c>
      <c r="F36" s="2"/>
      <c r="G36" s="2"/>
      <c r="H36" s="3"/>
      <c r="I36" s="88" t="str">
        <f>IF(LEN(Dados!$C$428)=0,"",Dados!$C$428)</f>
        <v>23</v>
      </c>
    </row>
    <row r="37" ht="15.75" customHeight="1">
      <c r="A37" s="94" t="str">
        <f>IF(LEN(Dados!$A$429)=0,"",Dados!$A$429)</f>
        <v>Traço Raposa Astuta do Vulpes</v>
      </c>
      <c r="B37" s="2"/>
      <c r="C37" s="2"/>
      <c r="D37" s="67"/>
      <c r="E37" s="95" t="str">
        <f>IF(LEN(Dados!$B$429)=0,"",Dados!$B$429)</f>
        <v>10</v>
      </c>
      <c r="F37" s="2"/>
      <c r="G37" s="2"/>
      <c r="H37" s="3"/>
      <c r="I37" s="90" t="str">
        <f>IF(LEN(Dados!$C$429)=0,"",Dados!$C$429)</f>
        <v>05</v>
      </c>
    </row>
    <row r="38" ht="15.75" customHeight="1">
      <c r="A38" s="92" t="str">
        <f>IF(LEN(Dados!$A$430)=0,"",Dados!$A$430)</f>
        <v>Traço To na sua mente do Haloviano</v>
      </c>
      <c r="B38" s="2"/>
      <c r="C38" s="2"/>
      <c r="D38" s="67"/>
      <c r="E38" s="93" t="str">
        <f>IF(LEN(Dados!$B$430)=0,"",Dados!$B$430)</f>
        <v>13</v>
      </c>
      <c r="F38" s="2"/>
      <c r="G38" s="2"/>
      <c r="H38" s="3"/>
      <c r="I38" s="88" t="str">
        <f>IF(LEN(Dados!$C$430)=0,"",Dados!$C$430)</f>
        <v>05</v>
      </c>
    </row>
    <row r="39" ht="15.75" customHeight="1"/>
    <row r="40" ht="15.75" customHeight="1">
      <c r="A40" s="5" t="s">
        <v>585</v>
      </c>
      <c r="B40" s="2"/>
      <c r="C40" s="2"/>
      <c r="D40" s="2"/>
      <c r="E40" s="2"/>
      <c r="F40" s="2"/>
      <c r="G40" s="2"/>
      <c r="H40" s="2"/>
      <c r="I40" s="2"/>
      <c r="J40" s="2"/>
      <c r="K40" s="2"/>
      <c r="L40" s="3"/>
    </row>
    <row r="41" ht="30.0" customHeight="1">
      <c r="A41" s="19" t="s">
        <v>586</v>
      </c>
    </row>
    <row r="42" ht="15.75" customHeight="1">
      <c r="A42" s="19" t="s">
        <v>587</v>
      </c>
    </row>
    <row r="43" ht="30.0" customHeight="1">
      <c r="A43" s="19" t="s">
        <v>588</v>
      </c>
    </row>
    <row r="44" ht="15.75" customHeight="1"/>
    <row r="45" ht="15.75" customHeight="1">
      <c r="A45" s="5" t="s">
        <v>589</v>
      </c>
      <c r="B45" s="2"/>
      <c r="C45" s="2"/>
      <c r="D45" s="2"/>
      <c r="E45" s="2"/>
      <c r="F45" s="2"/>
      <c r="G45" s="2"/>
      <c r="H45" s="2"/>
      <c r="I45" s="2"/>
      <c r="J45" s="2"/>
      <c r="K45" s="2"/>
      <c r="L45" s="3"/>
    </row>
    <row r="46" ht="30.0" customHeight="1">
      <c r="A46" s="86" t="s">
        <v>582</v>
      </c>
      <c r="B46" s="42" t="s">
        <v>272</v>
      </c>
      <c r="C46" s="42" t="s">
        <v>591</v>
      </c>
      <c r="D46" s="42" t="s">
        <v>592</v>
      </c>
      <c r="E46" s="42" t="s">
        <v>593</v>
      </c>
      <c r="F46" s="42" t="s">
        <v>594</v>
      </c>
      <c r="G46" s="42" t="s">
        <v>337</v>
      </c>
      <c r="H46" s="86" t="s">
        <v>595</v>
      </c>
      <c r="I46" s="24"/>
    </row>
    <row r="47" ht="15.75" customHeight="1">
      <c r="A47" s="87">
        <f>IF(LEN(Dados!$A$296)=0,"",Dados!$A$296)</f>
        <v>1</v>
      </c>
      <c r="B47" s="88" t="str">
        <f>IF(LEN(Dados!$B$296)=0,"",Dados!$B$296)</f>
        <v>6d6</v>
      </c>
      <c r="C47" s="88">
        <f>IF(LEN(Dados!$E$296)=0,"",Dados!$E$296)</f>
        <v>21</v>
      </c>
      <c r="D47" s="88" t="str">
        <f>IF(LEN(Dados!$F$296)=0,"",Dados!$F$296)</f>
        <v>5d8</v>
      </c>
      <c r="E47" s="88">
        <f>IF(LEN(Dados!$I$296)=0,"",Dados!$I$296)</f>
        <v>22</v>
      </c>
      <c r="F47" s="88">
        <f>IF(LEN(Dados!$J$296)=0,"",Dados!$J$296)</f>
        <v>1</v>
      </c>
      <c r="G47" s="88">
        <f>IF(LEN(Dados!$K$296)=0,"",Dados!$K$296)</f>
        <v>2</v>
      </c>
      <c r="H47" s="93" t="str">
        <f>IF(LEN(Dados!$L$296)=0,"",Dados!$L$296)</f>
        <v>Pessoal, Curta</v>
      </c>
      <c r="I47" s="3"/>
    </row>
    <row r="48" ht="15.75" customHeight="1">
      <c r="A48" s="89">
        <f>IF(LEN(Dados!$A$297)=0,"",Dados!$A$297)</f>
        <v>2</v>
      </c>
      <c r="B48" s="90" t="str">
        <f>IF(LEN(Dados!$B$297)=0,"",Dados!$B$297)</f>
        <v>5d10</v>
      </c>
      <c r="C48" s="90">
        <f>IF(LEN(Dados!$E$297)=0,"",Dados!$E$297)</f>
        <v>27</v>
      </c>
      <c r="D48" s="90" t="str">
        <f>IF(LEN(Dados!$F$297)=0,"",Dados!$F$297)</f>
        <v>6d10</v>
      </c>
      <c r="E48" s="90">
        <f>IF(LEN(Dados!$I$297)=0,"",Dados!$I$297)</f>
        <v>33</v>
      </c>
      <c r="F48" s="90">
        <f>IF(LEN(Dados!$J$297)=0,"",Dados!$J$297)</f>
        <v>1</v>
      </c>
      <c r="G48" s="90">
        <f>IF(LEN(Dados!$K$297)=0,"",Dados!$K$297)</f>
        <v>2</v>
      </c>
      <c r="H48" s="95" t="str">
        <f>IF(LEN(Dados!$L$297)=0,"",Dados!$L$297)</f>
        <v>+ Média</v>
      </c>
      <c r="I48" s="3"/>
    </row>
    <row r="49" ht="15.75" customHeight="1">
      <c r="A49" s="87">
        <f>IF(LEN(Dados!$A$298)=0,"",Dados!$A$298)</f>
        <v>3</v>
      </c>
      <c r="B49" s="88" t="str">
        <f>IF(LEN(Dados!$B$298)=0,"",Dados!$B$298)</f>
        <v>6d12</v>
      </c>
      <c r="C49" s="88">
        <f>IF(LEN(Dados!$E$298)=0,"",Dados!$E$298)</f>
        <v>39</v>
      </c>
      <c r="D49" s="88" t="str">
        <f>IF(LEN(Dados!$F$298)=0,"",Dados!$F$298)</f>
        <v>8d12</v>
      </c>
      <c r="E49" s="88">
        <f>IF(LEN(Dados!$I$298)=0,"",Dados!$I$298)</f>
        <v>52</v>
      </c>
      <c r="F49" s="88">
        <f>IF(LEN(Dados!$J$298)=0,"",Dados!$J$298)</f>
        <v>2</v>
      </c>
      <c r="G49" s="88">
        <f>IF(LEN(Dados!$K$298)=0,"",Dados!$K$298)</f>
        <v>3</v>
      </c>
      <c r="H49" s="93" t="str">
        <f>IF(LEN(Dados!$L$298)=0,"",Dados!$L$298)</f>
        <v>+ Longa</v>
      </c>
      <c r="I49" s="3"/>
    </row>
    <row r="50" ht="15.75" customHeight="1">
      <c r="A50" s="89">
        <f>IF(LEN(Dados!$A$299)=0,"",Dados!$A$299)</f>
        <v>4</v>
      </c>
      <c r="B50" s="90" t="str">
        <f>IF(LEN(Dados!$B$299)=0,"",Dados!$B$299)</f>
        <v>6d20</v>
      </c>
      <c r="C50" s="90">
        <f>IF(LEN(Dados!$E$299)=0,"",Dados!$E$299)</f>
        <v>63</v>
      </c>
      <c r="D50" s="90" t="str">
        <f>IF(LEN(Dados!$F$299)=0,"",Dados!$F$299)</f>
        <v>7d20</v>
      </c>
      <c r="E50" s="90">
        <f>IF(LEN(Dados!$I$299)=0,"",Dados!$I$299)</f>
        <v>73</v>
      </c>
      <c r="F50" s="90">
        <f>IF(LEN(Dados!$J$299)=0,"",Dados!$J$299)</f>
        <v>3</v>
      </c>
      <c r="G50" s="90">
        <f>IF(LEN(Dados!$K$299)=0,"",Dados!$K$299)</f>
        <v>4</v>
      </c>
      <c r="H50" s="95" t="str">
        <f>IF(LEN(Dados!$L$299)=0,"",Dados!$L$299)</f>
        <v>+ Extrema</v>
      </c>
      <c r="I50" s="3"/>
    </row>
    <row r="51" ht="15.75" customHeight="1">
      <c r="A51" s="87">
        <f>IF(LEN(Dados!$A$300)=0,"",Dados!$A$300)</f>
        <v>5</v>
      </c>
      <c r="B51" s="88" t="str">
        <f>IF(LEN(Dados!$B$300)=0,"",Dados!$B$300)</f>
        <v>10d20</v>
      </c>
      <c r="C51" s="88">
        <f>IF(LEN(Dados!$E$300)=0,"",Dados!$E$300)</f>
        <v>105</v>
      </c>
      <c r="D51" s="88" t="str">
        <f>IF(LEN(Dados!$F$300)=0,"",Dados!$F$300)</f>
        <v>10d20</v>
      </c>
      <c r="E51" s="88">
        <f>IF(LEN(Dados!$I$300)=0,"",Dados!$I$300)</f>
        <v>105</v>
      </c>
      <c r="F51" s="88">
        <f>IF(LEN(Dados!$J$300)=0,"",Dados!$J$300)</f>
        <v>4</v>
      </c>
      <c r="G51" s="88">
        <f>IF(LEN(Dados!$K$300)=0,"",Dados!$K$300)</f>
        <v>5</v>
      </c>
      <c r="H51" s="93" t="str">
        <f>IF(LEN(Dados!$L$300)=0,"",Dados!$L$300)</f>
        <v>Extrema</v>
      </c>
      <c r="I51" s="3"/>
    </row>
    <row r="52" ht="15.75" customHeight="1">
      <c r="A52" s="89">
        <f>IF(LEN(Dados!$A$301)=0,"",Dados!$A$301)</f>
        <v>6</v>
      </c>
      <c r="B52" s="90" t="str">
        <f>IF(LEN(Dados!$B$301)=0,"",Dados!$B$301)</f>
        <v>14d20</v>
      </c>
      <c r="C52" s="90">
        <f>IF(LEN(Dados!$E$301)=0,"",Dados!$E$301)</f>
        <v>147</v>
      </c>
      <c r="D52" s="90" t="str">
        <f>IF(LEN(Dados!$F$301)=0,"",Dados!$F$301)</f>
        <v>14d20</v>
      </c>
      <c r="E52" s="90">
        <f>IF(LEN(Dados!$I$301)=0,"",Dados!$I$301)</f>
        <v>147</v>
      </c>
      <c r="F52" s="90">
        <f>IF(LEN(Dados!$J$301)=0,"",Dados!$J$301)</f>
        <v>5</v>
      </c>
      <c r="G52" s="90">
        <f>IF(LEN(Dados!$K$301)=0,"",Dados!$K$301)</f>
        <v>6</v>
      </c>
      <c r="H52" s="95" t="str">
        <f>IF(LEN(Dados!$L$301)=0,"",Dados!$L$301)</f>
        <v>Extrema</v>
      </c>
      <c r="I52" s="3"/>
    </row>
    <row r="53" ht="15.75" customHeight="1">
      <c r="A53" s="87">
        <f>IF(LEN(Dados!$A$302)=0,"",Dados!$A$302)</f>
        <v>7</v>
      </c>
      <c r="B53" s="88" t="str">
        <f>IF(LEN(Dados!$B$302)=0,"",Dados!$B$302)</f>
        <v>18d20</v>
      </c>
      <c r="C53" s="88">
        <f>IF(LEN(Dados!$E$302)=0,"",Dados!$E$302)</f>
        <v>189</v>
      </c>
      <c r="D53" s="88" t="str">
        <f>IF(LEN(Dados!$F$302)=0,"",Dados!$F$302)</f>
        <v>18d20</v>
      </c>
      <c r="E53" s="88">
        <f>IF(LEN(Dados!$I$302)=0,"",Dados!$I$302)</f>
        <v>189</v>
      </c>
      <c r="F53" s="88">
        <f>IF(LEN(Dados!$J$302)=0,"",Dados!$J$302)</f>
        <v>6</v>
      </c>
      <c r="G53" s="88">
        <f>IF(LEN(Dados!$K$302)=0,"",Dados!$K$302)</f>
        <v>7</v>
      </c>
      <c r="H53" s="93" t="str">
        <f>IF(LEN(Dados!$L$302)=0,"",Dados!$L$302)</f>
        <v>Extrema</v>
      </c>
      <c r="I53" s="3"/>
    </row>
    <row r="54" ht="30.0" customHeight="1">
      <c r="A54" s="80" t="s">
        <v>613</v>
      </c>
      <c r="B54" s="2"/>
      <c r="C54" s="2"/>
      <c r="D54" s="2"/>
      <c r="E54" s="2"/>
      <c r="F54" s="2"/>
      <c r="G54" s="2"/>
      <c r="H54" s="2"/>
      <c r="I54" s="2"/>
      <c r="J54" s="2"/>
      <c r="K54" s="2"/>
      <c r="L54" s="67"/>
    </row>
    <row r="55" ht="15.75" customHeight="1"/>
    <row r="56" ht="15.75" customHeight="1">
      <c r="A56" s="5" t="s">
        <v>614</v>
      </c>
      <c r="B56" s="2"/>
      <c r="C56" s="2"/>
      <c r="D56" s="2"/>
      <c r="E56" s="2"/>
      <c r="F56" s="2"/>
      <c r="G56" s="2"/>
      <c r="H56" s="2"/>
      <c r="I56" s="2"/>
      <c r="J56" s="2"/>
      <c r="K56" s="2"/>
      <c r="L56" s="3"/>
    </row>
    <row r="57" ht="30.0" customHeight="1">
      <c r="A57" s="86" t="s">
        <v>615</v>
      </c>
      <c r="B57" s="42" t="s">
        <v>450</v>
      </c>
      <c r="C57" s="42" t="s">
        <v>272</v>
      </c>
      <c r="D57" s="42" t="s">
        <v>591</v>
      </c>
      <c r="E57" s="42" t="s">
        <v>592</v>
      </c>
      <c r="F57" s="42" t="s">
        <v>593</v>
      </c>
      <c r="G57" s="42" t="s">
        <v>337</v>
      </c>
    </row>
    <row r="58" ht="15.75" customHeight="1">
      <c r="A58" s="87" t="str">
        <f>IF(LEN(Dados!$A$326)=0,"",Dados!$A$326)</f>
        <v>1-4</v>
      </c>
      <c r="B58" s="88">
        <f>IF(LEN(Dados!$B$326)=0,"",Dados!$B$326)</f>
        <v>2</v>
      </c>
      <c r="C58" s="88" t="str">
        <f>IF(LEN(Dados!$C$326)=0,"",Dados!$C$326)</f>
        <v>5d10</v>
      </c>
      <c r="D58" s="88">
        <f>IF(LEN(Dados!$F$326)=0,"",Dados!$F$326)</f>
        <v>27</v>
      </c>
      <c r="E58" s="88" t="str">
        <f>IF(LEN(Dados!$G$326)=0,"",Dados!$G$326)</f>
        <v>6d10</v>
      </c>
      <c r="F58" s="88">
        <f>IF(LEN(Dados!$J$326)=0,"",Dados!$J$326)</f>
        <v>33</v>
      </c>
      <c r="G58" s="88">
        <f>IF(LEN(Dados!$K$326)=0,"",Dados!$K$326)</f>
        <v>5</v>
      </c>
    </row>
    <row r="59" ht="15.75" customHeight="1">
      <c r="A59" s="89" t="str">
        <f>IF(LEN(Dados!$A$327)=0,"",Dados!$A$327)</f>
        <v>5-8</v>
      </c>
      <c r="B59" s="90">
        <f>IF(LEN(Dados!$B$327)=0,"",Dados!$B$327)</f>
        <v>3</v>
      </c>
      <c r="C59" s="90" t="str">
        <f>IF(LEN(Dados!$C$327)=0,"",Dados!$C$327)</f>
        <v>6d12</v>
      </c>
      <c r="D59" s="90">
        <f>IF(LEN(Dados!$F$327)=0,"",Dados!$F$327)</f>
        <v>39</v>
      </c>
      <c r="E59" s="90" t="str">
        <f>IF(LEN(Dados!$G$327)=0,"",Dados!$G$327)</f>
        <v>8d12</v>
      </c>
      <c r="F59" s="90">
        <f>IF(LEN(Dados!$J$327)=0,"",Dados!$J$327)</f>
        <v>52</v>
      </c>
      <c r="G59" s="90">
        <f>IF(LEN(Dados!$K$327)=0,"",Dados!$K$327)</f>
        <v>5</v>
      </c>
    </row>
    <row r="60" ht="15.75" customHeight="1">
      <c r="A60" s="87" t="str">
        <f>IF(LEN(Dados!$A$328)=0,"",Dados!$A$328)</f>
        <v>9-12</v>
      </c>
      <c r="B60" s="88">
        <f>IF(LEN(Dados!$B$328)=0,"",Dados!$B$328)</f>
        <v>4</v>
      </c>
      <c r="C60" s="88" t="str">
        <f>IF(LEN(Dados!$C$328)=0,"",Dados!$C$328)</f>
        <v>6d20</v>
      </c>
      <c r="D60" s="88">
        <f>IF(LEN(Dados!$F$328)=0,"",Dados!$F$328)</f>
        <v>63</v>
      </c>
      <c r="E60" s="88" t="str">
        <f>IF(LEN(Dados!$G$328)=0,"",Dados!$G$328)</f>
        <v>7d20</v>
      </c>
      <c r="F60" s="88">
        <f>IF(LEN(Dados!$J$328)=0,"",Dados!$J$328)</f>
        <v>73</v>
      </c>
      <c r="G60" s="88">
        <f>IF(LEN(Dados!$K$328)=0,"",Dados!$K$328)</f>
        <v>5</v>
      </c>
    </row>
    <row r="61" ht="15.75" customHeight="1">
      <c r="A61" s="89" t="str">
        <f>IF(LEN(Dados!$A$329)=0,"",Dados!$A$329)</f>
        <v>13-16</v>
      </c>
      <c r="B61" s="90">
        <f>IF(LEN(Dados!$B$329)=0,"",Dados!$B$329)</f>
        <v>5</v>
      </c>
      <c r="C61" s="90" t="str">
        <f>IF(LEN(Dados!$C$329)=0,"",Dados!$C$329)</f>
        <v>10d20</v>
      </c>
      <c r="D61" s="90">
        <f>IF(LEN(Dados!$F$329)=0,"",Dados!$F$329)</f>
        <v>105</v>
      </c>
      <c r="E61" s="90" t="str">
        <f>IF(LEN(Dados!$G$329)=0,"",Dados!$G$329)</f>
        <v>10d20</v>
      </c>
      <c r="F61" s="90">
        <f>IF(LEN(Dados!$J$329)=0,"",Dados!$J$329)</f>
        <v>105</v>
      </c>
      <c r="G61" s="90">
        <f>IF(LEN(Dados!$K$329)=0,"",Dados!$K$329)</f>
        <v>5</v>
      </c>
    </row>
    <row r="62" ht="15.75" customHeight="1">
      <c r="A62" s="87" t="str">
        <f>IF(LEN(Dados!$A$330)=0,"",Dados!$A$330)</f>
        <v>17-20</v>
      </c>
      <c r="B62" s="88">
        <f>IF(LEN(Dados!$B$330)=0,"",Dados!$B$330)</f>
        <v>6</v>
      </c>
      <c r="C62" s="88" t="str">
        <f>IF(LEN(Dados!$C$330)=0,"",Dados!$C$330)</f>
        <v>14d20</v>
      </c>
      <c r="D62" s="88">
        <f>IF(LEN(Dados!$F$330)=0,"",Dados!$F$330)</f>
        <v>147</v>
      </c>
      <c r="E62" s="88" t="str">
        <f>IF(LEN(Dados!$G$330)=0,"",Dados!$G$330)</f>
        <v>14d20</v>
      </c>
      <c r="F62" s="88">
        <f>IF(LEN(Dados!$J$330)=0,"",Dados!$J$330)</f>
        <v>147</v>
      </c>
      <c r="G62" s="88">
        <f>IF(LEN(Dados!$K$330)=0,"",Dados!$K$330)</f>
        <v>5</v>
      </c>
    </row>
    <row r="63" ht="15.75" customHeight="1"/>
    <row r="64" ht="15.75" customHeight="1">
      <c r="A64" s="5" t="s">
        <v>631</v>
      </c>
      <c r="B64" s="2"/>
      <c r="C64" s="2"/>
      <c r="D64" s="2"/>
      <c r="E64" s="2"/>
      <c r="F64" s="2"/>
      <c r="G64" s="2"/>
      <c r="H64" s="2"/>
      <c r="I64" s="2"/>
      <c r="J64" s="2"/>
      <c r="K64" s="2"/>
      <c r="L64" s="3"/>
    </row>
    <row r="65" ht="30.0" customHeight="1">
      <c r="A65" s="86" t="s">
        <v>632</v>
      </c>
      <c r="B65" s="24"/>
      <c r="C65" s="24"/>
      <c r="D65" s="86" t="s">
        <v>110</v>
      </c>
      <c r="E65" s="24"/>
      <c r="F65" s="24"/>
      <c r="G65" s="24"/>
      <c r="H65" s="24"/>
      <c r="I65" s="86" t="s">
        <v>633</v>
      </c>
      <c r="J65" s="24"/>
      <c r="K65" s="24"/>
    </row>
    <row r="66" ht="30.0" customHeight="1">
      <c r="A66" s="92" t="str">
        <f>IF(LEN(Dados!$A$351)=0,"",Dados!$A$351)</f>
        <v>Ataque Básico (acerte ou não)</v>
      </c>
      <c r="B66" s="2"/>
      <c r="C66" s="67"/>
      <c r="D66" s="93" t="str">
        <f>IF(LEN(Dados!$B$351)=0,"",Dados!$B$351)</f>
        <v>+20</v>
      </c>
      <c r="E66" s="2"/>
      <c r="F66" s="2"/>
      <c r="G66" s="2"/>
      <c r="H66" s="3"/>
      <c r="I66" s="93" t="str">
        <f>IF(LEN(Dados!$C$351)=0,"",Dados!$C$351)</f>
        <v>nenhum, salvo o 1 natural</v>
      </c>
      <c r="J66" s="2"/>
      <c r="K66" s="3"/>
    </row>
    <row r="67" ht="30.0" customHeight="1">
      <c r="A67" s="94" t="str">
        <f>IF(LEN(Dados!$A$352)=0,"",Dados!$A$352)</f>
        <v>Habilidade (acerte ou não)</v>
      </c>
      <c r="B67" s="2"/>
      <c r="C67" s="67"/>
      <c r="D67" s="95" t="str">
        <f>IF(LEN(Dados!$B$352)=0,"",Dados!$B$352)</f>
        <v>+30</v>
      </c>
      <c r="E67" s="2"/>
      <c r="F67" s="2"/>
      <c r="G67" s="2"/>
      <c r="H67" s="3"/>
      <c r="I67" s="95" t="str">
        <f>IF(LEN(Dados!$C$352)=0,"",Dados!$C$352)</f>
        <v>nenhum, salvo o 1 natural</v>
      </c>
      <c r="J67" s="2"/>
      <c r="K67" s="3"/>
    </row>
    <row r="68" ht="30.0" customHeight="1">
      <c r="A68" s="92" t="str">
        <f>IF(LEN(Dados!$A$353)=0,"",Dados!$A$353)</f>
        <v>Sofrer dano</v>
      </c>
      <c r="B68" s="2"/>
      <c r="C68" s="67"/>
      <c r="D68" s="93" t="str">
        <f>IF(LEN(Dados!$B$353)=0,"",Dados!$B$353)</f>
        <v>+10</v>
      </c>
      <c r="E68" s="2"/>
      <c r="F68" s="2"/>
      <c r="G68" s="2"/>
      <c r="H68" s="3"/>
      <c r="I68" s="93" t="str">
        <f>IF(LEN(Dados!$C$353)=0,"",Dados!$C$353)</f>
        <v>1 vez por Ciclo</v>
      </c>
      <c r="J68" s="2"/>
      <c r="K68" s="3"/>
    </row>
    <row r="69" ht="30.0" customHeight="1">
      <c r="A69" s="94" t="str">
        <f>IF(LEN(Dados!$A$354)=0,"",Dados!$A$354)</f>
        <v>Derrotar um inimigo</v>
      </c>
      <c r="B69" s="2"/>
      <c r="C69" s="67"/>
      <c r="D69" s="95" t="str">
        <f>IF(LEN(Dados!$B$354)=0,"",Dados!$B$354)</f>
        <v>+10</v>
      </c>
      <c r="E69" s="2"/>
      <c r="F69" s="2"/>
      <c r="G69" s="2"/>
      <c r="H69" s="3"/>
      <c r="I69" s="95" t="str">
        <f>IF(LEN(Dados!$C$354)=0,"",Dados!$C$354)</f>
        <v>para quem desferiu o golpe</v>
      </c>
      <c r="J69" s="2"/>
      <c r="K69" s="3"/>
    </row>
    <row r="70" ht="30.0" customHeight="1">
      <c r="A70" s="92" t="str">
        <f>IF(LEN(Dados!$A$355)=0,"",Dados!$A$355)</f>
        <v>Quebrar a Tenacidade de um inimigo</v>
      </c>
      <c r="B70" s="2"/>
      <c r="C70" s="67"/>
      <c r="D70" s="93" t="str">
        <f>IF(LEN(Dados!$B$355)=0,"",Dados!$B$355)</f>
        <v>+10</v>
      </c>
      <c r="E70" s="2"/>
      <c r="F70" s="2"/>
      <c r="G70" s="2"/>
      <c r="H70" s="3"/>
      <c r="I70" s="93" t="str">
        <f>IF(LEN(Dados!$C$355)=0,"",Dados!$C$355)</f>
        <v>1 vez por Ciclo</v>
      </c>
      <c r="J70" s="2"/>
      <c r="K70" s="3"/>
    </row>
    <row r="71" ht="30.0" customHeight="1">
      <c r="A71" s="94" t="str">
        <f>IF(LEN(Dados!$A$356)=0,"",Dados!$A$356)</f>
        <v>Ativar a Ultimate</v>
      </c>
      <c r="B71" s="2"/>
      <c r="C71" s="67"/>
      <c r="D71" s="95" t="str">
        <f>IF(LEN(Dados!$B$356)=0,"",Dados!$B$356)</f>
        <v>-100</v>
      </c>
      <c r="E71" s="2"/>
      <c r="F71" s="2"/>
      <c r="G71" s="2"/>
      <c r="H71" s="3"/>
      <c r="I71" s="95" t="str">
        <f>IF(LEN(Dados!$C$356)=0,"",Dados!$C$356)</f>
        <v>—</v>
      </c>
      <c r="J71" s="2"/>
      <c r="K71" s="3"/>
    </row>
    <row r="72" ht="30.0" customHeight="1">
      <c r="A72" s="92" t="str">
        <f>IF(LEN(Dados!$A$357)=0,"",Dados!$A$357)</f>
        <v>Ação do Memoespírito</v>
      </c>
      <c r="B72" s="2"/>
      <c r="C72" s="67"/>
      <c r="D72" s="93" t="str">
        <f>IF(LEN(Dados!$B$357)=0,"",Dados!$B$357)</f>
        <v>metade do valor da ação, arredondando para baixo, para o dono</v>
      </c>
      <c r="E72" s="2"/>
      <c r="F72" s="2"/>
      <c r="G72" s="2"/>
      <c r="H72" s="3"/>
      <c r="I72" s="93" t="str">
        <f>IF(LEN(Dados!$C$357)=0,"",Dados!$C$357)</f>
        <v>—</v>
      </c>
      <c r="J72" s="2"/>
      <c r="K72" s="3"/>
    </row>
    <row r="73" ht="30.0" customHeight="1">
      <c r="A73" s="94" t="str">
        <f>IF(LEN(Dados!$A$358)=0,"",Dados!$A$358)</f>
        <v>Equipamento</v>
      </c>
      <c r="B73" s="2"/>
      <c r="C73" s="67"/>
      <c r="D73" s="95" t="str">
        <f>IF(LEN(Dados!$B$358)=0,"",Dados!$B$358)</f>
        <v>Corda de Ligação: +10 a +25 pelo tier, ao entrar na Fila · Cone de Luz de Nível 3 ou maior: +5 pelo Efeito Condicional</v>
      </c>
      <c r="E73" s="2"/>
      <c r="F73" s="2"/>
      <c r="G73" s="2"/>
      <c r="H73" s="3"/>
      <c r="I73" s="95" t="str">
        <f>IF(LEN(Dados!$C$358)=0,"",Dados!$C$358)</f>
        <v>1 vez por combate · 1 vez por Ciclo</v>
      </c>
      <c r="J73" s="2"/>
      <c r="K73" s="3"/>
    </row>
    <row r="74" ht="15.75" customHeight="1"/>
    <row r="75" ht="15.75" customHeight="1">
      <c r="A75" s="5" t="s">
        <v>634</v>
      </c>
      <c r="B75" s="2"/>
      <c r="C75" s="2"/>
      <c r="D75" s="2"/>
      <c r="E75" s="2"/>
      <c r="F75" s="2"/>
      <c r="G75" s="2"/>
      <c r="H75" s="2"/>
      <c r="I75" s="2"/>
      <c r="J75" s="2"/>
      <c r="K75" s="2"/>
      <c r="L75" s="3"/>
    </row>
    <row r="76" ht="30.0" customHeight="1">
      <c r="A76" s="86" t="s">
        <v>635</v>
      </c>
      <c r="B76" s="24"/>
      <c r="C76" s="24"/>
      <c r="D76" s="86" t="s">
        <v>272</v>
      </c>
      <c r="E76" s="24"/>
      <c r="F76" s="24"/>
      <c r="G76" s="24"/>
      <c r="H76" s="86" t="s">
        <v>337</v>
      </c>
      <c r="I76" s="24"/>
      <c r="J76" s="24"/>
      <c r="K76" s="24"/>
    </row>
    <row r="77" ht="15.75" customHeight="1">
      <c r="A77" s="92" t="str">
        <f>IF(LEN(Dados!$A$384)=0,"",Dados!$A$384)</f>
        <v>É Fraqueza do alvo</v>
      </c>
      <c r="B77" s="2"/>
      <c r="C77" s="67"/>
      <c r="D77" s="93" t="str">
        <f>IF(LEN(Dados!$B$384)=0,"",Dados!$B$384)</f>
        <v>+2 dados do mesmo tipo do ataque</v>
      </c>
      <c r="E77" s="2"/>
      <c r="F77" s="2"/>
      <c r="G77" s="3"/>
      <c r="H77" s="93" t="str">
        <f>IF(LEN(Dados!$C$384)=0,"",Dados!$C$384)</f>
        <v>total</v>
      </c>
      <c r="I77" s="2"/>
      <c r="J77" s="2"/>
      <c r="K77" s="3"/>
    </row>
    <row r="78" ht="15.75" customHeight="1">
      <c r="A78" s="94" t="str">
        <f>IF(LEN(Dados!$A$385)=0,"",Dados!$A$385)</f>
        <v>Neutro (nem Fraqueza, nem Resistência)</v>
      </c>
      <c r="B78" s="2"/>
      <c r="C78" s="67"/>
      <c r="D78" s="95" t="str">
        <f>IF(LEN(Dados!$B$385)=0,"",Dados!$B$385)</f>
        <v>dano normal</v>
      </c>
      <c r="E78" s="2"/>
      <c r="F78" s="2"/>
      <c r="G78" s="3"/>
      <c r="H78" s="95" t="str">
        <f>IF(LEN(Dados!$C$385)=0,"",Dados!$C$385)</f>
        <v>metade (arredonda para baixo, mínimo 1)</v>
      </c>
      <c r="I78" s="2"/>
      <c r="J78" s="2"/>
      <c r="K78" s="3"/>
    </row>
    <row r="79" ht="15.75" customHeight="1">
      <c r="A79" s="92" t="str">
        <f>IF(LEN(Dados!$A$386)=0,"",Dados!$A$386)</f>
        <v>O alvo tem Resistência</v>
      </c>
      <c r="B79" s="2"/>
      <c r="C79" s="67"/>
      <c r="D79" s="93" t="str">
        <f>IF(LEN(Dados!$B$386)=0,"",Dados!$B$386)</f>
        <v>-2 dados, conservando sempre no mínimo 1 dado</v>
      </c>
      <c r="E79" s="2"/>
      <c r="F79" s="2"/>
      <c r="G79" s="3"/>
      <c r="H79" s="93" t="str">
        <f>IF(LEN(Dados!$C$386)=0,"",Dados!$C$386)</f>
        <v>1 ponto, fixo</v>
      </c>
      <c r="I79" s="2"/>
      <c r="J79" s="2"/>
      <c r="K79" s="3"/>
    </row>
    <row r="80" ht="15.75" customHeight="1"/>
    <row r="81" ht="15.75" customHeight="1">
      <c r="A81" s="5" t="s">
        <v>698</v>
      </c>
      <c r="B81" s="2"/>
      <c r="C81" s="2"/>
      <c r="D81" s="2"/>
      <c r="E81" s="2"/>
      <c r="F81" s="2"/>
      <c r="G81" s="2"/>
      <c r="H81" s="2"/>
      <c r="I81" s="2"/>
      <c r="J81" s="2"/>
      <c r="K81" s="2"/>
      <c r="L81" s="3"/>
    </row>
    <row r="82" ht="30.0" customHeight="1">
      <c r="A82" s="86" t="s">
        <v>106</v>
      </c>
      <c r="B82" s="24"/>
      <c r="C82" s="86" t="s">
        <v>712</v>
      </c>
      <c r="D82" s="24"/>
      <c r="E82" s="24"/>
      <c r="F82" s="86" t="s">
        <v>249</v>
      </c>
      <c r="G82" s="24"/>
      <c r="H82" s="24"/>
    </row>
    <row r="83" ht="15.75" customHeight="1">
      <c r="A83" s="92" t="str">
        <f>IF(LEN(Dados!$A$374)=0,"",Dados!$A$374)</f>
        <v>Físico</v>
      </c>
      <c r="B83" s="67"/>
      <c r="C83" s="93" t="str">
        <f>IF(LEN(Dados!$D$374)=0,"",Dados!$D$374)</f>
        <v>2d6 + (2 × Eficiência)</v>
      </c>
      <c r="D83" s="2"/>
      <c r="E83" s="3"/>
      <c r="F83" s="93" t="str">
        <f>IF(LEN(Dados!$H$374)=0,"",Dados!$H$374)</f>
        <v>Sangramento</v>
      </c>
      <c r="G83" s="2"/>
      <c r="H83" s="3"/>
    </row>
    <row r="84" ht="15.75" customHeight="1">
      <c r="A84" s="94" t="str">
        <f>IF(LEN(Dados!$A$375)=0,"",Dados!$A$375)</f>
        <v>Fogo</v>
      </c>
      <c r="B84" s="67"/>
      <c r="C84" s="95" t="str">
        <f>IF(LEN(Dados!$D$375)=0,"",Dados!$D$375)</f>
        <v>2d6 + (2 × Eficiência)</v>
      </c>
      <c r="D84" s="2"/>
      <c r="E84" s="3"/>
      <c r="F84" s="95" t="str">
        <f>IF(LEN(Dados!$H$375)=0,"",Dados!$H$375)</f>
        <v>Queimadura</v>
      </c>
      <c r="G84" s="2"/>
      <c r="H84" s="3"/>
    </row>
    <row r="85" ht="15.75" customHeight="1">
      <c r="A85" s="92" t="str">
        <f>IF(LEN(Dados!$A$376)=0,"",Dados!$A$376)</f>
        <v>Gelo</v>
      </c>
      <c r="B85" s="67"/>
      <c r="C85" s="93" t="str">
        <f>IF(LEN(Dados!$D$376)=0,"",Dados!$D$376)</f>
        <v>Eficiência</v>
      </c>
      <c r="D85" s="2"/>
      <c r="E85" s="3"/>
      <c r="F85" s="93" t="str">
        <f>IF(LEN(Dados!$H$376)=0,"",Dados!$H$376)</f>
        <v>Congelamento</v>
      </c>
      <c r="G85" s="2"/>
      <c r="H85" s="3"/>
    </row>
    <row r="86" ht="15.75" customHeight="1">
      <c r="A86" s="94" t="str">
        <f>IF(LEN(Dados!$A$377)=0,"",Dados!$A$377)</f>
        <v>Raio</v>
      </c>
      <c r="B86" s="67"/>
      <c r="C86" s="95" t="str">
        <f>IF(LEN(Dados!$D$377)=0,"",Dados!$D$377)</f>
        <v>1d6 + Eficiência</v>
      </c>
      <c r="D86" s="2"/>
      <c r="E86" s="3"/>
      <c r="F86" s="95" t="str">
        <f>IF(LEN(Dados!$H$377)=0,"",Dados!$H$377)</f>
        <v>Choque</v>
      </c>
      <c r="G86" s="2"/>
      <c r="H86" s="3"/>
    </row>
    <row r="87" ht="15.75" customHeight="1">
      <c r="A87" s="92" t="str">
        <f>IF(LEN(Dados!$A$378)=0,"",Dados!$A$378)</f>
        <v>Vento</v>
      </c>
      <c r="B87" s="67"/>
      <c r="C87" s="93" t="str">
        <f>IF(LEN(Dados!$D$378)=0,"",Dados!$D$378)</f>
        <v>1d6 + Eficiência</v>
      </c>
      <c r="D87" s="2"/>
      <c r="E87" s="3"/>
      <c r="F87" s="93" t="str">
        <f>IF(LEN(Dados!$H$378)=0,"",Dados!$H$378)</f>
        <v>Cisalhamento de Vento</v>
      </c>
      <c r="G87" s="2"/>
      <c r="H87" s="3"/>
    </row>
    <row r="88" ht="15.75" customHeight="1">
      <c r="A88" s="94" t="str">
        <f>IF(LEN(Dados!$A$379)=0,"",Dados!$A$379)</f>
        <v>Quântico</v>
      </c>
      <c r="B88" s="67"/>
      <c r="C88" s="95" t="str">
        <f>IF(LEN(Dados!$D$379)=0,"",Dados!$D$379)</f>
        <v>Eficiência</v>
      </c>
      <c r="D88" s="2"/>
      <c r="E88" s="3"/>
      <c r="F88" s="95" t="str">
        <f>IF(LEN(Dados!$H$379)=0,"",Dados!$H$379)</f>
        <v>Embaraço</v>
      </c>
      <c r="G88" s="2"/>
      <c r="H88" s="3"/>
    </row>
    <row r="89" ht="15.75" customHeight="1">
      <c r="A89" s="92" t="str">
        <f>IF(LEN(Dados!$A$380)=0,"",Dados!$A$380)</f>
        <v>Imaginário</v>
      </c>
      <c r="B89" s="67"/>
      <c r="C89" s="93" t="str">
        <f>IF(LEN(Dados!$D$380)=0,"",Dados!$D$380)</f>
        <v>Eficiência</v>
      </c>
      <c r="D89" s="2"/>
      <c r="E89" s="3"/>
      <c r="F89" s="93" t="str">
        <f>IF(LEN(Dados!$H$380)=0,"",Dados!$H$380)</f>
        <v>Aprisionamento</v>
      </c>
      <c r="G89" s="2"/>
      <c r="H89" s="3"/>
    </row>
    <row r="90" ht="15.75" customHeight="1"/>
    <row r="91" ht="15.75" customHeight="1">
      <c r="A91" s="5" t="s">
        <v>795</v>
      </c>
      <c r="B91" s="2"/>
      <c r="C91" s="2"/>
      <c r="D91" s="2"/>
      <c r="E91" s="2"/>
      <c r="F91" s="2"/>
      <c r="G91" s="2"/>
      <c r="H91" s="2"/>
      <c r="I91" s="2"/>
      <c r="J91" s="2"/>
      <c r="K91" s="2"/>
      <c r="L91" s="3"/>
    </row>
    <row r="92" ht="45.0" customHeight="1">
      <c r="A92" s="19" t="s">
        <v>797</v>
      </c>
    </row>
    <row r="93" ht="15.75" customHeight="1">
      <c r="A93" s="7" t="str">
        <f>"Os seus tetos agora: bônus +"&amp;'Criação'!$J$14&amp;" · penalidade "&amp;'Criação'!$K$14&amp;" · RD "&amp;'Criação'!$H$14&amp;" · PV temporários "&amp;'Criação'!$I$14</f>
        <v>Os seus tetos agora: bônus +3 · penalidade -3 · RD 6 · PV temporários 6</v>
      </c>
      <c r="B93" s="2"/>
      <c r="C93" s="2"/>
      <c r="D93" s="2"/>
      <c r="E93" s="2"/>
      <c r="F93" s="2"/>
      <c r="G93" s="2"/>
      <c r="H93" s="2"/>
      <c r="I93" s="2"/>
      <c r="J93" s="2"/>
      <c r="K93" s="2"/>
      <c r="L93" s="3"/>
    </row>
    <row r="94" ht="15.75" customHeight="1"/>
    <row r="95" ht="15.75" customHeight="1">
      <c r="A95" s="5" t="s">
        <v>801</v>
      </c>
      <c r="B95" s="2"/>
      <c r="C95" s="2"/>
      <c r="D95" s="2"/>
      <c r="E95" s="2"/>
      <c r="F95" s="2"/>
      <c r="G95" s="2"/>
      <c r="H95" s="2"/>
      <c r="I95" s="2"/>
      <c r="J95" s="2"/>
      <c r="K95" s="2"/>
      <c r="L95" s="3"/>
    </row>
    <row r="96" ht="30.0" customHeight="1">
      <c r="A96" s="86" t="s">
        <v>804</v>
      </c>
      <c r="B96" s="24"/>
      <c r="C96" s="86" t="s">
        <v>560</v>
      </c>
      <c r="D96" s="24"/>
      <c r="E96" s="24"/>
      <c r="F96" s="24"/>
      <c r="G96" s="24"/>
      <c r="H96" s="86" t="s">
        <v>806</v>
      </c>
      <c r="I96" s="24"/>
      <c r="J96" s="86" t="s">
        <v>808</v>
      </c>
      <c r="K96" s="24"/>
      <c r="L96" s="42" t="s">
        <v>809</v>
      </c>
    </row>
    <row r="97" ht="30.0" customHeight="1">
      <c r="A97" s="92" t="str">
        <f>IF(LEN(Dados!$A$398)=0,"",Dados!$A$398)</f>
        <v>Sangramento</v>
      </c>
      <c r="B97" s="67"/>
      <c r="C97" s="93" t="str">
        <f>IF(LEN(Dados!$B$398)=0,"",Dados!$B$398)</f>
        <v>Dano Contínuo = 5% dos PV máximos, teto 3 × Eficiência</v>
      </c>
      <c r="D97" s="2"/>
      <c r="E97" s="2"/>
      <c r="F97" s="2"/>
      <c r="G97" s="3"/>
      <c r="H97" s="93" t="str">
        <f>IF(LEN(Dados!$C$398)=0,"",Dados!$C$398)</f>
        <v>2 turnos</v>
      </c>
      <c r="I97" s="3"/>
      <c r="J97" s="93" t="str">
        <f>IF(LEN(Dados!$D$398)=0,"",Dados!$D$398)</f>
        <v>até 5</v>
      </c>
      <c r="K97" s="3"/>
      <c r="L97" s="88" t="str">
        <f>IF(LEN(Dados!$E$398)=0,"",Dados!$E$398)</f>
        <v>Não</v>
      </c>
    </row>
    <row r="98" ht="30.0" customHeight="1">
      <c r="A98" s="94" t="str">
        <f>IF(LEN(Dados!$A$399)=0,"",Dados!$A$399)</f>
        <v>Queimadura</v>
      </c>
      <c r="B98" s="67"/>
      <c r="C98" s="95" t="str">
        <f>IF(LEN(Dados!$B$399)=0,"",Dados!$B$399)</f>
        <v>Dano Contínuo 2d6 + Eficiência (Fogo)</v>
      </c>
      <c r="D98" s="2"/>
      <c r="E98" s="2"/>
      <c r="F98" s="2"/>
      <c r="G98" s="3"/>
      <c r="H98" s="95" t="str">
        <f>IF(LEN(Dados!$C$399)=0,"",Dados!$C$399)</f>
        <v>2 turnos</v>
      </c>
      <c r="I98" s="3"/>
      <c r="J98" s="95" t="str">
        <f>IF(LEN(Dados!$D$399)=0,"",Dados!$D$399)</f>
        <v>até 5</v>
      </c>
      <c r="K98" s="3"/>
      <c r="L98" s="90" t="str">
        <f>IF(LEN(Dados!$E$399)=0,"",Dados!$E$399)</f>
        <v>Não</v>
      </c>
    </row>
    <row r="99" ht="30.0" customHeight="1">
      <c r="A99" s="92" t="str">
        <f>IF(LEN(Dados!$A$400)=0,"",Dados!$A$400)</f>
        <v>Choque</v>
      </c>
      <c r="B99" s="67"/>
      <c r="C99" s="93" t="str">
        <f>IF(LEN(Dados!$B$400)=0,"",Dados!$B$400)</f>
        <v>Dano Contínuo 1d6 + Eficiência (Raio)</v>
      </c>
      <c r="D99" s="2"/>
      <c r="E99" s="2"/>
      <c r="F99" s="2"/>
      <c r="G99" s="3"/>
      <c r="H99" s="93" t="str">
        <f>IF(LEN(Dados!$C$400)=0,"",Dados!$C$400)</f>
        <v>2 turnos</v>
      </c>
      <c r="I99" s="3"/>
      <c r="J99" s="93" t="str">
        <f>IF(LEN(Dados!$D$400)=0,"",Dados!$D$400)</f>
        <v>até 5</v>
      </c>
      <c r="K99" s="3"/>
      <c r="L99" s="88" t="str">
        <f>IF(LEN(Dados!$E$400)=0,"",Dados!$E$400)</f>
        <v>Não</v>
      </c>
    </row>
    <row r="100" ht="30.0" customHeight="1">
      <c r="A100" s="94" t="str">
        <f>IF(LEN(Dados!$A$401)=0,"",Dados!$A$401)</f>
        <v>Cisalhamento de Vento</v>
      </c>
      <c r="B100" s="67"/>
      <c r="C100" s="95" t="str">
        <f>IF(LEN(Dados!$B$401)=0,"",Dados!$B$401)</f>
        <v>Dano Contínuo 1d6 por acúmulo (Vento)</v>
      </c>
      <c r="D100" s="2"/>
      <c r="E100" s="2"/>
      <c r="F100" s="2"/>
      <c r="G100" s="3"/>
      <c r="H100" s="95" t="str">
        <f>IF(LEN(Dados!$C$401)=0,"",Dados!$C$401)</f>
        <v>2 turnos</v>
      </c>
      <c r="I100" s="3"/>
      <c r="J100" s="95" t="str">
        <f>IF(LEN(Dados!$D$401)=0,"",Dados!$D$401)</f>
        <v>5</v>
      </c>
      <c r="K100" s="3"/>
      <c r="L100" s="90" t="str">
        <f>IF(LEN(Dados!$E$401)=0,"",Dados!$E$401)</f>
        <v>Não</v>
      </c>
    </row>
    <row r="101" ht="30.0" customHeight="1">
      <c r="A101" s="92" t="str">
        <f>IF(LEN(Dados!$A$402)=0,"",Dados!$A$402)</f>
        <v>Embaraço</v>
      </c>
      <c r="B101" s="67"/>
      <c r="C101" s="93" t="str">
        <f>IF(LEN(Dados!$B$402)=0,"",Dados!$B$402)</f>
        <v>1d6 por acúmulo (só por ataques) e Atrasa 1 casa</v>
      </c>
      <c r="D101" s="2"/>
      <c r="E101" s="2"/>
      <c r="F101" s="2"/>
      <c r="G101" s="3"/>
      <c r="H101" s="93" t="str">
        <f>IF(LEN(Dados!$C$402)=0,"",Dados!$C$402)</f>
        <v>1 turno</v>
      </c>
      <c r="I101" s="3"/>
      <c r="J101" s="93" t="str">
        <f>IF(LEN(Dados!$D$402)=0,"",Dados!$D$402)</f>
        <v>5</v>
      </c>
      <c r="K101" s="3"/>
      <c r="L101" s="88" t="str">
        <f>IF(LEN(Dados!$E$402)=0,"",Dados!$E$402)</f>
        <v>Não</v>
      </c>
    </row>
    <row r="102" ht="30.0" customHeight="1">
      <c r="A102" s="94" t="str">
        <f>IF(LEN(Dados!$A$403)=0,"",Dados!$A$403)</f>
        <v>Aprisionamento</v>
      </c>
      <c r="B102" s="67"/>
      <c r="C102" s="95" t="str">
        <f>IF(LEN(Dados!$B$403)=0,"",Dados!$B$403)</f>
        <v>1d6 + Eficiência e Atrasa 2 casas</v>
      </c>
      <c r="D102" s="2"/>
      <c r="E102" s="2"/>
      <c r="F102" s="2"/>
      <c r="G102" s="3"/>
      <c r="H102" s="95" t="str">
        <f>IF(LEN(Dados!$C$403)=0,"",Dados!$C$403)</f>
        <v>1 turno</v>
      </c>
      <c r="I102" s="3"/>
      <c r="J102" s="95" t="str">
        <f>IF(LEN(Dados!$D$403)=0,"",Dados!$D$403)</f>
        <v>até 5</v>
      </c>
      <c r="K102" s="3"/>
      <c r="L102" s="90" t="str">
        <f>IF(LEN(Dados!$E$403)=0,"",Dados!$E$403)</f>
        <v>Não</v>
      </c>
    </row>
    <row r="103" ht="30.0" customHeight="1">
      <c r="A103" s="92" t="str">
        <f>IF(LEN(Dados!$A$404)=0,"",Dados!$A$404)</f>
        <v>Congelado</v>
      </c>
      <c r="B103" s="67"/>
      <c r="C103" s="93" t="str">
        <f>IF(LEN(Dados!$B$404)=0,"",Dados!$B$404)</f>
        <v>Só inimigos. Comum perde o turno; Elite e Boss são Atrasados 2 casas e perdem a ação especial</v>
      </c>
      <c r="D103" s="2"/>
      <c r="E103" s="2"/>
      <c r="F103" s="2"/>
      <c r="G103" s="3"/>
      <c r="H103" s="93" t="str">
        <f>IF(LEN(Dados!$C$404)=0,"",Dados!$C$404)</f>
        <v>1 turno</v>
      </c>
      <c r="I103" s="3"/>
      <c r="J103" s="93" t="str">
        <f>IF(LEN(Dados!$D$404)=0,"",Dados!$D$404)</f>
        <v>não repete em Ciclos seguidos pela mesma fonte</v>
      </c>
      <c r="K103" s="3"/>
      <c r="L103" s="88" t="str">
        <f>IF(LEN(Dados!$E$404)=0,"",Dados!$E$404)</f>
        <v>Sim</v>
      </c>
    </row>
    <row r="104" ht="30.0" customHeight="1">
      <c r="A104" s="94" t="str">
        <f>IF(LEN(Dados!$A$405)=0,"",Dados!$A$405)</f>
        <v>Lentidão</v>
      </c>
      <c r="B104" s="67"/>
      <c r="C104" s="95" t="str">
        <f>IF(LEN(Dados!$B$405)=0,"",Dados!$B$405)</f>
        <v>Ação de Movimento não muda a Distância; só sai do lugar com Esforço Total</v>
      </c>
      <c r="D104" s="2"/>
      <c r="E104" s="2"/>
      <c r="F104" s="2"/>
      <c r="G104" s="3"/>
      <c r="H104" s="95" t="str">
        <f>IF(LEN(Dados!$C$405)=0,"",Dados!$C$405)</f>
        <v>fonte</v>
      </c>
      <c r="I104" s="3"/>
      <c r="J104" s="95" t="str">
        <f>IF(LEN(Dados!$D$405)=0,"",Dados!$D$405)</f>
        <v>não acumula</v>
      </c>
      <c r="K104" s="3"/>
      <c r="L104" s="90" t="str">
        <f>IF(LEN(Dados!$E$405)=0,"",Dados!$E$405)</f>
        <v>Não</v>
      </c>
    </row>
    <row r="105" ht="30.0" customHeight="1">
      <c r="A105" s="92" t="str">
        <f>IF(LEN(Dados!$A$406)=0,"",Dados!$A$406)</f>
        <v>Marcado</v>
      </c>
      <c r="B105" s="67"/>
      <c r="C105" s="93" t="str">
        <f>IF(LEN(Dados!$B$406)=0,"",Dados!$B$406)</f>
        <v>+1 em Testes de Ataque de quem marcou</v>
      </c>
      <c r="D105" s="2"/>
      <c r="E105" s="2"/>
      <c r="F105" s="2"/>
      <c r="G105" s="3"/>
      <c r="H105" s="93" t="str">
        <f>IF(LEN(Dados!$C$406)=0,"",Dados!$C$406)</f>
        <v>fonte</v>
      </c>
      <c r="I105" s="3"/>
      <c r="J105" s="93" t="str">
        <f>IF(LEN(Dados!$D$406)=0,"",Dados!$D$406)</f>
        <v>3, sem somar entre fontes</v>
      </c>
      <c r="K105" s="3"/>
      <c r="L105" s="88" t="str">
        <f>IF(LEN(Dados!$E$406)=0,"",Dados!$E$406)</f>
        <v>Não</v>
      </c>
    </row>
    <row r="106" ht="30.0" customHeight="1">
      <c r="A106" s="94" t="str">
        <f>IF(LEN(Dados!$A$407)=0,"",Dados!$A$407)</f>
        <v>Silenciado</v>
      </c>
      <c r="B106" s="67"/>
      <c r="C106" s="95" t="str">
        <f>IF(LEN(Dados!$B$407)=0,"",Dados!$B$407)</f>
        <v>não pode usar Habilidade de Nível 4 ou maior</v>
      </c>
      <c r="D106" s="2"/>
      <c r="E106" s="2"/>
      <c r="F106" s="2"/>
      <c r="G106" s="3"/>
      <c r="H106" s="95" t="str">
        <f>IF(LEN(Dados!$C$407)=0,"",Dados!$C$407)</f>
        <v>1 turno</v>
      </c>
      <c r="I106" s="3"/>
      <c r="J106" s="95" t="str">
        <f>IF(LEN(Dados!$D$407)=0,"",Dados!$D$407)</f>
        <v>—</v>
      </c>
      <c r="K106" s="3"/>
      <c r="L106" s="90" t="str">
        <f>IF(LEN(Dados!$E$407)=0,"",Dados!$E$407)</f>
        <v>Não</v>
      </c>
    </row>
    <row r="107" ht="30.0" customHeight="1">
      <c r="A107" s="86" t="s">
        <v>804</v>
      </c>
      <c r="B107" s="24"/>
      <c r="C107" s="86" t="s">
        <v>560</v>
      </c>
      <c r="D107" s="24"/>
      <c r="E107" s="24"/>
      <c r="F107" s="24"/>
      <c r="G107" s="24"/>
      <c r="H107" s="86" t="s">
        <v>806</v>
      </c>
      <c r="I107" s="24"/>
      <c r="J107" s="86" t="s">
        <v>808</v>
      </c>
      <c r="K107" s="24"/>
      <c r="L107" s="42" t="s">
        <v>809</v>
      </c>
    </row>
    <row r="108" ht="30.0" customHeight="1">
      <c r="A108" s="92" t="str">
        <f>IF(LEN(Dados!$A$408)=0,"",Dados!$A$408)</f>
        <v>Vulnerável</v>
      </c>
      <c r="B108" s="67"/>
      <c r="C108" s="93" t="str">
        <f>IF(LEN(Dados!$B$408)=0,"",Dados!$B$408)</f>
        <v>+1 dado de dano da fonte indicada</v>
      </c>
      <c r="D108" s="2"/>
      <c r="E108" s="2"/>
      <c r="F108" s="2"/>
      <c r="G108" s="3"/>
      <c r="H108" s="93" t="str">
        <f>IF(LEN(Dados!$C$408)=0,"",Dados!$C$408)</f>
        <v>fonte</v>
      </c>
      <c r="I108" s="3"/>
      <c r="J108" s="93" t="str">
        <f>IF(LEN(Dados!$D$408)=0,"",Dados!$D$408)</f>
        <v>até 5</v>
      </c>
      <c r="K108" s="3"/>
      <c r="L108" s="88" t="str">
        <f>IF(LEN(Dados!$E$408)=0,"",Dados!$E$408)</f>
        <v>Não</v>
      </c>
    </row>
    <row r="109" ht="30.0" customHeight="1">
      <c r="A109" s="94" t="str">
        <f>IF(LEN(Dados!$A$409)=0,"",Dados!$A$409)</f>
        <v>Controlado</v>
      </c>
      <c r="B109" s="67"/>
      <c r="C109" s="95" t="str">
        <f>IF(LEN(Dados!$B$409)=0,"",Dados!$B$409)</f>
        <v>quem aplicou decide as ações do alvo, sem Habilidade, Ultimate nem recursos</v>
      </c>
      <c r="D109" s="2"/>
      <c r="E109" s="2"/>
      <c r="F109" s="2"/>
      <c r="G109" s="3"/>
      <c r="H109" s="95" t="str">
        <f>IF(LEN(Dados!$C$409)=0,"",Dados!$C$409)</f>
        <v>fonte</v>
      </c>
      <c r="I109" s="3"/>
      <c r="J109" s="95" t="str">
        <f>IF(LEN(Dados!$D$409)=0,"",Dados!$D$409)</f>
        <v>não acumula</v>
      </c>
      <c r="K109" s="3"/>
      <c r="L109" s="90" t="str">
        <f>IF(LEN(Dados!$E$409)=0,"",Dados!$E$409)</f>
        <v>Não</v>
      </c>
    </row>
    <row r="110" ht="30.0" customHeight="1">
      <c r="A110" s="92" t="str">
        <f>IF(LEN(Dados!$A$410)=0,"",Dados!$A$410)</f>
        <v>Corrupção</v>
      </c>
      <c r="B110" s="67"/>
      <c r="C110" s="93" t="str">
        <f>IF(LEN(Dados!$B$410)=0,"",Dados!$B$410)</f>
        <v>+1 no dano de cada Dano Contínuo seu no alvo</v>
      </c>
      <c r="D110" s="2"/>
      <c r="E110" s="2"/>
      <c r="F110" s="2"/>
      <c r="G110" s="3"/>
      <c r="H110" s="93" t="str">
        <f>IF(LEN(Dados!$C$410)=0,"",Dados!$C$410)</f>
        <v>fim do combate</v>
      </c>
      <c r="I110" s="3"/>
      <c r="J110" s="93" t="str">
        <f>IF(LEN(Dados!$D$410)=0,"",Dados!$D$410)</f>
        <v>5</v>
      </c>
      <c r="K110" s="3"/>
      <c r="L110" s="88" t="str">
        <f>IF(LEN(Dados!$E$410)=0,"",Dados!$E$410)</f>
        <v>Não</v>
      </c>
    </row>
    <row r="111" ht="30.0" customHeight="1">
      <c r="A111" s="94" t="str">
        <f>IF(LEN(Dados!$A$411)=0,"",Dados!$A$411)</f>
        <v>Quebrado</v>
      </c>
      <c r="B111" s="67"/>
      <c r="C111" s="95" t="str">
        <f>IF(LEN(Dados!$B$411)=0,"",Dados!$B$411)</f>
        <v>-2 de Defesa e +1 dado de dano de qualquer fonte</v>
      </c>
      <c r="D111" s="2"/>
      <c r="E111" s="2"/>
      <c r="F111" s="2"/>
      <c r="G111" s="3"/>
      <c r="H111" s="95" t="str">
        <f>IF(LEN(Dados!$C$411)=0,"",Dados!$C$411)</f>
        <v>até o fim do próximo turno dele</v>
      </c>
      <c r="I111" s="3"/>
      <c r="J111" s="95" t="str">
        <f>IF(LEN(Dados!$D$411)=0,"",Dados!$D$411)</f>
        <v>—</v>
      </c>
      <c r="K111" s="3"/>
      <c r="L111" s="90" t="str">
        <f>IF(LEN(Dados!$E$411)=0,"",Dados!$E$411)</f>
        <v>Sim</v>
      </c>
    </row>
    <row r="112" ht="30.0" customHeight="1">
      <c r="A112" s="92" t="str">
        <f>IF(LEN(Dados!$A$412)=0,"",Dados!$A$412)</f>
        <v>Surpreso</v>
      </c>
      <c r="B112" s="67"/>
      <c r="C112" s="93" t="str">
        <f>IF(LEN(Dados!$B$412)=0,"",Dados!$B$412)</f>
        <v>casa pulada no primeiro Ciclo</v>
      </c>
      <c r="D112" s="2"/>
      <c r="E112" s="2"/>
      <c r="F112" s="2"/>
      <c r="G112" s="3"/>
      <c r="H112" s="93" t="str">
        <f>IF(LEN(Dados!$C$412)=0,"",Dados!$C$412)</f>
        <v>1 Ciclo</v>
      </c>
      <c r="I112" s="3"/>
      <c r="J112" s="93" t="str">
        <f>IF(LEN(Dados!$D$412)=0,"",Dados!$D$412)</f>
        <v>—</v>
      </c>
      <c r="K112" s="3"/>
      <c r="L112" s="88" t="str">
        <f>IF(LEN(Dados!$E$412)=0,"",Dados!$E$412)</f>
        <v>Não</v>
      </c>
    </row>
    <row r="113" ht="30.0" customHeight="1">
      <c r="A113" s="94" t="str">
        <f>IF(LEN(Dados!$A$413)=0,"",Dados!$A$413)</f>
        <v>Morrendo</v>
      </c>
      <c r="B113" s="67"/>
      <c r="C113" s="95" t="str">
        <f>IF(LEN(Dados!$B$413)=0,"",Dados!$B$413)</f>
        <v>0 PV, inconsciente, mantém a casa, Teste de Força de Vontade DT 10 no turno</v>
      </c>
      <c r="D113" s="2"/>
      <c r="E113" s="2"/>
      <c r="F113" s="2"/>
      <c r="G113" s="3"/>
      <c r="H113" s="95" t="str">
        <f>IF(LEN(Dados!$C$413)=0,"",Dados!$C$413)</f>
        <v>até estabilizar ou morrer</v>
      </c>
      <c r="I113" s="3"/>
      <c r="J113" s="95" t="str">
        <f>IF(LEN(Dados!$D$413)=0,"",Dados!$D$413)</f>
        <v>—</v>
      </c>
      <c r="K113" s="3"/>
      <c r="L113" s="90" t="str">
        <f>IF(LEN(Dados!$E$413)=0,"",Dados!$E$413)</f>
        <v>Não</v>
      </c>
    </row>
    <row r="114" ht="15.75" customHeight="1"/>
    <row r="115" ht="15.75" customHeight="1">
      <c r="A115" s="5" t="s">
        <v>1104</v>
      </c>
      <c r="B115" s="2"/>
      <c r="C115" s="2"/>
      <c r="D115" s="2"/>
      <c r="E115" s="2"/>
      <c r="F115" s="2"/>
      <c r="G115" s="2"/>
      <c r="H115" s="2"/>
      <c r="I115" s="2"/>
      <c r="J115" s="2"/>
      <c r="K115" s="2"/>
      <c r="L115" s="3"/>
    </row>
    <row r="116" ht="45.0" customHeight="1">
      <c r="A116" s="19" t="s">
        <v>1107</v>
      </c>
    </row>
    <row r="117" ht="30.0" customHeight="1">
      <c r="A117" s="7" t="str">
        <f>"Descanso Curto: 1 hora, até 2 por dia, (2 × nível) + Bônus de Vigor = "&amp;'Em Jogo'!$J$11&amp;" PV para você. Descanso Longo: 8 horas, 1 por dia, todos os PV, remove todas as condições e devolve o Esforço. A Energia não zera; o PH volta no começo de cada combate."</f>
        <v>#ERROR!</v>
      </c>
      <c r="B117" s="2"/>
      <c r="C117" s="2"/>
      <c r="D117" s="2"/>
      <c r="E117" s="2"/>
      <c r="F117" s="2"/>
      <c r="G117" s="2"/>
      <c r="H117" s="2"/>
      <c r="I117" s="2"/>
      <c r="J117" s="2"/>
      <c r="K117" s="2"/>
      <c r="L117" s="3"/>
    </row>
    <row r="118" ht="30.0" customHeight="1">
      <c r="A118" s="19" t="s">
        <v>1111</v>
      </c>
    </row>
    <row r="119" ht="15.75" customHeight="1">
      <c r="A119" s="19" t="s">
        <v>1112</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4">
    <mergeCell ref="A1:L1"/>
    <mergeCell ref="A3:L3"/>
    <mergeCell ref="A5:L5"/>
    <mergeCell ref="A6:L6"/>
    <mergeCell ref="A8:L8"/>
    <mergeCell ref="D10:I10"/>
    <mergeCell ref="A18:L18"/>
    <mergeCell ref="A22:L22"/>
    <mergeCell ref="A30:L30"/>
    <mergeCell ref="A32:L32"/>
    <mergeCell ref="A33:D33"/>
    <mergeCell ref="E33:H33"/>
    <mergeCell ref="A34:D34"/>
    <mergeCell ref="E34:H34"/>
    <mergeCell ref="A35:D35"/>
    <mergeCell ref="E35:H35"/>
    <mergeCell ref="A36:D36"/>
    <mergeCell ref="E36:H36"/>
    <mergeCell ref="A37:D37"/>
    <mergeCell ref="E37:H37"/>
    <mergeCell ref="A38:D38"/>
    <mergeCell ref="E38:H38"/>
    <mergeCell ref="A40:L40"/>
    <mergeCell ref="A41:L41"/>
    <mergeCell ref="A42:L42"/>
    <mergeCell ref="A43:L43"/>
    <mergeCell ref="A45:L45"/>
    <mergeCell ref="H46:I46"/>
    <mergeCell ref="H47:I47"/>
    <mergeCell ref="H48:I48"/>
    <mergeCell ref="H49:I49"/>
    <mergeCell ref="H50:I50"/>
    <mergeCell ref="H51:I51"/>
    <mergeCell ref="H52:I52"/>
    <mergeCell ref="H53:I53"/>
    <mergeCell ref="D66:H66"/>
    <mergeCell ref="I66:K66"/>
    <mergeCell ref="A54:L54"/>
    <mergeCell ref="A56:L56"/>
    <mergeCell ref="A64:L64"/>
    <mergeCell ref="A65:C65"/>
    <mergeCell ref="D65:H65"/>
    <mergeCell ref="I65:K65"/>
    <mergeCell ref="A66:C66"/>
    <mergeCell ref="D79:G79"/>
    <mergeCell ref="H79:K79"/>
    <mergeCell ref="A77:C77"/>
    <mergeCell ref="D77:G77"/>
    <mergeCell ref="H77:K77"/>
    <mergeCell ref="A78:C78"/>
    <mergeCell ref="D78:G78"/>
    <mergeCell ref="H78:K78"/>
    <mergeCell ref="A81:L81"/>
    <mergeCell ref="D69:H69"/>
    <mergeCell ref="I69:K69"/>
    <mergeCell ref="A67:C67"/>
    <mergeCell ref="D67:H67"/>
    <mergeCell ref="I67:K67"/>
    <mergeCell ref="A68:C68"/>
    <mergeCell ref="D68:H68"/>
    <mergeCell ref="I68:K68"/>
    <mergeCell ref="A69:C69"/>
    <mergeCell ref="D72:H72"/>
    <mergeCell ref="I72:K72"/>
    <mergeCell ref="A70:C70"/>
    <mergeCell ref="D70:H70"/>
    <mergeCell ref="I70:K70"/>
    <mergeCell ref="A71:C71"/>
    <mergeCell ref="D71:H71"/>
    <mergeCell ref="I71:K71"/>
    <mergeCell ref="A72:C72"/>
    <mergeCell ref="A73:C73"/>
    <mergeCell ref="D73:H73"/>
    <mergeCell ref="I73:K73"/>
    <mergeCell ref="A75:L75"/>
    <mergeCell ref="A76:C76"/>
    <mergeCell ref="D76:G76"/>
    <mergeCell ref="H76:K76"/>
    <mergeCell ref="F82:H82"/>
    <mergeCell ref="F83:H83"/>
    <mergeCell ref="F84:H84"/>
    <mergeCell ref="A79:C79"/>
    <mergeCell ref="A82:B82"/>
    <mergeCell ref="C82:E82"/>
    <mergeCell ref="A83:B83"/>
    <mergeCell ref="C83:E83"/>
    <mergeCell ref="A84:B84"/>
    <mergeCell ref="C84:E84"/>
    <mergeCell ref="A98:B98"/>
    <mergeCell ref="A99:B99"/>
    <mergeCell ref="C99:G99"/>
    <mergeCell ref="H99:I99"/>
    <mergeCell ref="J99:K99"/>
    <mergeCell ref="A100:B100"/>
    <mergeCell ref="C100:G100"/>
    <mergeCell ref="A101:B101"/>
    <mergeCell ref="C101:G101"/>
    <mergeCell ref="H101:I101"/>
    <mergeCell ref="J101:K101"/>
    <mergeCell ref="C102:G102"/>
    <mergeCell ref="H102:I102"/>
    <mergeCell ref="J102:K102"/>
    <mergeCell ref="H104:I104"/>
    <mergeCell ref="J104:K104"/>
    <mergeCell ref="A102:B102"/>
    <mergeCell ref="A103:B103"/>
    <mergeCell ref="C103:G103"/>
    <mergeCell ref="H103:I103"/>
    <mergeCell ref="J103:K103"/>
    <mergeCell ref="A104:B104"/>
    <mergeCell ref="C104:G104"/>
    <mergeCell ref="A105:B105"/>
    <mergeCell ref="C105:G105"/>
    <mergeCell ref="H105:I105"/>
    <mergeCell ref="J105:K105"/>
    <mergeCell ref="C106:G106"/>
    <mergeCell ref="H106:I106"/>
    <mergeCell ref="J106:K106"/>
    <mergeCell ref="A106:B106"/>
    <mergeCell ref="A107:B107"/>
    <mergeCell ref="C107:G107"/>
    <mergeCell ref="H107:I107"/>
    <mergeCell ref="J107:K107"/>
    <mergeCell ref="A108:B108"/>
    <mergeCell ref="C108:G108"/>
    <mergeCell ref="A109:B109"/>
    <mergeCell ref="C109:G109"/>
    <mergeCell ref="H109:I109"/>
    <mergeCell ref="J109:K109"/>
    <mergeCell ref="C110:G110"/>
    <mergeCell ref="H110:I110"/>
    <mergeCell ref="J110:K110"/>
    <mergeCell ref="H112:I112"/>
    <mergeCell ref="J112:K112"/>
    <mergeCell ref="A110:B110"/>
    <mergeCell ref="A111:B111"/>
    <mergeCell ref="C111:G111"/>
    <mergeCell ref="H111:I111"/>
    <mergeCell ref="J111:K111"/>
    <mergeCell ref="A112:B112"/>
    <mergeCell ref="C112:G112"/>
    <mergeCell ref="A118:L118"/>
    <mergeCell ref="A119:L119"/>
    <mergeCell ref="A113:B113"/>
    <mergeCell ref="C113:G113"/>
    <mergeCell ref="H113:I113"/>
    <mergeCell ref="J113:K113"/>
    <mergeCell ref="A115:L115"/>
    <mergeCell ref="A116:L116"/>
    <mergeCell ref="A117:L117"/>
    <mergeCell ref="C87:E87"/>
    <mergeCell ref="F87:H87"/>
    <mergeCell ref="A85:B85"/>
    <mergeCell ref="C85:E85"/>
    <mergeCell ref="F85:H85"/>
    <mergeCell ref="A86:B86"/>
    <mergeCell ref="C86:E86"/>
    <mergeCell ref="F86:H86"/>
    <mergeCell ref="A87:B87"/>
    <mergeCell ref="A88:B88"/>
    <mergeCell ref="C88:E88"/>
    <mergeCell ref="F88:H88"/>
    <mergeCell ref="A89:B89"/>
    <mergeCell ref="C89:E89"/>
    <mergeCell ref="F89:H89"/>
    <mergeCell ref="A91:L91"/>
    <mergeCell ref="A92:L92"/>
    <mergeCell ref="A93:L93"/>
    <mergeCell ref="A95:L95"/>
    <mergeCell ref="A96:B96"/>
    <mergeCell ref="C96:G96"/>
    <mergeCell ref="H96:I96"/>
    <mergeCell ref="J96:K96"/>
    <mergeCell ref="A97:B97"/>
    <mergeCell ref="C97:G97"/>
    <mergeCell ref="H97:I97"/>
    <mergeCell ref="J97:K97"/>
    <mergeCell ref="C98:G98"/>
    <mergeCell ref="H98:I98"/>
    <mergeCell ref="J98:K98"/>
    <mergeCell ref="H100:I100"/>
    <mergeCell ref="J100:K100"/>
    <mergeCell ref="H108:I108"/>
    <mergeCell ref="J108:K108"/>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3" width="20.0"/>
    <col customWidth="1" min="4" max="5" width="18.0"/>
    <col customWidth="1" min="6" max="6" width="40.0"/>
    <col customWidth="1" min="7" max="7" width="80.0"/>
    <col customWidth="1" min="8" max="9" width="16.0"/>
    <col customWidth="1" min="10" max="10" width="14.0"/>
    <col customWidth="1" min="11" max="11" width="15.25"/>
    <col customWidth="1" min="12" max="12" width="18.0"/>
    <col customWidth="1" min="13" max="14" width="3.0"/>
    <col customWidth="1" min="15" max="46" width="24.0"/>
  </cols>
  <sheetData>
    <row r="1" ht="24.0" customHeight="1">
      <c r="A1" s="1" t="s">
        <v>636</v>
      </c>
      <c r="B1" s="2"/>
      <c r="C1" s="2"/>
      <c r="D1" s="2"/>
      <c r="E1" s="2"/>
      <c r="F1" s="2"/>
      <c r="G1" s="2"/>
      <c r="H1" s="2"/>
      <c r="I1" s="2"/>
      <c r="J1" s="2"/>
      <c r="K1" s="2"/>
      <c r="L1" s="3"/>
    </row>
    <row r="2" ht="25.5" customHeight="1">
      <c r="A2" s="4" t="s">
        <v>3</v>
      </c>
      <c r="B2" s="6" t="s">
        <v>5</v>
      </c>
      <c r="C2" s="9" t="s">
        <v>13</v>
      </c>
      <c r="D2" s="10" t="s">
        <v>18</v>
      </c>
      <c r="E2" s="13" t="s">
        <v>19</v>
      </c>
      <c r="F2" s="14" t="s">
        <v>21</v>
      </c>
      <c r="G2" s="15" t="s">
        <v>22</v>
      </c>
      <c r="H2" s="16" t="s">
        <v>23</v>
      </c>
      <c r="I2" s="17" t="s">
        <v>24</v>
      </c>
    </row>
    <row r="3">
      <c r="A3" s="18" t="s">
        <v>637</v>
      </c>
    </row>
    <row r="4">
      <c r="O4" s="5" t="s">
        <v>638</v>
      </c>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3"/>
    </row>
    <row r="5" ht="36.75" customHeight="1">
      <c r="A5" s="5" t="s">
        <v>639</v>
      </c>
      <c r="B5" s="2"/>
      <c r="C5" s="2"/>
      <c r="D5" s="2"/>
      <c r="E5" s="2"/>
      <c r="F5" s="2"/>
      <c r="G5" s="3"/>
      <c r="O5" s="14" t="s">
        <v>640</v>
      </c>
      <c r="P5" s="14" t="s">
        <v>641</v>
      </c>
      <c r="Q5" s="14" t="s">
        <v>642</v>
      </c>
      <c r="R5" s="14" t="s">
        <v>643</v>
      </c>
      <c r="S5" s="14" t="s">
        <v>644</v>
      </c>
      <c r="T5" s="14" t="s">
        <v>645</v>
      </c>
      <c r="U5" s="14" t="s">
        <v>646</v>
      </c>
      <c r="V5" s="14" t="s">
        <v>647</v>
      </c>
      <c r="W5" s="14" t="s">
        <v>648</v>
      </c>
      <c r="X5" s="14" t="s">
        <v>649</v>
      </c>
      <c r="Y5" s="14" t="s">
        <v>650</v>
      </c>
      <c r="Z5" s="14" t="s">
        <v>651</v>
      </c>
      <c r="AA5" s="14" t="s">
        <v>652</v>
      </c>
      <c r="AB5" s="14" t="s">
        <v>653</v>
      </c>
      <c r="AC5" s="14" t="s">
        <v>654</v>
      </c>
      <c r="AD5" s="14" t="s">
        <v>655</v>
      </c>
      <c r="AE5" s="14" t="s">
        <v>656</v>
      </c>
      <c r="AF5" s="14" t="s">
        <v>657</v>
      </c>
      <c r="AG5" s="14" t="s">
        <v>658</v>
      </c>
      <c r="AH5" s="14" t="s">
        <v>659</v>
      </c>
      <c r="AI5" s="14" t="s">
        <v>660</v>
      </c>
      <c r="AJ5" s="14" t="s">
        <v>661</v>
      </c>
      <c r="AK5" s="14" t="s">
        <v>662</v>
      </c>
      <c r="AL5" s="14" t="s">
        <v>663</v>
      </c>
      <c r="AM5" s="14" t="s">
        <v>664</v>
      </c>
      <c r="AN5" s="14" t="s">
        <v>665</v>
      </c>
      <c r="AO5" s="14" t="s">
        <v>666</v>
      </c>
      <c r="AP5" s="14" t="s">
        <v>667</v>
      </c>
      <c r="AQ5" s="14" t="s">
        <v>668</v>
      </c>
      <c r="AR5" s="14" t="s">
        <v>669</v>
      </c>
      <c r="AS5" s="14" t="s">
        <v>670</v>
      </c>
      <c r="AT5" s="14" t="s">
        <v>671</v>
      </c>
    </row>
    <row r="6" ht="36.75" customHeight="1">
      <c r="A6" s="14" t="s">
        <v>112</v>
      </c>
      <c r="B6" s="14" t="s">
        <v>672</v>
      </c>
      <c r="C6" s="14" t="s">
        <v>673</v>
      </c>
      <c r="D6" s="14" t="s">
        <v>674</v>
      </c>
      <c r="E6" s="14" t="s">
        <v>675</v>
      </c>
      <c r="F6" s="14" t="s">
        <v>130</v>
      </c>
      <c r="G6" s="14" t="s">
        <v>676</v>
      </c>
      <c r="O6" s="41" t="s">
        <v>113</v>
      </c>
      <c r="P6" s="41" t="s">
        <v>677</v>
      </c>
      <c r="Q6" s="41" t="s">
        <v>121</v>
      </c>
      <c r="R6" s="41" t="s">
        <v>678</v>
      </c>
      <c r="S6" s="41" t="s">
        <v>679</v>
      </c>
      <c r="T6" s="41" t="s">
        <v>679</v>
      </c>
      <c r="U6" s="41" t="s">
        <v>121</v>
      </c>
      <c r="V6" s="41" t="s">
        <v>680</v>
      </c>
      <c r="W6" s="41" t="s">
        <v>272</v>
      </c>
      <c r="X6" s="41" t="s">
        <v>681</v>
      </c>
      <c r="Y6" s="41" t="s">
        <v>682</v>
      </c>
      <c r="Z6" s="41" t="s">
        <v>50</v>
      </c>
      <c r="AA6" s="41" t="s">
        <v>293</v>
      </c>
      <c r="AB6" s="41" t="s">
        <v>514</v>
      </c>
      <c r="AC6" s="41" t="s">
        <v>683</v>
      </c>
      <c r="AD6" s="41" t="s">
        <v>684</v>
      </c>
      <c r="AE6" s="41" t="s">
        <v>685</v>
      </c>
      <c r="AF6" s="41" t="s">
        <v>686</v>
      </c>
      <c r="AG6" s="41" t="s">
        <v>687</v>
      </c>
      <c r="AH6" s="41" t="s">
        <v>688</v>
      </c>
      <c r="AI6" s="41" t="s">
        <v>689</v>
      </c>
      <c r="AJ6" s="41" t="s">
        <v>689</v>
      </c>
      <c r="AK6" s="41" t="s">
        <v>430</v>
      </c>
      <c r="AL6" s="41" t="s">
        <v>204</v>
      </c>
      <c r="AM6" s="41" t="s">
        <v>309</v>
      </c>
      <c r="AN6" s="41" t="s">
        <v>690</v>
      </c>
      <c r="AO6" s="41" t="s">
        <v>576</v>
      </c>
      <c r="AP6" s="9" t="s">
        <v>691</v>
      </c>
      <c r="AQ6" s="9" t="s">
        <v>692</v>
      </c>
      <c r="AR6" s="41" t="s">
        <v>693</v>
      </c>
      <c r="AS6" s="9" t="s">
        <v>694</v>
      </c>
      <c r="AT6" s="9" t="s">
        <v>695</v>
      </c>
    </row>
    <row r="7" ht="115.5" customHeight="1">
      <c r="A7" s="31" t="s">
        <v>113</v>
      </c>
      <c r="B7" s="9" t="s">
        <v>696</v>
      </c>
      <c r="C7" s="41" t="s">
        <v>687</v>
      </c>
      <c r="D7" s="41"/>
      <c r="E7" s="41"/>
      <c r="F7" s="9" t="s">
        <v>697</v>
      </c>
      <c r="G7" s="9" t="s">
        <v>699</v>
      </c>
      <c r="O7" s="41" t="s">
        <v>700</v>
      </c>
      <c r="P7" s="41" t="s">
        <v>701</v>
      </c>
      <c r="Q7" s="41" t="s">
        <v>126</v>
      </c>
      <c r="R7" s="41" t="s">
        <v>702</v>
      </c>
      <c r="S7" s="41" t="s">
        <v>273</v>
      </c>
      <c r="T7" s="41" t="s">
        <v>273</v>
      </c>
      <c r="U7" s="41" t="s">
        <v>126</v>
      </c>
      <c r="V7" s="41" t="s">
        <v>703</v>
      </c>
      <c r="W7" s="41" t="s">
        <v>592</v>
      </c>
      <c r="X7" s="41" t="s">
        <v>704</v>
      </c>
      <c r="Y7" s="41" t="s">
        <v>705</v>
      </c>
      <c r="Z7" s="41" t="s">
        <v>100</v>
      </c>
      <c r="AA7" s="41" t="s">
        <v>294</v>
      </c>
      <c r="AB7" s="41" t="s">
        <v>524</v>
      </c>
      <c r="AC7" s="41" t="s">
        <v>706</v>
      </c>
      <c r="AD7" s="41" t="s">
        <v>707</v>
      </c>
      <c r="AE7" s="41" t="s">
        <v>708</v>
      </c>
      <c r="AF7" s="41" t="s">
        <v>709</v>
      </c>
      <c r="AG7" s="41" t="s">
        <v>710</v>
      </c>
      <c r="AH7" s="41" t="s">
        <v>53</v>
      </c>
      <c r="AI7" s="41" t="s">
        <v>711</v>
      </c>
      <c r="AJ7" s="41" t="s">
        <v>711</v>
      </c>
      <c r="AK7" s="41" t="s">
        <v>290</v>
      </c>
      <c r="AL7" s="41" t="s">
        <v>196</v>
      </c>
      <c r="AM7" s="41" t="s">
        <v>299</v>
      </c>
      <c r="AN7" s="41" t="s">
        <v>123</v>
      </c>
      <c r="AO7" s="41" t="s">
        <v>598</v>
      </c>
      <c r="AP7" s="41" t="s">
        <v>713</v>
      </c>
      <c r="AQ7" s="41" t="s">
        <v>713</v>
      </c>
      <c r="AT7" s="9" t="s">
        <v>714</v>
      </c>
    </row>
    <row r="8" ht="70.5" customHeight="1">
      <c r="A8" s="36" t="s">
        <v>700</v>
      </c>
      <c r="B8" s="16" t="s">
        <v>715</v>
      </c>
      <c r="C8" s="47" t="s">
        <v>710</v>
      </c>
      <c r="D8" s="47" t="s">
        <v>192</v>
      </c>
      <c r="E8" s="47" t="s">
        <v>196</v>
      </c>
      <c r="F8" s="16" t="s">
        <v>716</v>
      </c>
      <c r="G8" s="16" t="s">
        <v>717</v>
      </c>
      <c r="O8" s="41" t="s">
        <v>718</v>
      </c>
      <c r="P8" s="41" t="s">
        <v>719</v>
      </c>
      <c r="Q8" s="41" t="s">
        <v>192</v>
      </c>
      <c r="R8" s="41" t="s">
        <v>720</v>
      </c>
      <c r="S8" s="41" t="s">
        <v>721</v>
      </c>
      <c r="T8" s="41" t="s">
        <v>721</v>
      </c>
      <c r="V8" s="41" t="s">
        <v>722</v>
      </c>
      <c r="W8" s="41" t="s">
        <v>723</v>
      </c>
      <c r="X8" s="41" t="s">
        <v>273</v>
      </c>
      <c r="Y8" s="41" t="s">
        <v>724</v>
      </c>
      <c r="Z8" s="41" t="s">
        <v>116</v>
      </c>
      <c r="AA8" s="41" t="s">
        <v>310</v>
      </c>
      <c r="AB8" s="41" t="s">
        <v>535</v>
      </c>
      <c r="AC8" s="41" t="s">
        <v>725</v>
      </c>
      <c r="AD8" s="41" t="s">
        <v>726</v>
      </c>
      <c r="AE8" s="41" t="s">
        <v>727</v>
      </c>
      <c r="AF8" s="41" t="s">
        <v>728</v>
      </c>
      <c r="AM8" s="41" t="s">
        <v>300</v>
      </c>
      <c r="AO8" s="41" t="s">
        <v>602</v>
      </c>
      <c r="AP8" s="41" t="s">
        <v>729</v>
      </c>
    </row>
    <row r="9" ht="126.75" customHeight="1">
      <c r="A9" s="31" t="s">
        <v>718</v>
      </c>
      <c r="B9" s="41" t="s">
        <v>730</v>
      </c>
      <c r="C9" s="41" t="s">
        <v>710</v>
      </c>
      <c r="D9" s="41" t="s">
        <v>192</v>
      </c>
      <c r="E9" s="41"/>
      <c r="F9" s="9" t="s">
        <v>731</v>
      </c>
      <c r="G9" s="9" t="s">
        <v>732</v>
      </c>
      <c r="O9" s="41" t="s">
        <v>733</v>
      </c>
      <c r="P9" s="41" t="s">
        <v>734</v>
      </c>
      <c r="Q9" s="41" t="s">
        <v>196</v>
      </c>
      <c r="R9" s="41" t="s">
        <v>735</v>
      </c>
      <c r="T9" s="41" t="s">
        <v>736</v>
      </c>
      <c r="V9" s="41" t="s">
        <v>737</v>
      </c>
      <c r="W9" s="41" t="s">
        <v>738</v>
      </c>
      <c r="X9" s="41" t="s">
        <v>739</v>
      </c>
      <c r="Y9" s="41" t="s">
        <v>740</v>
      </c>
      <c r="Z9" s="41" t="s">
        <v>143</v>
      </c>
      <c r="AA9" s="41" t="s">
        <v>317</v>
      </c>
      <c r="AB9" s="41" t="s">
        <v>541</v>
      </c>
      <c r="AC9" s="41" t="s">
        <v>741</v>
      </c>
      <c r="AD9" s="41" t="s">
        <v>742</v>
      </c>
      <c r="AE9" s="41" t="s">
        <v>743</v>
      </c>
      <c r="AM9" s="41" t="s">
        <v>484</v>
      </c>
      <c r="AO9" s="41" t="s">
        <v>519</v>
      </c>
      <c r="AP9" s="41" t="s">
        <v>744</v>
      </c>
    </row>
    <row r="10" ht="81.75" customHeight="1">
      <c r="A10" s="36" t="s">
        <v>733</v>
      </c>
      <c r="B10" s="16" t="s">
        <v>745</v>
      </c>
      <c r="C10" s="47" t="s">
        <v>710</v>
      </c>
      <c r="D10" s="47" t="s">
        <v>204</v>
      </c>
      <c r="E10" s="47" t="s">
        <v>226</v>
      </c>
      <c r="F10" s="16" t="s">
        <v>746</v>
      </c>
      <c r="G10" s="16" t="s">
        <v>747</v>
      </c>
      <c r="O10" s="41" t="s">
        <v>748</v>
      </c>
      <c r="P10" s="41" t="s">
        <v>749</v>
      </c>
      <c r="Q10" s="41" t="s">
        <v>204</v>
      </c>
      <c r="R10" s="41" t="s">
        <v>750</v>
      </c>
      <c r="T10" s="41" t="s">
        <v>751</v>
      </c>
      <c r="V10" s="41" t="s">
        <v>752</v>
      </c>
      <c r="W10" s="41" t="s">
        <v>753</v>
      </c>
      <c r="X10" s="41" t="s">
        <v>754</v>
      </c>
      <c r="Y10" s="41" t="s">
        <v>755</v>
      </c>
      <c r="Z10" s="41" t="s">
        <v>172</v>
      </c>
      <c r="AA10" s="41" t="s">
        <v>330</v>
      </c>
      <c r="AB10" s="41" t="s">
        <v>552</v>
      </c>
      <c r="AC10" s="41" t="s">
        <v>756</v>
      </c>
      <c r="AE10" s="41" t="s">
        <v>757</v>
      </c>
      <c r="AM10" s="41" t="s">
        <v>485</v>
      </c>
    </row>
    <row r="11" ht="115.5" customHeight="1">
      <c r="A11" s="31" t="s">
        <v>748</v>
      </c>
      <c r="B11" s="9" t="s">
        <v>758</v>
      </c>
      <c r="C11" s="41" t="s">
        <v>710</v>
      </c>
      <c r="D11" s="41" t="s">
        <v>196</v>
      </c>
      <c r="E11" s="41" t="s">
        <v>226</v>
      </c>
      <c r="F11" s="9" t="s">
        <v>759</v>
      </c>
      <c r="G11" s="9" t="s">
        <v>760</v>
      </c>
      <c r="O11" s="41" t="s">
        <v>761</v>
      </c>
      <c r="P11" s="41" t="s">
        <v>762</v>
      </c>
      <c r="Q11" s="41" t="s">
        <v>226</v>
      </c>
      <c r="R11" s="41" t="s">
        <v>763</v>
      </c>
      <c r="T11" s="41" t="s">
        <v>110</v>
      </c>
      <c r="V11" s="41" t="s">
        <v>764</v>
      </c>
      <c r="Y11" s="41" t="s">
        <v>765</v>
      </c>
      <c r="Z11" s="41" t="s">
        <v>188</v>
      </c>
      <c r="AA11" s="41" t="s">
        <v>345</v>
      </c>
      <c r="AB11" s="41" t="s">
        <v>553</v>
      </c>
      <c r="AE11" s="41" t="s">
        <v>766</v>
      </c>
      <c r="AM11" s="41" t="s">
        <v>486</v>
      </c>
    </row>
    <row r="12" ht="70.5" customHeight="1">
      <c r="A12" s="36" t="s">
        <v>761</v>
      </c>
      <c r="B12" s="47" t="s">
        <v>767</v>
      </c>
      <c r="C12" s="47" t="s">
        <v>710</v>
      </c>
      <c r="D12" s="47" t="s">
        <v>204</v>
      </c>
      <c r="E12" s="47"/>
      <c r="F12" s="16" t="s">
        <v>768</v>
      </c>
      <c r="G12" s="16" t="s">
        <v>769</v>
      </c>
      <c r="O12" s="41" t="s">
        <v>770</v>
      </c>
      <c r="P12" s="41" t="s">
        <v>771</v>
      </c>
      <c r="R12" s="41" t="s">
        <v>772</v>
      </c>
      <c r="Y12" s="41" t="s">
        <v>773</v>
      </c>
      <c r="Z12" s="41" t="s">
        <v>194</v>
      </c>
      <c r="AM12" s="41" t="s">
        <v>301</v>
      </c>
    </row>
    <row r="13" ht="70.5" customHeight="1">
      <c r="A13" s="31" t="s">
        <v>770</v>
      </c>
      <c r="B13" s="41" t="s">
        <v>774</v>
      </c>
      <c r="C13" s="41" t="s">
        <v>710</v>
      </c>
      <c r="D13" s="41" t="s">
        <v>196</v>
      </c>
      <c r="E13" s="41"/>
      <c r="F13" s="9" t="s">
        <v>775</v>
      </c>
      <c r="G13" s="9" t="s">
        <v>776</v>
      </c>
      <c r="P13" s="41" t="s">
        <v>777</v>
      </c>
      <c r="Y13" s="41" t="s">
        <v>778</v>
      </c>
      <c r="Z13" s="41" t="s">
        <v>200</v>
      </c>
      <c r="AM13" s="41" t="s">
        <v>430</v>
      </c>
    </row>
    <row r="14">
      <c r="P14" s="41" t="s">
        <v>779</v>
      </c>
      <c r="Y14" s="41" t="s">
        <v>292</v>
      </c>
      <c r="Z14" s="41" t="s">
        <v>208</v>
      </c>
      <c r="AM14" s="41" t="s">
        <v>780</v>
      </c>
    </row>
    <row r="15">
      <c r="A15" s="5" t="s">
        <v>781</v>
      </c>
      <c r="B15" s="2"/>
      <c r="C15" s="2"/>
      <c r="D15" s="3"/>
      <c r="Y15" s="41" t="s">
        <v>782</v>
      </c>
      <c r="Z15" s="41" t="s">
        <v>227</v>
      </c>
      <c r="AM15" s="41" t="s">
        <v>783</v>
      </c>
    </row>
    <row r="16">
      <c r="A16" s="14" t="s">
        <v>112</v>
      </c>
      <c r="B16" s="14" t="s">
        <v>784</v>
      </c>
      <c r="Y16" s="41" t="s">
        <v>297</v>
      </c>
      <c r="Z16" s="41" t="s">
        <v>232</v>
      </c>
    </row>
    <row r="17" ht="36.75" customHeight="1">
      <c r="A17" s="31" t="s">
        <v>700</v>
      </c>
      <c r="B17" s="9" t="s">
        <v>785</v>
      </c>
      <c r="Y17" s="41" t="s">
        <v>786</v>
      </c>
      <c r="Z17" s="41" t="s">
        <v>241</v>
      </c>
    </row>
    <row r="18" ht="25.5" customHeight="1">
      <c r="A18" s="36" t="s">
        <v>700</v>
      </c>
      <c r="B18" s="16" t="s">
        <v>787</v>
      </c>
      <c r="Y18" s="41" t="s">
        <v>327</v>
      </c>
      <c r="Z18" s="41" t="s">
        <v>250</v>
      </c>
    </row>
    <row r="19" ht="48.0" customHeight="1">
      <c r="A19" s="31" t="s">
        <v>718</v>
      </c>
      <c r="B19" s="9" t="s">
        <v>788</v>
      </c>
      <c r="Z19" s="41" t="s">
        <v>259</v>
      </c>
    </row>
    <row r="20" ht="60.0" customHeight="1">
      <c r="A20" s="36" t="s">
        <v>733</v>
      </c>
      <c r="B20" s="16" t="s">
        <v>789</v>
      </c>
      <c r="Z20" s="41" t="s">
        <v>265</v>
      </c>
    </row>
    <row r="21" ht="36.75" customHeight="1">
      <c r="A21" s="31" t="s">
        <v>761</v>
      </c>
      <c r="B21" s="9" t="s">
        <v>790</v>
      </c>
      <c r="Z21" s="41" t="s">
        <v>268</v>
      </c>
    </row>
    <row r="22" ht="36.75" customHeight="1">
      <c r="A22" s="36" t="s">
        <v>770</v>
      </c>
      <c r="B22" s="16" t="s">
        <v>791</v>
      </c>
      <c r="Z22" s="41" t="s">
        <v>280</v>
      </c>
    </row>
    <row r="23" ht="25.5" customHeight="1">
      <c r="A23" s="31" t="s">
        <v>113</v>
      </c>
      <c r="B23" s="9" t="s">
        <v>792</v>
      </c>
      <c r="Z23" s="41" t="s">
        <v>282</v>
      </c>
    </row>
    <row r="24" ht="15.75" customHeight="1"/>
    <row r="25" ht="15.75" customHeight="1">
      <c r="A25" s="5" t="s">
        <v>527</v>
      </c>
      <c r="B25" s="3"/>
    </row>
    <row r="26" ht="15.75" customHeight="1">
      <c r="A26" s="14" t="s">
        <v>528</v>
      </c>
      <c r="B26" s="14" t="s">
        <v>58</v>
      </c>
    </row>
    <row r="27" ht="15.75" customHeight="1">
      <c r="A27" s="31">
        <v>8.0</v>
      </c>
      <c r="B27" s="41">
        <v>-1.0</v>
      </c>
    </row>
    <row r="28" ht="15.75" customHeight="1">
      <c r="A28" s="36">
        <v>9.0</v>
      </c>
      <c r="B28" s="47">
        <v>-1.0</v>
      </c>
    </row>
    <row r="29" ht="15.75" customHeight="1">
      <c r="A29" s="31">
        <v>10.0</v>
      </c>
      <c r="B29" s="41">
        <v>0.0</v>
      </c>
    </row>
    <row r="30" ht="15.75" customHeight="1">
      <c r="A30" s="36">
        <v>11.0</v>
      </c>
      <c r="B30" s="47">
        <v>0.0</v>
      </c>
    </row>
    <row r="31" ht="15.75" customHeight="1">
      <c r="A31" s="31">
        <v>12.0</v>
      </c>
      <c r="B31" s="41">
        <v>1.0</v>
      </c>
    </row>
    <row r="32" ht="15.75" customHeight="1">
      <c r="A32" s="36">
        <v>13.0</v>
      </c>
      <c r="B32" s="47">
        <v>1.0</v>
      </c>
    </row>
    <row r="33" ht="15.75" customHeight="1">
      <c r="A33" s="31">
        <v>14.0</v>
      </c>
      <c r="B33" s="41">
        <v>2.0</v>
      </c>
    </row>
    <row r="34" ht="15.75" customHeight="1">
      <c r="A34" s="36">
        <v>15.0</v>
      </c>
      <c r="B34" s="47">
        <v>3.0</v>
      </c>
    </row>
    <row r="35" ht="15.75" customHeight="1">
      <c r="A35" s="31">
        <v>16.0</v>
      </c>
      <c r="B35" s="41">
        <v>3.0</v>
      </c>
    </row>
    <row r="36" ht="15.75" customHeight="1">
      <c r="A36" s="36">
        <v>17.0</v>
      </c>
      <c r="B36" s="47">
        <v>4.0</v>
      </c>
    </row>
    <row r="37" ht="15.75" customHeight="1">
      <c r="A37" s="31">
        <v>18.0</v>
      </c>
      <c r="B37" s="41">
        <v>4.0</v>
      </c>
    </row>
    <row r="38" ht="15.75" customHeight="1">
      <c r="A38" s="36">
        <v>19.0</v>
      </c>
      <c r="B38" s="47">
        <v>5.0</v>
      </c>
    </row>
    <row r="39" ht="15.75" customHeight="1">
      <c r="A39" s="31">
        <v>20.0</v>
      </c>
      <c r="B39" s="41">
        <v>5.0</v>
      </c>
    </row>
    <row r="40" ht="15.75" customHeight="1"/>
    <row r="41" ht="15.75" customHeight="1">
      <c r="A41" s="5" t="s">
        <v>793</v>
      </c>
      <c r="B41" s="2"/>
      <c r="C41" s="3"/>
    </row>
    <row r="42" ht="15.75" customHeight="1">
      <c r="A42" s="14" t="s">
        <v>528</v>
      </c>
      <c r="B42" s="14" t="s">
        <v>794</v>
      </c>
    </row>
    <row r="43" ht="15.75" customHeight="1">
      <c r="A43" s="31">
        <v>8.0</v>
      </c>
      <c r="B43" s="41">
        <v>0.0</v>
      </c>
    </row>
    <row r="44" ht="15.75" customHeight="1">
      <c r="A44" s="36">
        <v>9.0</v>
      </c>
      <c r="B44" s="47">
        <v>1.0</v>
      </c>
    </row>
    <row r="45" ht="15.75" customHeight="1">
      <c r="A45" s="31">
        <v>10.0</v>
      </c>
      <c r="B45" s="41">
        <v>2.0</v>
      </c>
    </row>
    <row r="46" ht="15.75" customHeight="1">
      <c r="A46" s="36">
        <v>11.0</v>
      </c>
      <c r="B46" s="47">
        <v>3.0</v>
      </c>
    </row>
    <row r="47" ht="15.75" customHeight="1">
      <c r="A47" s="31">
        <v>12.0</v>
      </c>
      <c r="B47" s="41">
        <v>4.0</v>
      </c>
    </row>
    <row r="48" ht="15.75" customHeight="1">
      <c r="A48" s="36">
        <v>13.0</v>
      </c>
      <c r="B48" s="47">
        <v>5.0</v>
      </c>
    </row>
    <row r="49" ht="15.75" customHeight="1">
      <c r="A49" s="31">
        <v>14.0</v>
      </c>
      <c r="B49" s="41">
        <v>7.0</v>
      </c>
    </row>
    <row r="50" ht="15.75" customHeight="1">
      <c r="A50" s="36">
        <v>15.0</v>
      </c>
      <c r="B50" s="47">
        <v>10.0</v>
      </c>
    </row>
    <row r="51" ht="15.75" customHeight="1"/>
    <row r="52" ht="15.75" customHeight="1">
      <c r="A52" s="5" t="s">
        <v>796</v>
      </c>
      <c r="B52" s="2"/>
      <c r="C52" s="3"/>
    </row>
    <row r="53" ht="15.75" customHeight="1">
      <c r="A53" s="14" t="s">
        <v>488</v>
      </c>
      <c r="B53" s="14" t="s">
        <v>57</v>
      </c>
      <c r="C53" s="14" t="s">
        <v>798</v>
      </c>
    </row>
    <row r="54" ht="48.0" customHeight="1">
      <c r="A54" s="31" t="s">
        <v>50</v>
      </c>
      <c r="B54" s="41" t="s">
        <v>121</v>
      </c>
      <c r="C54" s="9" t="s">
        <v>799</v>
      </c>
    </row>
    <row r="55" ht="48.0" customHeight="1">
      <c r="A55" s="36" t="s">
        <v>100</v>
      </c>
      <c r="B55" s="47" t="s">
        <v>126</v>
      </c>
      <c r="C55" s="16" t="s">
        <v>800</v>
      </c>
    </row>
    <row r="56" ht="15.75" customHeight="1">
      <c r="A56" s="31" t="s">
        <v>116</v>
      </c>
      <c r="B56" s="41" t="s">
        <v>126</v>
      </c>
      <c r="C56" s="41" t="s">
        <v>802</v>
      </c>
    </row>
    <row r="57" ht="48.0" customHeight="1">
      <c r="A57" s="36" t="s">
        <v>143</v>
      </c>
      <c r="B57" s="47" t="s">
        <v>126</v>
      </c>
      <c r="C57" s="16" t="s">
        <v>803</v>
      </c>
    </row>
    <row r="58" ht="48.0" customHeight="1">
      <c r="A58" s="31" t="s">
        <v>172</v>
      </c>
      <c r="B58" s="41" t="s">
        <v>192</v>
      </c>
      <c r="C58" s="9" t="s">
        <v>805</v>
      </c>
    </row>
    <row r="59" ht="48.0" customHeight="1">
      <c r="A59" s="36" t="s">
        <v>188</v>
      </c>
      <c r="B59" s="47" t="s">
        <v>196</v>
      </c>
      <c r="C59" s="16" t="s">
        <v>807</v>
      </c>
    </row>
    <row r="60" ht="60.0" customHeight="1">
      <c r="A60" s="31" t="s">
        <v>194</v>
      </c>
      <c r="B60" s="41" t="s">
        <v>196</v>
      </c>
      <c r="C60" s="9" t="s">
        <v>810</v>
      </c>
    </row>
    <row r="61" ht="48.0" customHeight="1">
      <c r="A61" s="36" t="s">
        <v>200</v>
      </c>
      <c r="B61" s="47" t="s">
        <v>196</v>
      </c>
      <c r="C61" s="16" t="s">
        <v>811</v>
      </c>
    </row>
    <row r="62" ht="36.75" customHeight="1">
      <c r="A62" s="31" t="s">
        <v>208</v>
      </c>
      <c r="B62" s="41" t="s">
        <v>196</v>
      </c>
      <c r="C62" s="9" t="s">
        <v>812</v>
      </c>
    </row>
    <row r="63" ht="36.75" customHeight="1">
      <c r="A63" s="36" t="s">
        <v>227</v>
      </c>
      <c r="B63" s="47" t="s">
        <v>204</v>
      </c>
      <c r="C63" s="16" t="s">
        <v>813</v>
      </c>
    </row>
    <row r="64" ht="48.0" customHeight="1">
      <c r="A64" s="31" t="s">
        <v>232</v>
      </c>
      <c r="B64" s="41" t="s">
        <v>204</v>
      </c>
      <c r="C64" s="9" t="s">
        <v>814</v>
      </c>
    </row>
    <row r="65" ht="25.5" customHeight="1">
      <c r="A65" s="36" t="s">
        <v>241</v>
      </c>
      <c r="B65" s="47" t="s">
        <v>204</v>
      </c>
      <c r="C65" s="16" t="s">
        <v>815</v>
      </c>
    </row>
    <row r="66" ht="36.75" customHeight="1">
      <c r="A66" s="31" t="s">
        <v>250</v>
      </c>
      <c r="B66" s="41" t="s">
        <v>204</v>
      </c>
      <c r="C66" s="9" t="s">
        <v>816</v>
      </c>
    </row>
    <row r="67" ht="25.5" customHeight="1">
      <c r="A67" s="36" t="s">
        <v>259</v>
      </c>
      <c r="B67" s="47" t="s">
        <v>226</v>
      </c>
      <c r="C67" s="16" t="s">
        <v>817</v>
      </c>
    </row>
    <row r="68" ht="25.5" customHeight="1">
      <c r="A68" s="31" t="s">
        <v>265</v>
      </c>
      <c r="B68" s="41" t="s">
        <v>226</v>
      </c>
      <c r="C68" s="9" t="s">
        <v>818</v>
      </c>
    </row>
    <row r="69" ht="25.5" customHeight="1">
      <c r="A69" s="36" t="s">
        <v>268</v>
      </c>
      <c r="B69" s="47" t="s">
        <v>226</v>
      </c>
      <c r="C69" s="16" t="s">
        <v>819</v>
      </c>
    </row>
    <row r="70" ht="36.75" customHeight="1">
      <c r="A70" s="31" t="s">
        <v>280</v>
      </c>
      <c r="B70" s="41" t="s">
        <v>226</v>
      </c>
      <c r="C70" s="9" t="s">
        <v>820</v>
      </c>
    </row>
    <row r="71" ht="81.75" customHeight="1">
      <c r="A71" s="36" t="s">
        <v>282</v>
      </c>
      <c r="B71" s="16" t="s">
        <v>821</v>
      </c>
      <c r="C71" s="16" t="s">
        <v>822</v>
      </c>
    </row>
    <row r="72" ht="15.75" customHeight="1"/>
    <row r="73" ht="15.75" customHeight="1">
      <c r="A73" s="5" t="s">
        <v>823</v>
      </c>
      <c r="B73" s="3"/>
    </row>
    <row r="74" ht="15.75" customHeight="1">
      <c r="A74" s="14" t="s">
        <v>290</v>
      </c>
      <c r="B74" s="14" t="s">
        <v>57</v>
      </c>
    </row>
    <row r="75" ht="15.75" customHeight="1">
      <c r="A75" s="31" t="s">
        <v>293</v>
      </c>
      <c r="B75" s="41" t="s">
        <v>121</v>
      </c>
    </row>
    <row r="76" ht="15.75" customHeight="1">
      <c r="A76" s="36" t="s">
        <v>294</v>
      </c>
      <c r="B76" s="47" t="s">
        <v>126</v>
      </c>
    </row>
    <row r="77" ht="15.75" customHeight="1">
      <c r="A77" s="31" t="s">
        <v>310</v>
      </c>
      <c r="B77" s="41" t="s">
        <v>192</v>
      </c>
    </row>
    <row r="78" ht="15.75" customHeight="1">
      <c r="A78" s="36" t="s">
        <v>317</v>
      </c>
      <c r="B78" s="47" t="s">
        <v>196</v>
      </c>
    </row>
    <row r="79" ht="15.75" customHeight="1">
      <c r="A79" s="31" t="s">
        <v>330</v>
      </c>
      <c r="B79" s="41" t="s">
        <v>204</v>
      </c>
    </row>
    <row r="80" ht="15.75" customHeight="1">
      <c r="A80" s="36" t="s">
        <v>345</v>
      </c>
      <c r="B80" s="47" t="s">
        <v>226</v>
      </c>
    </row>
    <row r="81" ht="15.75" customHeight="1"/>
    <row r="82" ht="15.75" customHeight="1">
      <c r="A82" s="5" t="s">
        <v>824</v>
      </c>
      <c r="B82" s="2"/>
      <c r="C82" s="2"/>
      <c r="D82" s="2"/>
      <c r="E82" s="2"/>
      <c r="F82" s="2"/>
      <c r="G82" s="2"/>
      <c r="H82" s="2"/>
      <c r="I82" s="2"/>
      <c r="J82" s="2"/>
      <c r="K82" s="2"/>
      <c r="L82" s="3"/>
    </row>
    <row r="83" ht="25.5" customHeight="1">
      <c r="A83" s="14" t="s">
        <v>101</v>
      </c>
      <c r="B83" s="14" t="s">
        <v>160</v>
      </c>
      <c r="C83" s="14" t="s">
        <v>162</v>
      </c>
      <c r="D83" s="14" t="s">
        <v>237</v>
      </c>
      <c r="E83" s="14" t="s">
        <v>825</v>
      </c>
      <c r="F83" s="14" t="s">
        <v>826</v>
      </c>
      <c r="G83" s="14" t="s">
        <v>827</v>
      </c>
      <c r="H83" s="14" t="s">
        <v>828</v>
      </c>
      <c r="I83" s="14" t="s">
        <v>829</v>
      </c>
      <c r="J83" s="14" t="s">
        <v>830</v>
      </c>
      <c r="K83" s="14" t="s">
        <v>831</v>
      </c>
      <c r="L83" s="14" t="s">
        <v>384</v>
      </c>
    </row>
    <row r="84" ht="70.5" customHeight="1">
      <c r="A84" s="31" t="s">
        <v>677</v>
      </c>
      <c r="B84" s="41" t="s">
        <v>832</v>
      </c>
      <c r="C84" s="9" t="s">
        <v>833</v>
      </c>
      <c r="D84" s="41" t="s">
        <v>834</v>
      </c>
      <c r="E84" s="41" t="s">
        <v>121</v>
      </c>
      <c r="F84" s="41" t="s">
        <v>192</v>
      </c>
      <c r="G84" s="41" t="s">
        <v>50</v>
      </c>
      <c r="H84" s="41" t="s">
        <v>232</v>
      </c>
      <c r="I84" s="41" t="s">
        <v>172</v>
      </c>
      <c r="J84" s="41">
        <v>6.0</v>
      </c>
      <c r="K84" s="41">
        <v>1.0</v>
      </c>
      <c r="L84" s="9" t="s">
        <v>835</v>
      </c>
    </row>
    <row r="85" ht="60.0" customHeight="1">
      <c r="A85" s="36" t="s">
        <v>701</v>
      </c>
      <c r="B85" s="47" t="s">
        <v>836</v>
      </c>
      <c r="C85" s="16" t="s">
        <v>837</v>
      </c>
      <c r="D85" s="16" t="s">
        <v>821</v>
      </c>
      <c r="E85" s="47" t="s">
        <v>204</v>
      </c>
      <c r="F85" s="47" t="s">
        <v>196</v>
      </c>
      <c r="G85" s="47" t="s">
        <v>227</v>
      </c>
      <c r="H85" s="47" t="s">
        <v>194</v>
      </c>
      <c r="I85" s="47" t="s">
        <v>116</v>
      </c>
      <c r="J85" s="47">
        <v>4.0</v>
      </c>
      <c r="K85" s="47">
        <v>2.0</v>
      </c>
      <c r="L85" s="16" t="s">
        <v>838</v>
      </c>
    </row>
    <row r="86" ht="48.75" customHeight="1">
      <c r="A86" s="31" t="s">
        <v>719</v>
      </c>
      <c r="B86" s="41" t="s">
        <v>839</v>
      </c>
      <c r="C86" s="9" t="s">
        <v>840</v>
      </c>
      <c r="D86" s="41" t="s">
        <v>226</v>
      </c>
      <c r="E86" s="41" t="s">
        <v>226</v>
      </c>
      <c r="F86" s="41"/>
      <c r="G86" s="41" t="s">
        <v>280</v>
      </c>
      <c r="H86" s="41" t="s">
        <v>282</v>
      </c>
      <c r="I86" s="41" t="s">
        <v>259</v>
      </c>
      <c r="J86" s="41">
        <v>3.0</v>
      </c>
      <c r="K86" s="41">
        <v>2.0</v>
      </c>
      <c r="L86" s="9" t="s">
        <v>841</v>
      </c>
    </row>
    <row r="87" ht="60.0" customHeight="1">
      <c r="A87" s="36" t="s">
        <v>734</v>
      </c>
      <c r="B87" s="47" t="s">
        <v>842</v>
      </c>
      <c r="C87" s="16" t="s">
        <v>843</v>
      </c>
      <c r="D87" s="16" t="s">
        <v>844</v>
      </c>
      <c r="E87" s="47" t="s">
        <v>226</v>
      </c>
      <c r="F87" s="47" t="s">
        <v>196</v>
      </c>
      <c r="G87" s="47" t="s">
        <v>280</v>
      </c>
      <c r="H87" s="47" t="s">
        <v>241</v>
      </c>
      <c r="I87" s="47" t="s">
        <v>232</v>
      </c>
      <c r="J87" s="47">
        <v>5.0</v>
      </c>
      <c r="K87" s="47">
        <v>1.0</v>
      </c>
      <c r="L87" s="16" t="s">
        <v>845</v>
      </c>
    </row>
    <row r="88" ht="36.75" customHeight="1">
      <c r="A88" s="31" t="s">
        <v>749</v>
      </c>
      <c r="B88" s="41" t="s">
        <v>846</v>
      </c>
      <c r="C88" s="9" t="s">
        <v>847</v>
      </c>
      <c r="D88" s="9" t="s">
        <v>848</v>
      </c>
      <c r="E88" s="41" t="s">
        <v>196</v>
      </c>
      <c r="F88" s="41" t="s">
        <v>204</v>
      </c>
      <c r="G88" s="41" t="s">
        <v>265</v>
      </c>
      <c r="H88" s="41" t="s">
        <v>250</v>
      </c>
      <c r="I88" s="41" t="s">
        <v>200</v>
      </c>
      <c r="J88" s="41">
        <v>3.0</v>
      </c>
      <c r="K88" s="41">
        <v>1.0</v>
      </c>
      <c r="L88" s="9" t="s">
        <v>849</v>
      </c>
    </row>
    <row r="89" ht="36.75" customHeight="1">
      <c r="A89" s="36" t="s">
        <v>762</v>
      </c>
      <c r="B89" s="47" t="s">
        <v>850</v>
      </c>
      <c r="C89" s="16" t="s">
        <v>851</v>
      </c>
      <c r="D89" s="47" t="s">
        <v>196</v>
      </c>
      <c r="E89" s="47" t="s">
        <v>196</v>
      </c>
      <c r="F89" s="47"/>
      <c r="G89" s="47" t="s">
        <v>200</v>
      </c>
      <c r="H89" s="47" t="s">
        <v>194</v>
      </c>
      <c r="I89" s="47" t="s">
        <v>188</v>
      </c>
      <c r="J89" s="47">
        <v>3.0</v>
      </c>
      <c r="K89" s="47">
        <v>1.0</v>
      </c>
      <c r="L89" s="16" t="s">
        <v>852</v>
      </c>
    </row>
    <row r="90" ht="48.0" customHeight="1">
      <c r="A90" s="31" t="s">
        <v>771</v>
      </c>
      <c r="B90" s="41" t="s">
        <v>853</v>
      </c>
      <c r="C90" s="9" t="s">
        <v>854</v>
      </c>
      <c r="D90" s="9" t="s">
        <v>855</v>
      </c>
      <c r="E90" s="41" t="s">
        <v>226</v>
      </c>
      <c r="F90" s="41" t="s">
        <v>204</v>
      </c>
      <c r="G90" s="41" t="s">
        <v>268</v>
      </c>
      <c r="H90" s="41" t="s">
        <v>100</v>
      </c>
      <c r="I90" s="41" t="s">
        <v>259</v>
      </c>
      <c r="J90" s="41">
        <v>3.0</v>
      </c>
      <c r="K90" s="41">
        <v>3.0</v>
      </c>
      <c r="L90" s="9" t="s">
        <v>856</v>
      </c>
    </row>
    <row r="91" ht="60.0" customHeight="1">
      <c r="A91" s="36" t="s">
        <v>777</v>
      </c>
      <c r="B91" s="47" t="s">
        <v>857</v>
      </c>
      <c r="C91" s="16" t="s">
        <v>858</v>
      </c>
      <c r="D91" s="47" t="s">
        <v>126</v>
      </c>
      <c r="E91" s="47" t="s">
        <v>126</v>
      </c>
      <c r="F91" s="47"/>
      <c r="G91" s="47" t="s">
        <v>116</v>
      </c>
      <c r="H91" s="47" t="s">
        <v>227</v>
      </c>
      <c r="I91" s="47" t="s">
        <v>100</v>
      </c>
      <c r="J91" s="47">
        <v>2.0</v>
      </c>
      <c r="K91" s="47">
        <v>4.0</v>
      </c>
      <c r="L91" s="16" t="s">
        <v>859</v>
      </c>
    </row>
    <row r="92" ht="36.75" customHeight="1">
      <c r="A92" s="31" t="s">
        <v>779</v>
      </c>
      <c r="B92" s="41" t="s">
        <v>860</v>
      </c>
      <c r="C92" s="9" t="s">
        <v>861</v>
      </c>
      <c r="D92" s="41" t="s">
        <v>862</v>
      </c>
      <c r="E92" s="41" t="s">
        <v>192</v>
      </c>
      <c r="F92" s="41" t="s">
        <v>121</v>
      </c>
      <c r="G92" s="41" t="s">
        <v>172</v>
      </c>
      <c r="H92" s="41" t="s">
        <v>50</v>
      </c>
      <c r="I92" s="41" t="s">
        <v>241</v>
      </c>
      <c r="J92" s="41">
        <v>5.0</v>
      </c>
      <c r="K92" s="41">
        <v>0.0</v>
      </c>
      <c r="L92" s="9" t="s">
        <v>863</v>
      </c>
    </row>
    <row r="93" ht="15.75" customHeight="1"/>
    <row r="94" ht="15.75" customHeight="1">
      <c r="A94" s="5" t="s">
        <v>864</v>
      </c>
      <c r="B94" s="2"/>
      <c r="C94" s="2"/>
      <c r="D94" s="2"/>
      <c r="E94" s="2"/>
      <c r="F94" s="3"/>
    </row>
    <row r="95" ht="48.0" customHeight="1">
      <c r="A95" s="14" t="s">
        <v>582</v>
      </c>
      <c r="B95" s="14" t="s">
        <v>865</v>
      </c>
      <c r="C95" s="14" t="s">
        <v>866</v>
      </c>
      <c r="D95" s="14" t="s">
        <v>867</v>
      </c>
      <c r="E95" s="14" t="s">
        <v>868</v>
      </c>
      <c r="F95" s="14" t="s">
        <v>869</v>
      </c>
    </row>
    <row r="96" ht="15.75" customHeight="1">
      <c r="A96" s="31">
        <v>1.0</v>
      </c>
      <c r="B96" s="41">
        <v>61.0</v>
      </c>
      <c r="C96" s="41">
        <v>56.0</v>
      </c>
      <c r="D96" s="41">
        <v>51.0</v>
      </c>
      <c r="E96" s="41">
        <v>46.0</v>
      </c>
      <c r="F96" s="41">
        <v>41.0</v>
      </c>
    </row>
    <row r="97" ht="15.75" customHeight="1">
      <c r="A97" s="36">
        <v>2.0</v>
      </c>
      <c r="B97" s="47">
        <v>74.0</v>
      </c>
      <c r="C97" s="47">
        <v>68.0</v>
      </c>
      <c r="D97" s="47">
        <v>62.0</v>
      </c>
      <c r="E97" s="47">
        <v>56.0</v>
      </c>
      <c r="F97" s="47">
        <v>50.0</v>
      </c>
    </row>
    <row r="98" ht="15.75" customHeight="1">
      <c r="A98" s="31">
        <v>3.0</v>
      </c>
      <c r="B98" s="41">
        <v>87.0</v>
      </c>
      <c r="C98" s="41">
        <v>80.0</v>
      </c>
      <c r="D98" s="41">
        <v>73.0</v>
      </c>
      <c r="E98" s="41">
        <v>66.0</v>
      </c>
      <c r="F98" s="41">
        <v>59.0</v>
      </c>
    </row>
    <row r="99" ht="15.75" customHeight="1">
      <c r="A99" s="36">
        <v>4.0</v>
      </c>
      <c r="B99" s="47">
        <v>100.0</v>
      </c>
      <c r="C99" s="47">
        <v>92.0</v>
      </c>
      <c r="D99" s="47">
        <v>84.0</v>
      </c>
      <c r="E99" s="47">
        <v>76.0</v>
      </c>
      <c r="F99" s="47">
        <v>68.0</v>
      </c>
    </row>
    <row r="100" ht="15.75" customHeight="1">
      <c r="A100" s="31">
        <v>5.0</v>
      </c>
      <c r="B100" s="41">
        <v>113.0</v>
      </c>
      <c r="C100" s="41">
        <v>104.0</v>
      </c>
      <c r="D100" s="41">
        <v>95.0</v>
      </c>
      <c r="E100" s="41">
        <v>86.0</v>
      </c>
      <c r="F100" s="41">
        <v>77.0</v>
      </c>
    </row>
    <row r="101" ht="15.75" customHeight="1">
      <c r="A101" s="36">
        <v>6.0</v>
      </c>
      <c r="B101" s="47">
        <v>126.0</v>
      </c>
      <c r="C101" s="47">
        <v>116.0</v>
      </c>
      <c r="D101" s="47">
        <v>106.0</v>
      </c>
      <c r="E101" s="47">
        <v>96.0</v>
      </c>
      <c r="F101" s="47">
        <v>86.0</v>
      </c>
    </row>
    <row r="102" ht="15.75" customHeight="1">
      <c r="A102" s="31">
        <v>7.0</v>
      </c>
      <c r="B102" s="41">
        <v>139.0</v>
      </c>
      <c r="C102" s="41">
        <v>128.0</v>
      </c>
      <c r="D102" s="41">
        <v>117.0</v>
      </c>
      <c r="E102" s="41">
        <v>106.0</v>
      </c>
      <c r="F102" s="41">
        <v>95.0</v>
      </c>
    </row>
    <row r="103" ht="15.75" customHeight="1">
      <c r="A103" s="36">
        <v>8.0</v>
      </c>
      <c r="B103" s="47">
        <v>152.0</v>
      </c>
      <c r="C103" s="47">
        <v>140.0</v>
      </c>
      <c r="D103" s="47">
        <v>128.0</v>
      </c>
      <c r="E103" s="47">
        <v>116.0</v>
      </c>
      <c r="F103" s="47">
        <v>104.0</v>
      </c>
    </row>
    <row r="104" ht="15.75" customHeight="1">
      <c r="A104" s="31">
        <v>9.0</v>
      </c>
      <c r="B104" s="41">
        <v>165.0</v>
      </c>
      <c r="C104" s="41">
        <v>152.0</v>
      </c>
      <c r="D104" s="41">
        <v>139.0</v>
      </c>
      <c r="E104" s="41">
        <v>126.0</v>
      </c>
      <c r="F104" s="41">
        <v>113.0</v>
      </c>
    </row>
    <row r="105" ht="15.75" customHeight="1">
      <c r="A105" s="36">
        <v>10.0</v>
      </c>
      <c r="B105" s="47">
        <v>178.0</v>
      </c>
      <c r="C105" s="47">
        <v>164.0</v>
      </c>
      <c r="D105" s="47">
        <v>150.0</v>
      </c>
      <c r="E105" s="47">
        <v>136.0</v>
      </c>
      <c r="F105" s="47">
        <v>122.0</v>
      </c>
    </row>
    <row r="106" ht="15.75" customHeight="1">
      <c r="A106" s="31">
        <v>11.0</v>
      </c>
      <c r="B106" s="41">
        <v>191.0</v>
      </c>
      <c r="C106" s="41">
        <v>176.0</v>
      </c>
      <c r="D106" s="41">
        <v>161.0</v>
      </c>
      <c r="E106" s="41">
        <v>146.0</v>
      </c>
      <c r="F106" s="41">
        <v>131.0</v>
      </c>
    </row>
    <row r="107" ht="15.75" customHeight="1">
      <c r="A107" s="36">
        <v>12.0</v>
      </c>
      <c r="B107" s="47">
        <v>204.0</v>
      </c>
      <c r="C107" s="47">
        <v>188.0</v>
      </c>
      <c r="D107" s="47">
        <v>172.0</v>
      </c>
      <c r="E107" s="47">
        <v>156.0</v>
      </c>
      <c r="F107" s="47">
        <v>140.0</v>
      </c>
    </row>
    <row r="108" ht="15.75" customHeight="1">
      <c r="A108" s="31">
        <v>13.0</v>
      </c>
      <c r="B108" s="41">
        <v>217.0</v>
      </c>
      <c r="C108" s="41">
        <v>200.0</v>
      </c>
      <c r="D108" s="41">
        <v>183.0</v>
      </c>
      <c r="E108" s="41">
        <v>166.0</v>
      </c>
      <c r="F108" s="41">
        <v>149.0</v>
      </c>
    </row>
    <row r="109" ht="15.75" customHeight="1">
      <c r="A109" s="36">
        <v>14.0</v>
      </c>
      <c r="B109" s="47">
        <v>230.0</v>
      </c>
      <c r="C109" s="47">
        <v>212.0</v>
      </c>
      <c r="D109" s="47">
        <v>194.0</v>
      </c>
      <c r="E109" s="47">
        <v>176.0</v>
      </c>
      <c r="F109" s="47">
        <v>158.0</v>
      </c>
    </row>
    <row r="110" ht="15.75" customHeight="1">
      <c r="A110" s="31">
        <v>15.0</v>
      </c>
      <c r="B110" s="41">
        <v>243.0</v>
      </c>
      <c r="C110" s="41">
        <v>224.0</v>
      </c>
      <c r="D110" s="41">
        <v>205.0</v>
      </c>
      <c r="E110" s="41">
        <v>186.0</v>
      </c>
      <c r="F110" s="41">
        <v>167.0</v>
      </c>
    </row>
    <row r="111" ht="15.75" customHeight="1">
      <c r="A111" s="36">
        <v>16.0</v>
      </c>
      <c r="B111" s="47">
        <v>256.0</v>
      </c>
      <c r="C111" s="47">
        <v>236.0</v>
      </c>
      <c r="D111" s="47">
        <v>216.0</v>
      </c>
      <c r="E111" s="47">
        <v>196.0</v>
      </c>
      <c r="F111" s="47">
        <v>176.0</v>
      </c>
    </row>
    <row r="112" ht="15.75" customHeight="1">
      <c r="A112" s="31">
        <v>17.0</v>
      </c>
      <c r="B112" s="41">
        <v>269.0</v>
      </c>
      <c r="C112" s="41">
        <v>248.0</v>
      </c>
      <c r="D112" s="41">
        <v>227.0</v>
      </c>
      <c r="E112" s="41">
        <v>206.0</v>
      </c>
      <c r="F112" s="41">
        <v>185.0</v>
      </c>
    </row>
    <row r="113" ht="15.75" customHeight="1">
      <c r="A113" s="36">
        <v>18.0</v>
      </c>
      <c r="B113" s="47">
        <v>282.0</v>
      </c>
      <c r="C113" s="47">
        <v>260.0</v>
      </c>
      <c r="D113" s="47">
        <v>238.0</v>
      </c>
      <c r="E113" s="47">
        <v>216.0</v>
      </c>
      <c r="F113" s="47">
        <v>194.0</v>
      </c>
    </row>
    <row r="114" ht="15.75" customHeight="1">
      <c r="A114" s="31">
        <v>19.0</v>
      </c>
      <c r="B114" s="41">
        <v>295.0</v>
      </c>
      <c r="C114" s="41">
        <v>272.0</v>
      </c>
      <c r="D114" s="41">
        <v>249.0</v>
      </c>
      <c r="E114" s="41">
        <v>226.0</v>
      </c>
      <c r="F114" s="41">
        <v>203.0</v>
      </c>
    </row>
    <row r="115" ht="15.75" customHeight="1">
      <c r="A115" s="36">
        <v>20.0</v>
      </c>
      <c r="B115" s="47">
        <v>308.0</v>
      </c>
      <c r="C115" s="47">
        <v>284.0</v>
      </c>
      <c r="D115" s="47">
        <v>260.0</v>
      </c>
      <c r="E115" s="47">
        <v>236.0</v>
      </c>
      <c r="F115" s="47">
        <v>212.0</v>
      </c>
    </row>
    <row r="116" ht="15.75" customHeight="1"/>
    <row r="117" ht="15.75" customHeight="1">
      <c r="A117" s="5" t="s">
        <v>870</v>
      </c>
      <c r="B117" s="2"/>
      <c r="C117" s="2"/>
      <c r="D117" s="2"/>
      <c r="E117" s="2"/>
      <c r="F117" s="2"/>
      <c r="G117" s="2"/>
      <c r="H117" s="3"/>
    </row>
    <row r="118" ht="15.75" customHeight="1">
      <c r="A118" s="14" t="s">
        <v>101</v>
      </c>
      <c r="B118" s="14" t="s">
        <v>210</v>
      </c>
      <c r="C118" s="14" t="s">
        <v>408</v>
      </c>
      <c r="D118" s="14" t="s">
        <v>421</v>
      </c>
      <c r="E118" s="14" t="s">
        <v>422</v>
      </c>
      <c r="F118" s="14" t="s">
        <v>424</v>
      </c>
      <c r="G118" s="14" t="s">
        <v>425</v>
      </c>
      <c r="H118" s="14" t="s">
        <v>871</v>
      </c>
    </row>
    <row r="119" ht="25.5" customHeight="1">
      <c r="A119" s="31" t="s">
        <v>677</v>
      </c>
      <c r="B119" s="41">
        <v>1.0</v>
      </c>
      <c r="C119" s="41" t="s">
        <v>872</v>
      </c>
      <c r="D119" s="41" t="s">
        <v>873</v>
      </c>
      <c r="E119" s="41">
        <v>1.0</v>
      </c>
      <c r="F119" s="9" t="s">
        <v>874</v>
      </c>
      <c r="G119" s="41" t="s">
        <v>875</v>
      </c>
      <c r="H119" s="41" t="s">
        <v>710</v>
      </c>
    </row>
    <row r="120" ht="36.75" customHeight="1">
      <c r="A120" s="36" t="s">
        <v>677</v>
      </c>
      <c r="B120" s="47">
        <v>2.0</v>
      </c>
      <c r="C120" s="47" t="s">
        <v>876</v>
      </c>
      <c r="D120" s="47" t="s">
        <v>873</v>
      </c>
      <c r="E120" s="47">
        <v>1.0</v>
      </c>
      <c r="F120" s="16" t="s">
        <v>877</v>
      </c>
      <c r="G120" s="47" t="s">
        <v>878</v>
      </c>
      <c r="H120" s="47" t="s">
        <v>710</v>
      </c>
    </row>
    <row r="121" ht="36.75" customHeight="1">
      <c r="A121" s="31" t="s">
        <v>677</v>
      </c>
      <c r="B121" s="41">
        <v>3.0</v>
      </c>
      <c r="C121" s="9" t="s">
        <v>879</v>
      </c>
      <c r="D121" s="41" t="s">
        <v>873</v>
      </c>
      <c r="E121" s="41">
        <v>1.0</v>
      </c>
      <c r="F121" s="9" t="s">
        <v>880</v>
      </c>
      <c r="G121" s="41" t="s">
        <v>881</v>
      </c>
      <c r="H121" s="41" t="s">
        <v>710</v>
      </c>
    </row>
    <row r="122" ht="25.5" customHeight="1">
      <c r="A122" s="36" t="s">
        <v>677</v>
      </c>
      <c r="B122" s="47">
        <v>4.0</v>
      </c>
      <c r="C122" s="16" t="s">
        <v>882</v>
      </c>
      <c r="D122" s="47" t="s">
        <v>873</v>
      </c>
      <c r="E122" s="47">
        <v>1.0</v>
      </c>
      <c r="F122" s="16" t="s">
        <v>883</v>
      </c>
      <c r="G122" s="47" t="s">
        <v>881</v>
      </c>
      <c r="H122" s="47" t="s">
        <v>710</v>
      </c>
    </row>
    <row r="123" ht="25.5" customHeight="1">
      <c r="A123" s="31" t="s">
        <v>677</v>
      </c>
      <c r="B123" s="41">
        <v>5.0</v>
      </c>
      <c r="C123" s="9" t="s">
        <v>884</v>
      </c>
      <c r="D123" s="41" t="s">
        <v>873</v>
      </c>
      <c r="E123" s="41">
        <v>1.0</v>
      </c>
      <c r="F123" s="9" t="s">
        <v>885</v>
      </c>
      <c r="G123" s="41" t="s">
        <v>881</v>
      </c>
      <c r="H123" s="41" t="s">
        <v>710</v>
      </c>
    </row>
    <row r="124" ht="25.5" customHeight="1">
      <c r="A124" s="36" t="s">
        <v>677</v>
      </c>
      <c r="B124" s="47">
        <v>6.0</v>
      </c>
      <c r="C124" s="47" t="s">
        <v>886</v>
      </c>
      <c r="D124" s="47" t="s">
        <v>873</v>
      </c>
      <c r="E124" s="47">
        <v>1.0</v>
      </c>
      <c r="F124" s="16" t="s">
        <v>887</v>
      </c>
      <c r="G124" s="47" t="s">
        <v>881</v>
      </c>
      <c r="H124" s="47" t="s">
        <v>710</v>
      </c>
    </row>
    <row r="125" ht="25.5" customHeight="1">
      <c r="A125" s="31" t="s">
        <v>677</v>
      </c>
      <c r="B125" s="41">
        <v>7.0</v>
      </c>
      <c r="C125" s="9" t="s">
        <v>888</v>
      </c>
      <c r="D125" s="41" t="s">
        <v>889</v>
      </c>
      <c r="E125" s="41">
        <v>9.0</v>
      </c>
      <c r="F125" s="9" t="s">
        <v>890</v>
      </c>
      <c r="G125" s="41" t="s">
        <v>881</v>
      </c>
      <c r="H125" s="41" t="s">
        <v>710</v>
      </c>
    </row>
    <row r="126" ht="36.75" customHeight="1">
      <c r="A126" s="36" t="s">
        <v>677</v>
      </c>
      <c r="B126" s="47">
        <v>8.0</v>
      </c>
      <c r="C126" s="16" t="s">
        <v>891</v>
      </c>
      <c r="D126" s="47" t="s">
        <v>889</v>
      </c>
      <c r="E126" s="47">
        <v>9.0</v>
      </c>
      <c r="F126" s="16" t="s">
        <v>892</v>
      </c>
      <c r="G126" s="47" t="s">
        <v>881</v>
      </c>
      <c r="H126" s="47" t="s">
        <v>710</v>
      </c>
    </row>
    <row r="127" ht="25.5" customHeight="1">
      <c r="A127" s="31" t="s">
        <v>677</v>
      </c>
      <c r="B127" s="41">
        <v>9.0</v>
      </c>
      <c r="C127" s="9" t="s">
        <v>893</v>
      </c>
      <c r="D127" s="41" t="s">
        <v>889</v>
      </c>
      <c r="E127" s="41">
        <v>9.0</v>
      </c>
      <c r="F127" s="9" t="s">
        <v>894</v>
      </c>
      <c r="G127" s="41" t="s">
        <v>895</v>
      </c>
      <c r="H127" s="41" t="s">
        <v>710</v>
      </c>
    </row>
    <row r="128" ht="25.5" customHeight="1">
      <c r="A128" s="36" t="s">
        <v>677</v>
      </c>
      <c r="B128" s="47">
        <v>10.0</v>
      </c>
      <c r="C128" s="47" t="s">
        <v>896</v>
      </c>
      <c r="D128" s="47" t="s">
        <v>889</v>
      </c>
      <c r="E128" s="47">
        <v>9.0</v>
      </c>
      <c r="F128" s="16" t="s">
        <v>897</v>
      </c>
      <c r="G128" s="47" t="s">
        <v>898</v>
      </c>
      <c r="H128" s="47" t="s">
        <v>687</v>
      </c>
    </row>
    <row r="129" ht="25.5" customHeight="1">
      <c r="A129" s="31" t="s">
        <v>677</v>
      </c>
      <c r="B129" s="41">
        <v>11.0</v>
      </c>
      <c r="C129" s="41" t="s">
        <v>899</v>
      </c>
      <c r="D129" s="41" t="s">
        <v>900</v>
      </c>
      <c r="E129" s="41">
        <v>17.0</v>
      </c>
      <c r="F129" s="9" t="s">
        <v>901</v>
      </c>
      <c r="G129" s="41" t="s">
        <v>878</v>
      </c>
      <c r="H129" s="41" t="s">
        <v>710</v>
      </c>
    </row>
    <row r="130" ht="25.5" customHeight="1">
      <c r="A130" s="36" t="s">
        <v>677</v>
      </c>
      <c r="B130" s="47">
        <v>12.0</v>
      </c>
      <c r="C130" s="47" t="s">
        <v>902</v>
      </c>
      <c r="D130" s="47" t="s">
        <v>900</v>
      </c>
      <c r="E130" s="47">
        <v>17.0</v>
      </c>
      <c r="F130" s="16" t="s">
        <v>903</v>
      </c>
      <c r="G130" s="47" t="s">
        <v>878</v>
      </c>
      <c r="H130" s="47" t="s">
        <v>687</v>
      </c>
    </row>
    <row r="131" ht="36.75" customHeight="1">
      <c r="A131" s="31" t="s">
        <v>701</v>
      </c>
      <c r="B131" s="41">
        <v>1.0</v>
      </c>
      <c r="C131" s="41" t="s">
        <v>904</v>
      </c>
      <c r="D131" s="41" t="s">
        <v>873</v>
      </c>
      <c r="E131" s="41">
        <v>1.0</v>
      </c>
      <c r="F131" s="9" t="s">
        <v>905</v>
      </c>
      <c r="G131" s="41" t="s">
        <v>875</v>
      </c>
      <c r="H131" s="41" t="s">
        <v>710</v>
      </c>
    </row>
    <row r="132" ht="25.5" customHeight="1">
      <c r="A132" s="36" t="s">
        <v>701</v>
      </c>
      <c r="B132" s="47">
        <v>2.0</v>
      </c>
      <c r="C132" s="16" t="s">
        <v>906</v>
      </c>
      <c r="D132" s="47" t="s">
        <v>873</v>
      </c>
      <c r="E132" s="47">
        <v>1.0</v>
      </c>
      <c r="F132" s="16" t="s">
        <v>907</v>
      </c>
      <c r="G132" s="47" t="s">
        <v>908</v>
      </c>
      <c r="H132" s="47" t="s">
        <v>710</v>
      </c>
    </row>
    <row r="133" ht="36.75" customHeight="1">
      <c r="A133" s="31" t="s">
        <v>701</v>
      </c>
      <c r="B133" s="41">
        <v>3.0</v>
      </c>
      <c r="C133" s="41" t="s">
        <v>909</v>
      </c>
      <c r="D133" s="41" t="s">
        <v>873</v>
      </c>
      <c r="E133" s="41">
        <v>1.0</v>
      </c>
      <c r="F133" s="9" t="s">
        <v>910</v>
      </c>
      <c r="G133" s="41" t="s">
        <v>881</v>
      </c>
      <c r="H133" s="41" t="s">
        <v>710</v>
      </c>
    </row>
    <row r="134" ht="25.5" customHeight="1">
      <c r="A134" s="36" t="s">
        <v>701</v>
      </c>
      <c r="B134" s="47">
        <v>4.0</v>
      </c>
      <c r="C134" s="47" t="s">
        <v>911</v>
      </c>
      <c r="D134" s="47" t="s">
        <v>873</v>
      </c>
      <c r="E134" s="47">
        <v>1.0</v>
      </c>
      <c r="F134" s="16" t="s">
        <v>912</v>
      </c>
      <c r="G134" s="47" t="s">
        <v>881</v>
      </c>
      <c r="H134" s="47" t="s">
        <v>710</v>
      </c>
    </row>
    <row r="135" ht="25.5" customHeight="1">
      <c r="A135" s="31" t="s">
        <v>701</v>
      </c>
      <c r="B135" s="41">
        <v>5.0</v>
      </c>
      <c r="C135" s="9" t="s">
        <v>913</v>
      </c>
      <c r="D135" s="41" t="s">
        <v>873</v>
      </c>
      <c r="E135" s="41">
        <v>1.0</v>
      </c>
      <c r="F135" s="9" t="s">
        <v>914</v>
      </c>
      <c r="G135" s="41" t="s">
        <v>881</v>
      </c>
      <c r="H135" s="41" t="s">
        <v>710</v>
      </c>
    </row>
    <row r="136" ht="25.5" customHeight="1">
      <c r="A136" s="36" t="s">
        <v>701</v>
      </c>
      <c r="B136" s="47">
        <v>6.0</v>
      </c>
      <c r="C136" s="47" t="s">
        <v>915</v>
      </c>
      <c r="D136" s="47" t="s">
        <v>873</v>
      </c>
      <c r="E136" s="47">
        <v>1.0</v>
      </c>
      <c r="F136" s="16" t="s">
        <v>916</v>
      </c>
      <c r="G136" s="47" t="s">
        <v>898</v>
      </c>
      <c r="H136" s="47" t="s">
        <v>710</v>
      </c>
    </row>
    <row r="137" ht="25.5" customHeight="1">
      <c r="A137" s="31" t="s">
        <v>701</v>
      </c>
      <c r="B137" s="41">
        <v>7.0</v>
      </c>
      <c r="C137" s="41" t="s">
        <v>917</v>
      </c>
      <c r="D137" s="41" t="s">
        <v>889</v>
      </c>
      <c r="E137" s="41">
        <v>9.0</v>
      </c>
      <c r="F137" s="9" t="s">
        <v>918</v>
      </c>
      <c r="G137" s="41" t="s">
        <v>875</v>
      </c>
      <c r="H137" s="41" t="s">
        <v>710</v>
      </c>
    </row>
    <row r="138" ht="25.5" customHeight="1">
      <c r="A138" s="36" t="s">
        <v>701</v>
      </c>
      <c r="B138" s="47">
        <v>8.0</v>
      </c>
      <c r="C138" s="16" t="s">
        <v>919</v>
      </c>
      <c r="D138" s="47" t="s">
        <v>889</v>
      </c>
      <c r="E138" s="47">
        <v>9.0</v>
      </c>
      <c r="F138" s="16" t="s">
        <v>920</v>
      </c>
      <c r="G138" s="47" t="s">
        <v>875</v>
      </c>
      <c r="H138" s="47" t="s">
        <v>710</v>
      </c>
    </row>
    <row r="139" ht="36.75" customHeight="1">
      <c r="A139" s="31" t="s">
        <v>701</v>
      </c>
      <c r="B139" s="41">
        <v>9.0</v>
      </c>
      <c r="C139" s="41" t="s">
        <v>921</v>
      </c>
      <c r="D139" s="41" t="s">
        <v>889</v>
      </c>
      <c r="E139" s="41">
        <v>9.0</v>
      </c>
      <c r="F139" s="9" t="s">
        <v>922</v>
      </c>
      <c r="G139" s="41" t="s">
        <v>881</v>
      </c>
      <c r="H139" s="41" t="s">
        <v>710</v>
      </c>
    </row>
    <row r="140" ht="25.5" customHeight="1">
      <c r="A140" s="36" t="s">
        <v>701</v>
      </c>
      <c r="B140" s="47">
        <v>10.0</v>
      </c>
      <c r="C140" s="16" t="s">
        <v>923</v>
      </c>
      <c r="D140" s="47" t="s">
        <v>889</v>
      </c>
      <c r="E140" s="47">
        <v>9.0</v>
      </c>
      <c r="F140" s="16" t="s">
        <v>924</v>
      </c>
      <c r="G140" s="47" t="s">
        <v>878</v>
      </c>
      <c r="H140" s="47" t="s">
        <v>687</v>
      </c>
    </row>
    <row r="141" ht="25.5" customHeight="1">
      <c r="A141" s="31" t="s">
        <v>701</v>
      </c>
      <c r="B141" s="41">
        <v>11.0</v>
      </c>
      <c r="C141" s="41" t="s">
        <v>925</v>
      </c>
      <c r="D141" s="41" t="s">
        <v>900</v>
      </c>
      <c r="E141" s="41">
        <v>17.0</v>
      </c>
      <c r="F141" s="9" t="s">
        <v>926</v>
      </c>
      <c r="G141" s="41" t="s">
        <v>878</v>
      </c>
      <c r="H141" s="41" t="s">
        <v>710</v>
      </c>
    </row>
    <row r="142" ht="25.5" customHeight="1">
      <c r="A142" s="36" t="s">
        <v>701</v>
      </c>
      <c r="B142" s="47">
        <v>12.0</v>
      </c>
      <c r="C142" s="47" t="s">
        <v>927</v>
      </c>
      <c r="D142" s="47" t="s">
        <v>900</v>
      </c>
      <c r="E142" s="47">
        <v>17.0</v>
      </c>
      <c r="F142" s="16" t="s">
        <v>928</v>
      </c>
      <c r="G142" s="47" t="s">
        <v>898</v>
      </c>
      <c r="H142" s="47" t="s">
        <v>687</v>
      </c>
    </row>
    <row r="143" ht="25.5" customHeight="1">
      <c r="A143" s="31" t="s">
        <v>719</v>
      </c>
      <c r="B143" s="41">
        <v>1.0</v>
      </c>
      <c r="C143" s="41" t="s">
        <v>929</v>
      </c>
      <c r="D143" s="41" t="s">
        <v>873</v>
      </c>
      <c r="E143" s="41">
        <v>1.0</v>
      </c>
      <c r="F143" s="9" t="s">
        <v>930</v>
      </c>
      <c r="G143" s="41" t="s">
        <v>881</v>
      </c>
      <c r="H143" s="41" t="s">
        <v>710</v>
      </c>
    </row>
    <row r="144" ht="25.5" customHeight="1">
      <c r="A144" s="36" t="s">
        <v>719</v>
      </c>
      <c r="B144" s="47">
        <v>2.0</v>
      </c>
      <c r="C144" s="47" t="s">
        <v>931</v>
      </c>
      <c r="D144" s="47" t="s">
        <v>873</v>
      </c>
      <c r="E144" s="47">
        <v>1.0</v>
      </c>
      <c r="F144" s="16" t="s">
        <v>932</v>
      </c>
      <c r="G144" s="47" t="s">
        <v>881</v>
      </c>
      <c r="H144" s="47" t="s">
        <v>710</v>
      </c>
    </row>
    <row r="145" ht="25.5" customHeight="1">
      <c r="A145" s="31" t="s">
        <v>719</v>
      </c>
      <c r="B145" s="41">
        <v>3.0</v>
      </c>
      <c r="C145" s="41" t="s">
        <v>933</v>
      </c>
      <c r="D145" s="41" t="s">
        <v>873</v>
      </c>
      <c r="E145" s="41">
        <v>1.0</v>
      </c>
      <c r="F145" s="9" t="s">
        <v>934</v>
      </c>
      <c r="G145" s="41" t="s">
        <v>881</v>
      </c>
      <c r="H145" s="41" t="s">
        <v>710</v>
      </c>
    </row>
    <row r="146" ht="25.5" customHeight="1">
      <c r="A146" s="36" t="s">
        <v>719</v>
      </c>
      <c r="B146" s="47">
        <v>4.0</v>
      </c>
      <c r="C146" s="47" t="s">
        <v>935</v>
      </c>
      <c r="D146" s="47" t="s">
        <v>873</v>
      </c>
      <c r="E146" s="47">
        <v>1.0</v>
      </c>
      <c r="F146" s="16" t="s">
        <v>936</v>
      </c>
      <c r="G146" s="47" t="s">
        <v>898</v>
      </c>
      <c r="H146" s="47" t="s">
        <v>710</v>
      </c>
    </row>
    <row r="147" ht="25.5" customHeight="1">
      <c r="A147" s="31" t="s">
        <v>719</v>
      </c>
      <c r="B147" s="41">
        <v>5.0</v>
      </c>
      <c r="C147" s="41" t="s">
        <v>937</v>
      </c>
      <c r="D147" s="41" t="s">
        <v>873</v>
      </c>
      <c r="E147" s="41">
        <v>1.0</v>
      </c>
      <c r="F147" s="9" t="s">
        <v>938</v>
      </c>
      <c r="G147" s="41" t="s">
        <v>881</v>
      </c>
      <c r="H147" s="41" t="s">
        <v>710</v>
      </c>
    </row>
    <row r="148" ht="25.5" customHeight="1">
      <c r="A148" s="36" t="s">
        <v>719</v>
      </c>
      <c r="B148" s="47">
        <v>6.0</v>
      </c>
      <c r="C148" s="16" t="s">
        <v>939</v>
      </c>
      <c r="D148" s="47" t="s">
        <v>873</v>
      </c>
      <c r="E148" s="47">
        <v>1.0</v>
      </c>
      <c r="F148" s="16" t="s">
        <v>940</v>
      </c>
      <c r="G148" s="47" t="s">
        <v>895</v>
      </c>
      <c r="H148" s="47" t="s">
        <v>710</v>
      </c>
    </row>
    <row r="149" ht="25.5" customHeight="1">
      <c r="A149" s="31" t="s">
        <v>719</v>
      </c>
      <c r="B149" s="41">
        <v>7.0</v>
      </c>
      <c r="C149" s="41" t="s">
        <v>941</v>
      </c>
      <c r="D149" s="41" t="s">
        <v>889</v>
      </c>
      <c r="E149" s="41">
        <v>9.0</v>
      </c>
      <c r="F149" s="9" t="s">
        <v>942</v>
      </c>
      <c r="G149" s="41" t="s">
        <v>881</v>
      </c>
      <c r="H149" s="41" t="s">
        <v>710</v>
      </c>
    </row>
    <row r="150" ht="25.5" customHeight="1">
      <c r="A150" s="36" t="s">
        <v>719</v>
      </c>
      <c r="B150" s="47">
        <v>8.0</v>
      </c>
      <c r="C150" s="47" t="s">
        <v>943</v>
      </c>
      <c r="D150" s="47" t="s">
        <v>889</v>
      </c>
      <c r="E150" s="47">
        <v>9.0</v>
      </c>
      <c r="F150" s="16" t="s">
        <v>944</v>
      </c>
      <c r="G150" s="47" t="s">
        <v>881</v>
      </c>
      <c r="H150" s="47" t="s">
        <v>710</v>
      </c>
    </row>
    <row r="151" ht="25.5" customHeight="1">
      <c r="A151" s="31" t="s">
        <v>719</v>
      </c>
      <c r="B151" s="41">
        <v>9.0</v>
      </c>
      <c r="C151" s="9" t="s">
        <v>945</v>
      </c>
      <c r="D151" s="41" t="s">
        <v>889</v>
      </c>
      <c r="E151" s="41">
        <v>9.0</v>
      </c>
      <c r="F151" s="9" t="s">
        <v>946</v>
      </c>
      <c r="G151" s="41" t="s">
        <v>881</v>
      </c>
      <c r="H151" s="41" t="s">
        <v>710</v>
      </c>
    </row>
    <row r="152" ht="25.5" customHeight="1">
      <c r="A152" s="36" t="s">
        <v>719</v>
      </c>
      <c r="B152" s="47">
        <v>10.0</v>
      </c>
      <c r="C152" s="47" t="s">
        <v>947</v>
      </c>
      <c r="D152" s="47" t="s">
        <v>889</v>
      </c>
      <c r="E152" s="47">
        <v>9.0</v>
      </c>
      <c r="F152" s="16" t="s">
        <v>948</v>
      </c>
      <c r="G152" s="47" t="s">
        <v>898</v>
      </c>
      <c r="H152" s="47" t="s">
        <v>687</v>
      </c>
    </row>
    <row r="153" ht="25.5" customHeight="1">
      <c r="A153" s="31" t="s">
        <v>719</v>
      </c>
      <c r="B153" s="41">
        <v>11.0</v>
      </c>
      <c r="C153" s="41" t="s">
        <v>949</v>
      </c>
      <c r="D153" s="41" t="s">
        <v>900</v>
      </c>
      <c r="E153" s="41">
        <v>17.0</v>
      </c>
      <c r="F153" s="9" t="s">
        <v>950</v>
      </c>
      <c r="G153" s="41" t="s">
        <v>878</v>
      </c>
      <c r="H153" s="41" t="s">
        <v>710</v>
      </c>
    </row>
    <row r="154" ht="25.5" customHeight="1">
      <c r="A154" s="36" t="s">
        <v>719</v>
      </c>
      <c r="B154" s="47">
        <v>12.0</v>
      </c>
      <c r="C154" s="47" t="s">
        <v>951</v>
      </c>
      <c r="D154" s="47" t="s">
        <v>900</v>
      </c>
      <c r="E154" s="47">
        <v>17.0</v>
      </c>
      <c r="F154" s="16" t="s">
        <v>952</v>
      </c>
      <c r="G154" s="47" t="s">
        <v>878</v>
      </c>
      <c r="H154" s="47" t="s">
        <v>687</v>
      </c>
    </row>
    <row r="155" ht="25.5" customHeight="1">
      <c r="A155" s="31" t="s">
        <v>734</v>
      </c>
      <c r="B155" s="41">
        <v>1.0</v>
      </c>
      <c r="C155" s="41" t="s">
        <v>953</v>
      </c>
      <c r="D155" s="41" t="s">
        <v>873</v>
      </c>
      <c r="E155" s="41">
        <v>1.0</v>
      </c>
      <c r="F155" s="9" t="s">
        <v>954</v>
      </c>
      <c r="G155" s="41" t="s">
        <v>881</v>
      </c>
      <c r="H155" s="41" t="s">
        <v>710</v>
      </c>
    </row>
    <row r="156" ht="25.5" customHeight="1">
      <c r="A156" s="36" t="s">
        <v>734</v>
      </c>
      <c r="B156" s="47">
        <v>2.0</v>
      </c>
      <c r="C156" s="16" t="s">
        <v>955</v>
      </c>
      <c r="D156" s="47" t="s">
        <v>873</v>
      </c>
      <c r="E156" s="47">
        <v>1.0</v>
      </c>
      <c r="F156" s="16" t="s">
        <v>956</v>
      </c>
      <c r="G156" s="47" t="s">
        <v>881</v>
      </c>
      <c r="H156" s="47" t="s">
        <v>710</v>
      </c>
    </row>
    <row r="157" ht="25.5" customHeight="1">
      <c r="A157" s="31" t="s">
        <v>734</v>
      </c>
      <c r="B157" s="41">
        <v>3.0</v>
      </c>
      <c r="C157" s="41" t="s">
        <v>957</v>
      </c>
      <c r="D157" s="41" t="s">
        <v>873</v>
      </c>
      <c r="E157" s="41">
        <v>1.0</v>
      </c>
      <c r="F157" s="9" t="s">
        <v>958</v>
      </c>
      <c r="G157" s="41" t="s">
        <v>881</v>
      </c>
      <c r="H157" s="41" t="s">
        <v>710</v>
      </c>
    </row>
    <row r="158" ht="25.5" customHeight="1">
      <c r="A158" s="36" t="s">
        <v>734</v>
      </c>
      <c r="B158" s="47">
        <v>4.0</v>
      </c>
      <c r="C158" s="16" t="s">
        <v>959</v>
      </c>
      <c r="D158" s="47" t="s">
        <v>873</v>
      </c>
      <c r="E158" s="47">
        <v>1.0</v>
      </c>
      <c r="F158" s="16" t="s">
        <v>960</v>
      </c>
      <c r="G158" s="47" t="s">
        <v>875</v>
      </c>
      <c r="H158" s="47" t="s">
        <v>710</v>
      </c>
    </row>
    <row r="159" ht="36.75" customHeight="1">
      <c r="A159" s="31" t="s">
        <v>734</v>
      </c>
      <c r="B159" s="41">
        <v>5.0</v>
      </c>
      <c r="C159" s="9" t="s">
        <v>961</v>
      </c>
      <c r="D159" s="41" t="s">
        <v>873</v>
      </c>
      <c r="E159" s="41">
        <v>1.0</v>
      </c>
      <c r="F159" s="9" t="s">
        <v>962</v>
      </c>
      <c r="G159" s="41" t="s">
        <v>881</v>
      </c>
      <c r="H159" s="41" t="s">
        <v>710</v>
      </c>
    </row>
    <row r="160" ht="25.5" customHeight="1">
      <c r="A160" s="36" t="s">
        <v>734</v>
      </c>
      <c r="B160" s="47">
        <v>6.0</v>
      </c>
      <c r="C160" s="47" t="s">
        <v>963</v>
      </c>
      <c r="D160" s="47" t="s">
        <v>873</v>
      </c>
      <c r="E160" s="47">
        <v>1.0</v>
      </c>
      <c r="F160" s="16" t="s">
        <v>964</v>
      </c>
      <c r="G160" s="47" t="s">
        <v>881</v>
      </c>
      <c r="H160" s="47" t="s">
        <v>710</v>
      </c>
    </row>
    <row r="161" ht="25.5" customHeight="1">
      <c r="A161" s="31" t="s">
        <v>734</v>
      </c>
      <c r="B161" s="41">
        <v>7.0</v>
      </c>
      <c r="C161" s="41" t="s">
        <v>965</v>
      </c>
      <c r="D161" s="41" t="s">
        <v>889</v>
      </c>
      <c r="E161" s="41">
        <v>9.0</v>
      </c>
      <c r="F161" s="9" t="s">
        <v>966</v>
      </c>
      <c r="G161" s="41" t="s">
        <v>881</v>
      </c>
      <c r="H161" s="41" t="s">
        <v>710</v>
      </c>
    </row>
    <row r="162" ht="25.5" customHeight="1">
      <c r="A162" s="36" t="s">
        <v>734</v>
      </c>
      <c r="B162" s="47">
        <v>8.0</v>
      </c>
      <c r="C162" s="16" t="s">
        <v>967</v>
      </c>
      <c r="D162" s="47" t="s">
        <v>889</v>
      </c>
      <c r="E162" s="47">
        <v>9.0</v>
      </c>
      <c r="F162" s="16" t="s">
        <v>968</v>
      </c>
      <c r="G162" s="47" t="s">
        <v>881</v>
      </c>
      <c r="H162" s="47" t="s">
        <v>710</v>
      </c>
    </row>
    <row r="163" ht="25.5" customHeight="1">
      <c r="A163" s="31" t="s">
        <v>734</v>
      </c>
      <c r="B163" s="41">
        <v>9.0</v>
      </c>
      <c r="C163" s="9" t="s">
        <v>969</v>
      </c>
      <c r="D163" s="41" t="s">
        <v>889</v>
      </c>
      <c r="E163" s="41">
        <v>9.0</v>
      </c>
      <c r="F163" s="9" t="s">
        <v>970</v>
      </c>
      <c r="G163" s="41" t="s">
        <v>895</v>
      </c>
      <c r="H163" s="41" t="s">
        <v>710</v>
      </c>
    </row>
    <row r="164" ht="25.5" customHeight="1">
      <c r="A164" s="36" t="s">
        <v>734</v>
      </c>
      <c r="B164" s="47">
        <v>10.0</v>
      </c>
      <c r="C164" s="47" t="s">
        <v>971</v>
      </c>
      <c r="D164" s="47" t="s">
        <v>889</v>
      </c>
      <c r="E164" s="47">
        <v>9.0</v>
      </c>
      <c r="F164" s="16" t="s">
        <v>972</v>
      </c>
      <c r="G164" s="47" t="s">
        <v>881</v>
      </c>
      <c r="H164" s="47" t="s">
        <v>687</v>
      </c>
    </row>
    <row r="165" ht="25.5" customHeight="1">
      <c r="A165" s="31" t="s">
        <v>734</v>
      </c>
      <c r="B165" s="41">
        <v>11.0</v>
      </c>
      <c r="C165" s="9" t="s">
        <v>973</v>
      </c>
      <c r="D165" s="41" t="s">
        <v>900</v>
      </c>
      <c r="E165" s="41">
        <v>17.0</v>
      </c>
      <c r="F165" s="9" t="s">
        <v>974</v>
      </c>
      <c r="G165" s="41" t="s">
        <v>878</v>
      </c>
      <c r="H165" s="41" t="s">
        <v>710</v>
      </c>
    </row>
    <row r="166" ht="25.5" customHeight="1">
      <c r="A166" s="36" t="s">
        <v>734</v>
      </c>
      <c r="B166" s="47">
        <v>12.0</v>
      </c>
      <c r="C166" s="47" t="s">
        <v>975</v>
      </c>
      <c r="D166" s="47" t="s">
        <v>900</v>
      </c>
      <c r="E166" s="47">
        <v>17.0</v>
      </c>
      <c r="F166" s="16" t="s">
        <v>976</v>
      </c>
      <c r="G166" s="47" t="s">
        <v>898</v>
      </c>
      <c r="H166" s="47" t="s">
        <v>687</v>
      </c>
    </row>
    <row r="167" ht="36.75" customHeight="1">
      <c r="A167" s="31" t="s">
        <v>749</v>
      </c>
      <c r="B167" s="41">
        <v>1.0</v>
      </c>
      <c r="C167" s="41" t="s">
        <v>977</v>
      </c>
      <c r="D167" s="41" t="s">
        <v>873</v>
      </c>
      <c r="E167" s="41">
        <v>1.0</v>
      </c>
      <c r="F167" s="9" t="s">
        <v>978</v>
      </c>
      <c r="G167" s="41" t="s">
        <v>881</v>
      </c>
      <c r="H167" s="41" t="s">
        <v>710</v>
      </c>
    </row>
    <row r="168" ht="36.75" customHeight="1">
      <c r="A168" s="36" t="s">
        <v>749</v>
      </c>
      <c r="B168" s="47">
        <v>2.0</v>
      </c>
      <c r="C168" s="47" t="s">
        <v>979</v>
      </c>
      <c r="D168" s="47" t="s">
        <v>873</v>
      </c>
      <c r="E168" s="47">
        <v>1.0</v>
      </c>
      <c r="F168" s="16" t="s">
        <v>980</v>
      </c>
      <c r="G168" s="47" t="s">
        <v>881</v>
      </c>
      <c r="H168" s="47" t="s">
        <v>710</v>
      </c>
    </row>
    <row r="169" ht="25.5" customHeight="1">
      <c r="A169" s="31" t="s">
        <v>749</v>
      </c>
      <c r="B169" s="41">
        <v>3.0</v>
      </c>
      <c r="C169" s="9" t="s">
        <v>981</v>
      </c>
      <c r="D169" s="41" t="s">
        <v>873</v>
      </c>
      <c r="E169" s="41">
        <v>1.0</v>
      </c>
      <c r="F169" s="9" t="s">
        <v>982</v>
      </c>
      <c r="G169" s="41" t="s">
        <v>875</v>
      </c>
      <c r="H169" s="41" t="s">
        <v>710</v>
      </c>
    </row>
    <row r="170" ht="25.5" customHeight="1">
      <c r="A170" s="36" t="s">
        <v>749</v>
      </c>
      <c r="B170" s="47">
        <v>4.0</v>
      </c>
      <c r="C170" s="16" t="s">
        <v>983</v>
      </c>
      <c r="D170" s="47" t="s">
        <v>873</v>
      </c>
      <c r="E170" s="47">
        <v>1.0</v>
      </c>
      <c r="F170" s="16" t="s">
        <v>984</v>
      </c>
      <c r="G170" s="47" t="s">
        <v>881</v>
      </c>
      <c r="H170" s="47" t="s">
        <v>710</v>
      </c>
    </row>
    <row r="171" ht="25.5" customHeight="1">
      <c r="A171" s="31" t="s">
        <v>749</v>
      </c>
      <c r="B171" s="41">
        <v>5.0</v>
      </c>
      <c r="C171" s="9" t="s">
        <v>985</v>
      </c>
      <c r="D171" s="41" t="s">
        <v>873</v>
      </c>
      <c r="E171" s="41">
        <v>1.0</v>
      </c>
      <c r="F171" s="9" t="s">
        <v>986</v>
      </c>
      <c r="G171" s="41" t="s">
        <v>987</v>
      </c>
      <c r="H171" s="41" t="s">
        <v>710</v>
      </c>
    </row>
    <row r="172" ht="25.5" customHeight="1">
      <c r="A172" s="36" t="s">
        <v>749</v>
      </c>
      <c r="B172" s="47">
        <v>6.0</v>
      </c>
      <c r="C172" s="16" t="s">
        <v>988</v>
      </c>
      <c r="D172" s="47" t="s">
        <v>873</v>
      </c>
      <c r="E172" s="47">
        <v>1.0</v>
      </c>
      <c r="F172" s="16" t="s">
        <v>989</v>
      </c>
      <c r="G172" s="47" t="s">
        <v>881</v>
      </c>
      <c r="H172" s="47" t="s">
        <v>710</v>
      </c>
    </row>
    <row r="173" ht="25.5" customHeight="1">
      <c r="A173" s="31" t="s">
        <v>749</v>
      </c>
      <c r="B173" s="41">
        <v>7.0</v>
      </c>
      <c r="C173" s="9" t="s">
        <v>990</v>
      </c>
      <c r="D173" s="41" t="s">
        <v>889</v>
      </c>
      <c r="E173" s="41">
        <v>9.0</v>
      </c>
      <c r="F173" s="9" t="s">
        <v>991</v>
      </c>
      <c r="G173" s="41" t="s">
        <v>881</v>
      </c>
      <c r="H173" s="41" t="s">
        <v>710</v>
      </c>
    </row>
    <row r="174" ht="25.5" customHeight="1">
      <c r="A174" s="36" t="s">
        <v>749</v>
      </c>
      <c r="B174" s="47">
        <v>8.0</v>
      </c>
      <c r="C174" s="47" t="s">
        <v>992</v>
      </c>
      <c r="D174" s="47" t="s">
        <v>889</v>
      </c>
      <c r="E174" s="47">
        <v>9.0</v>
      </c>
      <c r="F174" s="16" t="s">
        <v>993</v>
      </c>
      <c r="G174" s="47" t="s">
        <v>875</v>
      </c>
      <c r="H174" s="47" t="s">
        <v>710</v>
      </c>
    </row>
    <row r="175" ht="25.5" customHeight="1">
      <c r="A175" s="31" t="s">
        <v>749</v>
      </c>
      <c r="B175" s="41">
        <v>9.0</v>
      </c>
      <c r="C175" s="41" t="s">
        <v>994</v>
      </c>
      <c r="D175" s="41" t="s">
        <v>889</v>
      </c>
      <c r="E175" s="41">
        <v>9.0</v>
      </c>
      <c r="F175" s="9" t="s">
        <v>995</v>
      </c>
      <c r="G175" s="41" t="s">
        <v>881</v>
      </c>
      <c r="H175" s="41" t="s">
        <v>710</v>
      </c>
    </row>
    <row r="176" ht="25.5" customHeight="1">
      <c r="A176" s="36" t="s">
        <v>749</v>
      </c>
      <c r="B176" s="47">
        <v>10.0</v>
      </c>
      <c r="C176" s="16" t="s">
        <v>996</v>
      </c>
      <c r="D176" s="47" t="s">
        <v>889</v>
      </c>
      <c r="E176" s="47">
        <v>9.0</v>
      </c>
      <c r="F176" s="16" t="s">
        <v>997</v>
      </c>
      <c r="G176" s="47" t="s">
        <v>878</v>
      </c>
      <c r="H176" s="47" t="s">
        <v>687</v>
      </c>
    </row>
    <row r="177" ht="36.75" customHeight="1">
      <c r="A177" s="31" t="s">
        <v>749</v>
      </c>
      <c r="B177" s="41">
        <v>11.0</v>
      </c>
      <c r="C177" s="9" t="s">
        <v>998</v>
      </c>
      <c r="D177" s="41" t="s">
        <v>900</v>
      </c>
      <c r="E177" s="41">
        <v>17.0</v>
      </c>
      <c r="F177" s="9" t="s">
        <v>999</v>
      </c>
      <c r="G177" s="41" t="s">
        <v>878</v>
      </c>
      <c r="H177" s="41" t="s">
        <v>710</v>
      </c>
    </row>
    <row r="178" ht="25.5" customHeight="1">
      <c r="A178" s="36" t="s">
        <v>749</v>
      </c>
      <c r="B178" s="47">
        <v>12.0</v>
      </c>
      <c r="C178" s="16" t="s">
        <v>1000</v>
      </c>
      <c r="D178" s="47" t="s">
        <v>900</v>
      </c>
      <c r="E178" s="47">
        <v>17.0</v>
      </c>
      <c r="F178" s="16" t="s">
        <v>1001</v>
      </c>
      <c r="G178" s="47" t="s">
        <v>878</v>
      </c>
      <c r="H178" s="47" t="s">
        <v>687</v>
      </c>
    </row>
    <row r="179" ht="25.5" customHeight="1">
      <c r="A179" s="31" t="s">
        <v>762</v>
      </c>
      <c r="B179" s="41">
        <v>1.0</v>
      </c>
      <c r="C179" s="9" t="s">
        <v>1002</v>
      </c>
      <c r="D179" s="41" t="s">
        <v>873</v>
      </c>
      <c r="E179" s="41">
        <v>1.0</v>
      </c>
      <c r="F179" s="9" t="s">
        <v>1003</v>
      </c>
      <c r="G179" s="41" t="s">
        <v>881</v>
      </c>
      <c r="H179" s="41" t="s">
        <v>710</v>
      </c>
    </row>
    <row r="180" ht="25.5" customHeight="1">
      <c r="A180" s="36" t="s">
        <v>762</v>
      </c>
      <c r="B180" s="47">
        <v>2.0</v>
      </c>
      <c r="C180" s="47" t="s">
        <v>1004</v>
      </c>
      <c r="D180" s="47" t="s">
        <v>873</v>
      </c>
      <c r="E180" s="47">
        <v>1.0</v>
      </c>
      <c r="F180" s="16" t="s">
        <v>1005</v>
      </c>
      <c r="G180" s="47" t="s">
        <v>898</v>
      </c>
      <c r="H180" s="47" t="s">
        <v>710</v>
      </c>
    </row>
    <row r="181" ht="25.5" customHeight="1">
      <c r="A181" s="31" t="s">
        <v>762</v>
      </c>
      <c r="B181" s="41">
        <v>3.0</v>
      </c>
      <c r="C181" s="9" t="s">
        <v>1006</v>
      </c>
      <c r="D181" s="41" t="s">
        <v>873</v>
      </c>
      <c r="E181" s="41">
        <v>1.0</v>
      </c>
      <c r="F181" s="41" t="s">
        <v>1007</v>
      </c>
      <c r="G181" s="41" t="s">
        <v>881</v>
      </c>
      <c r="H181" s="41" t="s">
        <v>710</v>
      </c>
    </row>
    <row r="182" ht="25.5" customHeight="1">
      <c r="A182" s="36" t="s">
        <v>762</v>
      </c>
      <c r="B182" s="47">
        <v>4.0</v>
      </c>
      <c r="C182" s="47" t="s">
        <v>1008</v>
      </c>
      <c r="D182" s="47" t="s">
        <v>873</v>
      </c>
      <c r="E182" s="47">
        <v>1.0</v>
      </c>
      <c r="F182" s="16" t="s">
        <v>1009</v>
      </c>
      <c r="G182" s="47" t="s">
        <v>875</v>
      </c>
      <c r="H182" s="47" t="s">
        <v>710</v>
      </c>
    </row>
    <row r="183" ht="25.5" customHeight="1">
      <c r="A183" s="31" t="s">
        <v>762</v>
      </c>
      <c r="B183" s="41">
        <v>5.0</v>
      </c>
      <c r="C183" s="41" t="s">
        <v>1010</v>
      </c>
      <c r="D183" s="41" t="s">
        <v>873</v>
      </c>
      <c r="E183" s="41">
        <v>1.0</v>
      </c>
      <c r="F183" s="9" t="s">
        <v>1011</v>
      </c>
      <c r="G183" s="41" t="s">
        <v>881</v>
      </c>
      <c r="H183" s="41" t="s">
        <v>710</v>
      </c>
    </row>
    <row r="184" ht="25.5" customHeight="1">
      <c r="A184" s="36" t="s">
        <v>762</v>
      </c>
      <c r="B184" s="47">
        <v>6.0</v>
      </c>
      <c r="C184" s="47" t="s">
        <v>1012</v>
      </c>
      <c r="D184" s="47" t="s">
        <v>873</v>
      </c>
      <c r="E184" s="47">
        <v>1.0</v>
      </c>
      <c r="F184" s="16" t="s">
        <v>1013</v>
      </c>
      <c r="G184" s="47" t="s">
        <v>1014</v>
      </c>
      <c r="H184" s="47" t="s">
        <v>710</v>
      </c>
    </row>
    <row r="185" ht="25.5" customHeight="1">
      <c r="A185" s="31" t="s">
        <v>762</v>
      </c>
      <c r="B185" s="41">
        <v>7.0</v>
      </c>
      <c r="C185" s="41" t="s">
        <v>1015</v>
      </c>
      <c r="D185" s="41" t="s">
        <v>889</v>
      </c>
      <c r="E185" s="41">
        <v>9.0</v>
      </c>
      <c r="F185" s="9" t="s">
        <v>1016</v>
      </c>
      <c r="G185" s="41" t="s">
        <v>881</v>
      </c>
      <c r="H185" s="41" t="s">
        <v>710</v>
      </c>
    </row>
    <row r="186" ht="25.5" customHeight="1">
      <c r="A186" s="36" t="s">
        <v>762</v>
      </c>
      <c r="B186" s="47">
        <v>8.0</v>
      </c>
      <c r="C186" s="47" t="s">
        <v>1017</v>
      </c>
      <c r="D186" s="47" t="s">
        <v>889</v>
      </c>
      <c r="E186" s="47">
        <v>9.0</v>
      </c>
      <c r="F186" s="16" t="s">
        <v>1018</v>
      </c>
      <c r="G186" s="47" t="s">
        <v>881</v>
      </c>
      <c r="H186" s="47" t="s">
        <v>710</v>
      </c>
    </row>
    <row r="187" ht="25.5" customHeight="1">
      <c r="A187" s="31" t="s">
        <v>762</v>
      </c>
      <c r="B187" s="41">
        <v>9.0</v>
      </c>
      <c r="C187" s="41" t="s">
        <v>1019</v>
      </c>
      <c r="D187" s="41" t="s">
        <v>889</v>
      </c>
      <c r="E187" s="41">
        <v>9.0</v>
      </c>
      <c r="F187" s="9" t="s">
        <v>1020</v>
      </c>
      <c r="G187" s="41" t="s">
        <v>881</v>
      </c>
      <c r="H187" s="41" t="s">
        <v>710</v>
      </c>
    </row>
    <row r="188" ht="25.5" customHeight="1">
      <c r="A188" s="36" t="s">
        <v>762</v>
      </c>
      <c r="B188" s="47">
        <v>10.0</v>
      </c>
      <c r="C188" s="47" t="s">
        <v>1022</v>
      </c>
      <c r="D188" s="47" t="s">
        <v>889</v>
      </c>
      <c r="E188" s="47">
        <v>9.0</v>
      </c>
      <c r="F188" s="16" t="s">
        <v>1023</v>
      </c>
      <c r="G188" s="47" t="s">
        <v>878</v>
      </c>
      <c r="H188" s="47" t="s">
        <v>710</v>
      </c>
    </row>
    <row r="189" ht="25.5" customHeight="1">
      <c r="A189" s="31" t="s">
        <v>762</v>
      </c>
      <c r="B189" s="41">
        <v>11.0</v>
      </c>
      <c r="C189" s="41" t="s">
        <v>1024</v>
      </c>
      <c r="D189" s="41" t="s">
        <v>900</v>
      </c>
      <c r="E189" s="41">
        <v>17.0</v>
      </c>
      <c r="F189" s="9" t="s">
        <v>1025</v>
      </c>
      <c r="G189" s="41" t="s">
        <v>898</v>
      </c>
      <c r="H189" s="41" t="s">
        <v>710</v>
      </c>
    </row>
    <row r="190" ht="25.5" customHeight="1">
      <c r="A190" s="36" t="s">
        <v>762</v>
      </c>
      <c r="B190" s="47">
        <v>12.0</v>
      </c>
      <c r="C190" s="16" t="s">
        <v>1026</v>
      </c>
      <c r="D190" s="47" t="s">
        <v>900</v>
      </c>
      <c r="E190" s="47">
        <v>17.0</v>
      </c>
      <c r="F190" s="16" t="s">
        <v>1027</v>
      </c>
      <c r="G190" s="47" t="s">
        <v>878</v>
      </c>
      <c r="H190" s="47" t="s">
        <v>710</v>
      </c>
    </row>
    <row r="191" ht="25.5" customHeight="1">
      <c r="A191" s="31" t="s">
        <v>771</v>
      </c>
      <c r="B191" s="41">
        <v>1.0</v>
      </c>
      <c r="C191" s="41" t="s">
        <v>1031</v>
      </c>
      <c r="D191" s="41" t="s">
        <v>873</v>
      </c>
      <c r="E191" s="41">
        <v>1.0</v>
      </c>
      <c r="F191" s="9" t="s">
        <v>1034</v>
      </c>
      <c r="G191" s="41" t="s">
        <v>898</v>
      </c>
      <c r="H191" s="41" t="s">
        <v>710</v>
      </c>
    </row>
    <row r="192" ht="25.5" customHeight="1">
      <c r="A192" s="36" t="s">
        <v>771</v>
      </c>
      <c r="B192" s="47">
        <v>2.0</v>
      </c>
      <c r="C192" s="47" t="s">
        <v>1035</v>
      </c>
      <c r="D192" s="47" t="s">
        <v>873</v>
      </c>
      <c r="E192" s="47">
        <v>1.0</v>
      </c>
      <c r="F192" s="16" t="s">
        <v>1036</v>
      </c>
      <c r="G192" s="47" t="s">
        <v>898</v>
      </c>
      <c r="H192" s="47" t="s">
        <v>710</v>
      </c>
    </row>
    <row r="193" ht="25.5" customHeight="1">
      <c r="A193" s="31" t="s">
        <v>771</v>
      </c>
      <c r="B193" s="41">
        <v>3.0</v>
      </c>
      <c r="C193" s="41" t="s">
        <v>1037</v>
      </c>
      <c r="D193" s="41" t="s">
        <v>873</v>
      </c>
      <c r="E193" s="41">
        <v>1.0</v>
      </c>
      <c r="F193" s="9" t="s">
        <v>1038</v>
      </c>
      <c r="G193" s="41" t="s">
        <v>881</v>
      </c>
      <c r="H193" s="41" t="s">
        <v>710</v>
      </c>
    </row>
    <row r="194" ht="15.75" customHeight="1">
      <c r="A194" s="36" t="s">
        <v>771</v>
      </c>
      <c r="B194" s="47">
        <v>4.0</v>
      </c>
      <c r="C194" s="47" t="s">
        <v>1039</v>
      </c>
      <c r="D194" s="47" t="s">
        <v>873</v>
      </c>
      <c r="E194" s="47">
        <v>1.0</v>
      </c>
      <c r="F194" s="47" t="s">
        <v>1040</v>
      </c>
      <c r="G194" s="47" t="s">
        <v>881</v>
      </c>
      <c r="H194" s="47" t="s">
        <v>710</v>
      </c>
    </row>
    <row r="195" ht="25.5" customHeight="1">
      <c r="A195" s="31" t="s">
        <v>771</v>
      </c>
      <c r="B195" s="41">
        <v>5.0</v>
      </c>
      <c r="C195" s="41" t="s">
        <v>1041</v>
      </c>
      <c r="D195" s="41" t="s">
        <v>873</v>
      </c>
      <c r="E195" s="41">
        <v>1.0</v>
      </c>
      <c r="F195" s="9" t="s">
        <v>1042</v>
      </c>
      <c r="G195" s="41" t="s">
        <v>881</v>
      </c>
      <c r="H195" s="41" t="s">
        <v>710</v>
      </c>
    </row>
    <row r="196" ht="25.5" customHeight="1">
      <c r="A196" s="36" t="s">
        <v>771</v>
      </c>
      <c r="B196" s="47">
        <v>6.0</v>
      </c>
      <c r="C196" s="47" t="s">
        <v>1043</v>
      </c>
      <c r="D196" s="47" t="s">
        <v>873</v>
      </c>
      <c r="E196" s="47">
        <v>1.0</v>
      </c>
      <c r="F196" s="16" t="s">
        <v>1044</v>
      </c>
      <c r="G196" s="47" t="s">
        <v>898</v>
      </c>
      <c r="H196" s="47" t="s">
        <v>710</v>
      </c>
    </row>
    <row r="197" ht="25.5" customHeight="1">
      <c r="A197" s="31" t="s">
        <v>771</v>
      </c>
      <c r="B197" s="41">
        <v>7.0</v>
      </c>
      <c r="C197" s="41" t="s">
        <v>1045</v>
      </c>
      <c r="D197" s="41" t="s">
        <v>889</v>
      </c>
      <c r="E197" s="41">
        <v>9.0</v>
      </c>
      <c r="F197" s="9" t="s">
        <v>1046</v>
      </c>
      <c r="G197" s="41" t="s">
        <v>898</v>
      </c>
      <c r="H197" s="41" t="s">
        <v>710</v>
      </c>
    </row>
    <row r="198" ht="25.5" customHeight="1">
      <c r="A198" s="36" t="s">
        <v>771</v>
      </c>
      <c r="B198" s="47">
        <v>8.0</v>
      </c>
      <c r="C198" s="47" t="s">
        <v>1047</v>
      </c>
      <c r="D198" s="47" t="s">
        <v>889</v>
      </c>
      <c r="E198" s="47">
        <v>9.0</v>
      </c>
      <c r="F198" s="16" t="s">
        <v>1048</v>
      </c>
      <c r="G198" s="47" t="s">
        <v>881</v>
      </c>
      <c r="H198" s="47" t="s">
        <v>710</v>
      </c>
    </row>
    <row r="199" ht="25.5" customHeight="1">
      <c r="A199" s="31" t="s">
        <v>771</v>
      </c>
      <c r="B199" s="41">
        <v>9.0</v>
      </c>
      <c r="C199" s="41" t="s">
        <v>1049</v>
      </c>
      <c r="D199" s="41" t="s">
        <v>889</v>
      </c>
      <c r="E199" s="41">
        <v>9.0</v>
      </c>
      <c r="F199" s="9" t="s">
        <v>1050</v>
      </c>
      <c r="G199" s="41" t="s">
        <v>881</v>
      </c>
      <c r="H199" s="41" t="s">
        <v>710</v>
      </c>
    </row>
    <row r="200" ht="25.5" customHeight="1">
      <c r="A200" s="36" t="s">
        <v>771</v>
      </c>
      <c r="B200" s="47">
        <v>10.0</v>
      </c>
      <c r="C200" s="47" t="s">
        <v>1051</v>
      </c>
      <c r="D200" s="47" t="s">
        <v>889</v>
      </c>
      <c r="E200" s="47">
        <v>9.0</v>
      </c>
      <c r="F200" s="16" t="s">
        <v>1052</v>
      </c>
      <c r="G200" s="47" t="s">
        <v>898</v>
      </c>
      <c r="H200" s="47" t="s">
        <v>710</v>
      </c>
    </row>
    <row r="201" ht="25.5" customHeight="1">
      <c r="A201" s="31" t="s">
        <v>771</v>
      </c>
      <c r="B201" s="41">
        <v>11.0</v>
      </c>
      <c r="C201" s="41" t="s">
        <v>1053</v>
      </c>
      <c r="D201" s="41" t="s">
        <v>900</v>
      </c>
      <c r="E201" s="41">
        <v>17.0</v>
      </c>
      <c r="F201" s="9" t="s">
        <v>1054</v>
      </c>
      <c r="G201" s="41" t="s">
        <v>898</v>
      </c>
      <c r="H201" s="41" t="s">
        <v>710</v>
      </c>
    </row>
    <row r="202" ht="25.5" customHeight="1">
      <c r="A202" s="36" t="s">
        <v>771</v>
      </c>
      <c r="B202" s="47">
        <v>12.0</v>
      </c>
      <c r="C202" s="47" t="s">
        <v>1055</v>
      </c>
      <c r="D202" s="47" t="s">
        <v>900</v>
      </c>
      <c r="E202" s="47">
        <v>17.0</v>
      </c>
      <c r="F202" s="16" t="s">
        <v>1056</v>
      </c>
      <c r="G202" s="47" t="s">
        <v>878</v>
      </c>
      <c r="H202" s="47" t="s">
        <v>710</v>
      </c>
    </row>
    <row r="203" ht="15.75" customHeight="1">
      <c r="A203" s="31" t="s">
        <v>777</v>
      </c>
      <c r="B203" s="41">
        <v>1.0</v>
      </c>
      <c r="C203" s="41" t="s">
        <v>1057</v>
      </c>
      <c r="D203" s="41" t="s">
        <v>873</v>
      </c>
      <c r="E203" s="41">
        <v>1.0</v>
      </c>
      <c r="F203" s="41" t="s">
        <v>1058</v>
      </c>
      <c r="G203" s="41" t="s">
        <v>881</v>
      </c>
      <c r="H203" s="41" t="s">
        <v>710</v>
      </c>
    </row>
    <row r="204" ht="15.75" customHeight="1">
      <c r="A204" s="36" t="s">
        <v>777</v>
      </c>
      <c r="B204" s="47">
        <v>2.0</v>
      </c>
      <c r="C204" s="47" t="s">
        <v>1059</v>
      </c>
      <c r="D204" s="47" t="s">
        <v>873</v>
      </c>
      <c r="E204" s="47">
        <v>1.0</v>
      </c>
      <c r="F204" s="47" t="s">
        <v>1060</v>
      </c>
      <c r="G204" s="47" t="s">
        <v>875</v>
      </c>
      <c r="H204" s="47" t="s">
        <v>710</v>
      </c>
    </row>
    <row r="205" ht="25.5" customHeight="1">
      <c r="A205" s="31" t="s">
        <v>777</v>
      </c>
      <c r="B205" s="41">
        <v>3.0</v>
      </c>
      <c r="C205" s="41" t="s">
        <v>1061</v>
      </c>
      <c r="D205" s="41" t="s">
        <v>873</v>
      </c>
      <c r="E205" s="41">
        <v>1.0</v>
      </c>
      <c r="F205" s="9" t="s">
        <v>1062</v>
      </c>
      <c r="G205" s="41" t="s">
        <v>881</v>
      </c>
      <c r="H205" s="41" t="s">
        <v>710</v>
      </c>
    </row>
    <row r="206" ht="25.5" customHeight="1">
      <c r="A206" s="36" t="s">
        <v>777</v>
      </c>
      <c r="B206" s="47">
        <v>4.0</v>
      </c>
      <c r="C206" s="47" t="s">
        <v>1063</v>
      </c>
      <c r="D206" s="47" t="s">
        <v>873</v>
      </c>
      <c r="E206" s="47">
        <v>1.0</v>
      </c>
      <c r="F206" s="16" t="s">
        <v>1064</v>
      </c>
      <c r="G206" s="47" t="s">
        <v>881</v>
      </c>
      <c r="H206" s="47" t="s">
        <v>710</v>
      </c>
    </row>
    <row r="207" ht="25.5" customHeight="1">
      <c r="A207" s="31" t="s">
        <v>777</v>
      </c>
      <c r="B207" s="41">
        <v>5.0</v>
      </c>
      <c r="C207" s="41" t="s">
        <v>1065</v>
      </c>
      <c r="D207" s="41" t="s">
        <v>873</v>
      </c>
      <c r="E207" s="41">
        <v>1.0</v>
      </c>
      <c r="F207" s="9" t="s">
        <v>1066</v>
      </c>
      <c r="G207" s="41" t="s">
        <v>881</v>
      </c>
      <c r="H207" s="41" t="s">
        <v>710</v>
      </c>
    </row>
    <row r="208" ht="25.5" customHeight="1">
      <c r="A208" s="36" t="s">
        <v>777</v>
      </c>
      <c r="B208" s="47">
        <v>6.0</v>
      </c>
      <c r="C208" s="47" t="s">
        <v>1067</v>
      </c>
      <c r="D208" s="47" t="s">
        <v>873</v>
      </c>
      <c r="E208" s="47">
        <v>1.0</v>
      </c>
      <c r="F208" s="16" t="s">
        <v>1068</v>
      </c>
      <c r="G208" s="47" t="s">
        <v>881</v>
      </c>
      <c r="H208" s="47" t="s">
        <v>710</v>
      </c>
    </row>
    <row r="209" ht="25.5" customHeight="1">
      <c r="A209" s="31" t="s">
        <v>777</v>
      </c>
      <c r="B209" s="41">
        <v>7.0</v>
      </c>
      <c r="C209" s="9" t="s">
        <v>1069</v>
      </c>
      <c r="D209" s="41" t="s">
        <v>889</v>
      </c>
      <c r="E209" s="41">
        <v>9.0</v>
      </c>
      <c r="F209" s="9" t="s">
        <v>1070</v>
      </c>
      <c r="G209" s="41" t="s">
        <v>881</v>
      </c>
      <c r="H209" s="41" t="s">
        <v>710</v>
      </c>
    </row>
    <row r="210" ht="25.5" customHeight="1">
      <c r="A210" s="36" t="s">
        <v>777</v>
      </c>
      <c r="B210" s="47">
        <v>8.0</v>
      </c>
      <c r="C210" s="47" t="s">
        <v>1071</v>
      </c>
      <c r="D210" s="47" t="s">
        <v>889</v>
      </c>
      <c r="E210" s="47">
        <v>9.0</v>
      </c>
      <c r="F210" s="16" t="s">
        <v>1072</v>
      </c>
      <c r="G210" s="47" t="s">
        <v>881</v>
      </c>
      <c r="H210" s="47" t="s">
        <v>710</v>
      </c>
    </row>
    <row r="211" ht="25.5" customHeight="1">
      <c r="A211" s="31" t="s">
        <v>777</v>
      </c>
      <c r="B211" s="41">
        <v>9.0</v>
      </c>
      <c r="C211" s="41" t="s">
        <v>1073</v>
      </c>
      <c r="D211" s="41" t="s">
        <v>889</v>
      </c>
      <c r="E211" s="41">
        <v>9.0</v>
      </c>
      <c r="F211" s="9" t="s">
        <v>1074</v>
      </c>
      <c r="G211" s="41" t="s">
        <v>898</v>
      </c>
      <c r="H211" s="41" t="s">
        <v>710</v>
      </c>
    </row>
    <row r="212" ht="25.5" customHeight="1">
      <c r="A212" s="36" t="s">
        <v>777</v>
      </c>
      <c r="B212" s="47">
        <v>10.0</v>
      </c>
      <c r="C212" s="47" t="s">
        <v>1075</v>
      </c>
      <c r="D212" s="47" t="s">
        <v>889</v>
      </c>
      <c r="E212" s="47">
        <v>9.0</v>
      </c>
      <c r="F212" s="16" t="s">
        <v>1076</v>
      </c>
      <c r="G212" s="47" t="s">
        <v>898</v>
      </c>
      <c r="H212" s="47" t="s">
        <v>710</v>
      </c>
    </row>
    <row r="213" ht="25.5" customHeight="1">
      <c r="A213" s="31" t="s">
        <v>777</v>
      </c>
      <c r="B213" s="41">
        <v>11.0</v>
      </c>
      <c r="C213" s="41" t="s">
        <v>1077</v>
      </c>
      <c r="D213" s="41" t="s">
        <v>900</v>
      </c>
      <c r="E213" s="41">
        <v>17.0</v>
      </c>
      <c r="F213" s="9" t="s">
        <v>1078</v>
      </c>
      <c r="G213" s="41" t="s">
        <v>878</v>
      </c>
      <c r="H213" s="41" t="s">
        <v>710</v>
      </c>
    </row>
    <row r="214" ht="25.5" customHeight="1">
      <c r="A214" s="36" t="s">
        <v>777</v>
      </c>
      <c r="B214" s="47">
        <v>12.0</v>
      </c>
      <c r="C214" s="47" t="s">
        <v>1079</v>
      </c>
      <c r="D214" s="47" t="s">
        <v>900</v>
      </c>
      <c r="E214" s="47">
        <v>17.0</v>
      </c>
      <c r="F214" s="16" t="s">
        <v>1080</v>
      </c>
      <c r="G214" s="47" t="s">
        <v>878</v>
      </c>
      <c r="H214" s="47" t="s">
        <v>710</v>
      </c>
    </row>
    <row r="215" ht="25.5" customHeight="1">
      <c r="A215" s="31" t="s">
        <v>779</v>
      </c>
      <c r="B215" s="41">
        <v>1.0</v>
      </c>
      <c r="C215" s="41" t="s">
        <v>1081</v>
      </c>
      <c r="D215" s="41" t="s">
        <v>873</v>
      </c>
      <c r="E215" s="41">
        <v>1.0</v>
      </c>
      <c r="F215" s="9" t="s">
        <v>1082</v>
      </c>
      <c r="G215" s="41" t="s">
        <v>881</v>
      </c>
      <c r="H215" s="41" t="s">
        <v>710</v>
      </c>
    </row>
    <row r="216" ht="25.5" customHeight="1">
      <c r="A216" s="36" t="s">
        <v>779</v>
      </c>
      <c r="B216" s="47">
        <v>2.0</v>
      </c>
      <c r="C216" s="47" t="s">
        <v>1083</v>
      </c>
      <c r="D216" s="47" t="s">
        <v>873</v>
      </c>
      <c r="E216" s="47">
        <v>1.0</v>
      </c>
      <c r="F216" s="16" t="s">
        <v>1084</v>
      </c>
      <c r="G216" s="47" t="s">
        <v>881</v>
      </c>
      <c r="H216" s="47" t="s">
        <v>710</v>
      </c>
    </row>
    <row r="217" ht="15.75" customHeight="1">
      <c r="A217" s="31" t="s">
        <v>779</v>
      </c>
      <c r="B217" s="41">
        <v>3.0</v>
      </c>
      <c r="C217" s="41" t="s">
        <v>1085</v>
      </c>
      <c r="D217" s="41" t="s">
        <v>873</v>
      </c>
      <c r="E217" s="41">
        <v>1.0</v>
      </c>
      <c r="F217" s="41" t="s">
        <v>1086</v>
      </c>
      <c r="G217" s="41" t="s">
        <v>898</v>
      </c>
      <c r="H217" s="41" t="s">
        <v>710</v>
      </c>
    </row>
    <row r="218" ht="25.5" customHeight="1">
      <c r="A218" s="36" t="s">
        <v>779</v>
      </c>
      <c r="B218" s="47">
        <v>4.0</v>
      </c>
      <c r="C218" s="47" t="s">
        <v>1087</v>
      </c>
      <c r="D218" s="47" t="s">
        <v>873</v>
      </c>
      <c r="E218" s="47">
        <v>1.0</v>
      </c>
      <c r="F218" s="16" t="s">
        <v>1088</v>
      </c>
      <c r="G218" s="47" t="s">
        <v>881</v>
      </c>
      <c r="H218" s="47" t="s">
        <v>710</v>
      </c>
    </row>
    <row r="219" ht="25.5" customHeight="1">
      <c r="A219" s="31" t="s">
        <v>779</v>
      </c>
      <c r="B219" s="41">
        <v>5.0</v>
      </c>
      <c r="C219" s="9" t="s">
        <v>1089</v>
      </c>
      <c r="D219" s="41" t="s">
        <v>873</v>
      </c>
      <c r="E219" s="41">
        <v>1.0</v>
      </c>
      <c r="F219" s="9" t="s">
        <v>1090</v>
      </c>
      <c r="G219" s="41" t="s">
        <v>881</v>
      </c>
      <c r="H219" s="41" t="s">
        <v>710</v>
      </c>
    </row>
    <row r="220" ht="25.5" customHeight="1">
      <c r="A220" s="36" t="s">
        <v>779</v>
      </c>
      <c r="B220" s="47">
        <v>6.0</v>
      </c>
      <c r="C220" s="47" t="s">
        <v>1091</v>
      </c>
      <c r="D220" s="47" t="s">
        <v>873</v>
      </c>
      <c r="E220" s="47">
        <v>1.0</v>
      </c>
      <c r="F220" s="16" t="s">
        <v>1092</v>
      </c>
      <c r="G220" s="47" t="s">
        <v>881</v>
      </c>
      <c r="H220" s="47" t="s">
        <v>710</v>
      </c>
    </row>
    <row r="221" ht="25.5" customHeight="1">
      <c r="A221" s="31" t="s">
        <v>779</v>
      </c>
      <c r="B221" s="41">
        <v>7.0</v>
      </c>
      <c r="C221" s="9" t="s">
        <v>1093</v>
      </c>
      <c r="D221" s="41" t="s">
        <v>889</v>
      </c>
      <c r="E221" s="41">
        <v>9.0</v>
      </c>
      <c r="F221" s="9" t="s">
        <v>1094</v>
      </c>
      <c r="G221" s="41" t="s">
        <v>881</v>
      </c>
      <c r="H221" s="41" t="s">
        <v>710</v>
      </c>
    </row>
    <row r="222" ht="25.5" customHeight="1">
      <c r="A222" s="36" t="s">
        <v>779</v>
      </c>
      <c r="B222" s="47">
        <v>8.0</v>
      </c>
      <c r="C222" s="47" t="s">
        <v>1095</v>
      </c>
      <c r="D222" s="47" t="s">
        <v>889</v>
      </c>
      <c r="E222" s="47">
        <v>9.0</v>
      </c>
      <c r="F222" s="16" t="s">
        <v>1096</v>
      </c>
      <c r="G222" s="47" t="s">
        <v>875</v>
      </c>
      <c r="H222" s="47" t="s">
        <v>710</v>
      </c>
    </row>
    <row r="223" ht="25.5" customHeight="1">
      <c r="A223" s="31" t="s">
        <v>779</v>
      </c>
      <c r="B223" s="41">
        <v>9.0</v>
      </c>
      <c r="C223" s="41" t="s">
        <v>1097</v>
      </c>
      <c r="D223" s="41" t="s">
        <v>889</v>
      </c>
      <c r="E223" s="41">
        <v>9.0</v>
      </c>
      <c r="F223" s="9" t="s">
        <v>1098</v>
      </c>
      <c r="G223" s="41" t="s">
        <v>898</v>
      </c>
      <c r="H223" s="41" t="s">
        <v>710</v>
      </c>
    </row>
    <row r="224" ht="25.5" customHeight="1">
      <c r="A224" s="36" t="s">
        <v>779</v>
      </c>
      <c r="B224" s="47">
        <v>10.0</v>
      </c>
      <c r="C224" s="47" t="s">
        <v>1099</v>
      </c>
      <c r="D224" s="47" t="s">
        <v>889</v>
      </c>
      <c r="E224" s="47">
        <v>9.0</v>
      </c>
      <c r="F224" s="16" t="s">
        <v>1100</v>
      </c>
      <c r="G224" s="47" t="s">
        <v>878</v>
      </c>
      <c r="H224" s="47" t="s">
        <v>710</v>
      </c>
    </row>
    <row r="225" ht="25.5" customHeight="1">
      <c r="A225" s="31" t="s">
        <v>779</v>
      </c>
      <c r="B225" s="41">
        <v>11.0</v>
      </c>
      <c r="C225" s="9" t="s">
        <v>1101</v>
      </c>
      <c r="D225" s="41" t="s">
        <v>900</v>
      </c>
      <c r="E225" s="41">
        <v>17.0</v>
      </c>
      <c r="F225" s="9" t="s">
        <v>1102</v>
      </c>
      <c r="G225" s="41" t="s">
        <v>878</v>
      </c>
      <c r="H225" s="41" t="s">
        <v>710</v>
      </c>
    </row>
    <row r="226" ht="25.5" customHeight="1">
      <c r="A226" s="36" t="s">
        <v>779</v>
      </c>
      <c r="B226" s="47">
        <v>12.0</v>
      </c>
      <c r="C226" s="47" t="s">
        <v>1103</v>
      </c>
      <c r="D226" s="47" t="s">
        <v>900</v>
      </c>
      <c r="E226" s="47">
        <v>17.0</v>
      </c>
      <c r="F226" s="16" t="s">
        <v>1105</v>
      </c>
      <c r="G226" s="47" t="s">
        <v>878</v>
      </c>
      <c r="H226" s="47" t="s">
        <v>710</v>
      </c>
    </row>
    <row r="227" ht="15.75" customHeight="1"/>
    <row r="228" ht="15.75" customHeight="1">
      <c r="A228" s="5" t="s">
        <v>1106</v>
      </c>
      <c r="B228" s="2"/>
      <c r="C228" s="2"/>
      <c r="D228" s="3"/>
    </row>
    <row r="229" ht="15.75" customHeight="1">
      <c r="A229" s="14" t="s">
        <v>101</v>
      </c>
      <c r="B229" s="14" t="s">
        <v>408</v>
      </c>
      <c r="C229" s="14" t="s">
        <v>808</v>
      </c>
      <c r="D229" s="14" t="s">
        <v>1108</v>
      </c>
    </row>
    <row r="230" ht="25.5" customHeight="1">
      <c r="A230" s="31" t="s">
        <v>677</v>
      </c>
      <c r="B230" s="9" t="s">
        <v>882</v>
      </c>
      <c r="C230" s="41" t="s">
        <v>1109</v>
      </c>
      <c r="D230" s="41">
        <v>2.0</v>
      </c>
    </row>
    <row r="231" ht="25.5" customHeight="1">
      <c r="A231" s="36" t="s">
        <v>677</v>
      </c>
      <c r="B231" s="16" t="s">
        <v>888</v>
      </c>
      <c r="C231" s="47" t="s">
        <v>1110</v>
      </c>
      <c r="D231" s="47">
        <v>5.0</v>
      </c>
    </row>
    <row r="232" ht="15.75" customHeight="1">
      <c r="A232" s="31" t="s">
        <v>701</v>
      </c>
      <c r="B232" s="41" t="s">
        <v>904</v>
      </c>
      <c r="C232" s="41" t="s">
        <v>904</v>
      </c>
      <c r="D232" s="41">
        <v>3.0</v>
      </c>
    </row>
    <row r="233" ht="25.5" customHeight="1">
      <c r="A233" s="36" t="s">
        <v>701</v>
      </c>
      <c r="B233" s="16" t="s">
        <v>906</v>
      </c>
      <c r="C233" s="47" t="s">
        <v>786</v>
      </c>
      <c r="D233" s="47">
        <v>5.0</v>
      </c>
    </row>
    <row r="234" ht="25.5" customHeight="1">
      <c r="A234" s="31" t="s">
        <v>734</v>
      </c>
      <c r="B234" s="9" t="s">
        <v>961</v>
      </c>
      <c r="C234" s="41" t="s">
        <v>1113</v>
      </c>
      <c r="D234" s="41">
        <v>5.0</v>
      </c>
    </row>
    <row r="235" ht="25.5" customHeight="1">
      <c r="A235" s="36" t="s">
        <v>749</v>
      </c>
      <c r="B235" s="16" t="s">
        <v>981</v>
      </c>
      <c r="C235" s="16" t="s">
        <v>1114</v>
      </c>
      <c r="D235" s="47">
        <v>5.0</v>
      </c>
    </row>
    <row r="236" ht="25.5" customHeight="1">
      <c r="A236" s="31" t="s">
        <v>749</v>
      </c>
      <c r="B236" s="41" t="s">
        <v>992</v>
      </c>
      <c r="C236" s="9" t="s">
        <v>1115</v>
      </c>
      <c r="D236" s="41">
        <v>3.0</v>
      </c>
    </row>
    <row r="237" ht="15.75" customHeight="1"/>
    <row r="238" ht="15.75" customHeight="1">
      <c r="A238" s="5" t="s">
        <v>1116</v>
      </c>
      <c r="B238" s="2"/>
      <c r="C238" s="2"/>
      <c r="D238" s="3"/>
    </row>
    <row r="239" ht="15.75" customHeight="1">
      <c r="A239" s="14" t="s">
        <v>101</v>
      </c>
      <c r="B239" s="14" t="s">
        <v>1117</v>
      </c>
      <c r="C239" s="14" t="s">
        <v>560</v>
      </c>
    </row>
    <row r="240" ht="25.5" customHeight="1">
      <c r="A240" s="31" t="s">
        <v>734</v>
      </c>
      <c r="B240" s="41" t="s">
        <v>965</v>
      </c>
      <c r="C240" s="9" t="s">
        <v>1118</v>
      </c>
    </row>
    <row r="241" ht="25.5" customHeight="1">
      <c r="A241" s="36" t="s">
        <v>734</v>
      </c>
      <c r="B241" s="47" t="s">
        <v>965</v>
      </c>
      <c r="C241" s="16" t="s">
        <v>1119</v>
      </c>
    </row>
    <row r="242" ht="15.75" customHeight="1">
      <c r="A242" s="31" t="s">
        <v>779</v>
      </c>
      <c r="B242" s="41" t="s">
        <v>1087</v>
      </c>
      <c r="C242" s="41" t="s">
        <v>1120</v>
      </c>
    </row>
    <row r="243" ht="15.75" customHeight="1">
      <c r="A243" s="36" t="s">
        <v>777</v>
      </c>
      <c r="B243" s="47" t="s">
        <v>1057</v>
      </c>
      <c r="C243" s="47" t="s">
        <v>1121</v>
      </c>
    </row>
    <row r="244" ht="25.5" customHeight="1">
      <c r="A244" s="31" t="s">
        <v>777</v>
      </c>
      <c r="B244" s="41" t="s">
        <v>1077</v>
      </c>
      <c r="C244" s="9" t="s">
        <v>1122</v>
      </c>
    </row>
    <row r="245" ht="48.0" customHeight="1">
      <c r="A245" s="36" t="s">
        <v>749</v>
      </c>
      <c r="B245" s="16" t="s">
        <v>998</v>
      </c>
      <c r="C245" s="16" t="s">
        <v>1123</v>
      </c>
    </row>
    <row r="246" ht="48.0" customHeight="1">
      <c r="A246" s="31" t="s">
        <v>677</v>
      </c>
      <c r="B246" s="9" t="s">
        <v>884</v>
      </c>
      <c r="C246" s="9" t="s">
        <v>1124</v>
      </c>
    </row>
    <row r="247" ht="48.0" customHeight="1">
      <c r="A247" s="36" t="s">
        <v>677</v>
      </c>
      <c r="B247" s="16" t="s">
        <v>882</v>
      </c>
      <c r="C247" s="16" t="s">
        <v>1125</v>
      </c>
    </row>
    <row r="248" ht="58.5" customHeight="1">
      <c r="A248" s="31" t="s">
        <v>677</v>
      </c>
      <c r="B248" s="9" t="s">
        <v>888</v>
      </c>
      <c r="C248" s="9" t="s">
        <v>1126</v>
      </c>
    </row>
    <row r="249" ht="48.0" customHeight="1">
      <c r="A249" s="36" t="s">
        <v>734</v>
      </c>
      <c r="B249" s="16" t="s">
        <v>961</v>
      </c>
      <c r="C249" s="16" t="s">
        <v>1127</v>
      </c>
    </row>
    <row r="250" ht="36.75" customHeight="1">
      <c r="A250" s="31" t="s">
        <v>749</v>
      </c>
      <c r="B250" s="9" t="s">
        <v>988</v>
      </c>
      <c r="C250" s="9" t="s">
        <v>1128</v>
      </c>
    </row>
    <row r="251" ht="48.0" customHeight="1">
      <c r="A251" s="36" t="s">
        <v>749</v>
      </c>
      <c r="B251" s="16" t="s">
        <v>985</v>
      </c>
      <c r="C251" s="16" t="s">
        <v>1129</v>
      </c>
    </row>
    <row r="252" ht="60.0" customHeight="1">
      <c r="A252" s="31" t="s">
        <v>749</v>
      </c>
      <c r="B252" s="41" t="s">
        <v>977</v>
      </c>
      <c r="C252" s="9" t="s">
        <v>1130</v>
      </c>
    </row>
    <row r="253" ht="48.0" customHeight="1">
      <c r="A253" s="36" t="s">
        <v>749</v>
      </c>
      <c r="B253" s="47" t="s">
        <v>1131</v>
      </c>
      <c r="C253" s="16" t="s">
        <v>1132</v>
      </c>
    </row>
    <row r="254" ht="48.0" customHeight="1">
      <c r="A254" s="31" t="s">
        <v>749</v>
      </c>
      <c r="B254" s="9" t="s">
        <v>1133</v>
      </c>
      <c r="C254" s="9" t="s">
        <v>1132</v>
      </c>
    </row>
    <row r="255" ht="15.75" customHeight="1"/>
    <row r="256" ht="15.75" customHeight="1">
      <c r="A256" s="5" t="s">
        <v>1134</v>
      </c>
      <c r="B256" s="2"/>
      <c r="C256" s="2"/>
      <c r="D256" s="2"/>
      <c r="E256" s="2"/>
      <c r="F256" s="2"/>
      <c r="G256" s="2"/>
      <c r="H256" s="2"/>
      <c r="I256" s="2"/>
      <c r="J256" s="2"/>
      <c r="K256" s="2"/>
      <c r="L256" s="3"/>
    </row>
    <row r="257" ht="36.75" customHeight="1">
      <c r="A257" s="14" t="s">
        <v>582</v>
      </c>
      <c r="B257" s="14" t="s">
        <v>71</v>
      </c>
      <c r="C257" s="14" t="s">
        <v>1136</v>
      </c>
      <c r="D257" s="14" t="s">
        <v>1137</v>
      </c>
      <c r="E257" s="14" t="s">
        <v>499</v>
      </c>
      <c r="F257" s="14" t="s">
        <v>88</v>
      </c>
      <c r="G257" s="14" t="s">
        <v>500</v>
      </c>
      <c r="H257" s="14" t="s">
        <v>89</v>
      </c>
      <c r="I257" s="14" t="s">
        <v>501</v>
      </c>
      <c r="J257" s="14" t="s">
        <v>91</v>
      </c>
      <c r="K257" s="14" t="s">
        <v>1138</v>
      </c>
      <c r="L257" s="14" t="s">
        <v>76</v>
      </c>
    </row>
    <row r="258" ht="15.75" customHeight="1">
      <c r="A258" s="31">
        <v>1.0</v>
      </c>
      <c r="B258" s="41">
        <v>2.0</v>
      </c>
      <c r="C258" s="41">
        <v>0.0</v>
      </c>
      <c r="D258" s="41">
        <v>0.0</v>
      </c>
      <c r="E258" s="41">
        <v>1.0</v>
      </c>
      <c r="F258" s="41">
        <v>1.0</v>
      </c>
      <c r="G258" s="41" t="s">
        <v>710</v>
      </c>
      <c r="H258" s="41">
        <v>1.0</v>
      </c>
      <c r="I258" s="41" t="s">
        <v>710</v>
      </c>
      <c r="J258" s="41">
        <v>1.0</v>
      </c>
      <c r="K258" s="41">
        <v>0.0</v>
      </c>
      <c r="L258" s="41">
        <v>6.0</v>
      </c>
    </row>
    <row r="259" ht="15.75" customHeight="1">
      <c r="A259" s="36">
        <v>2.0</v>
      </c>
      <c r="B259" s="47">
        <v>2.0</v>
      </c>
      <c r="C259" s="47">
        <v>0.0</v>
      </c>
      <c r="D259" s="47">
        <v>0.0</v>
      </c>
      <c r="E259" s="47">
        <v>1.0</v>
      </c>
      <c r="F259" s="47">
        <v>1.0</v>
      </c>
      <c r="G259" s="47" t="s">
        <v>710</v>
      </c>
      <c r="H259" s="47">
        <v>2.0</v>
      </c>
      <c r="I259" s="47" t="s">
        <v>710</v>
      </c>
      <c r="J259" s="47">
        <v>1.0</v>
      </c>
      <c r="K259" s="47">
        <v>0.0</v>
      </c>
      <c r="L259" s="47">
        <v>6.0</v>
      </c>
    </row>
    <row r="260" ht="15.75" customHeight="1">
      <c r="A260" s="31">
        <v>3.0</v>
      </c>
      <c r="B260" s="41">
        <v>2.0</v>
      </c>
      <c r="C260" s="41">
        <v>0.0</v>
      </c>
      <c r="D260" s="41">
        <v>0.0</v>
      </c>
      <c r="E260" s="41">
        <v>2.0</v>
      </c>
      <c r="F260" s="41">
        <v>2.0</v>
      </c>
      <c r="G260" s="41" t="s">
        <v>710</v>
      </c>
      <c r="H260" s="41">
        <v>2.0</v>
      </c>
      <c r="I260" s="41" t="s">
        <v>687</v>
      </c>
      <c r="J260" s="41">
        <v>1.0</v>
      </c>
      <c r="K260" s="41">
        <v>0.0</v>
      </c>
      <c r="L260" s="41">
        <v>6.0</v>
      </c>
    </row>
    <row r="261" ht="15.75" customHeight="1">
      <c r="A261" s="36">
        <v>4.0</v>
      </c>
      <c r="B261" s="47">
        <v>3.0</v>
      </c>
      <c r="C261" s="47">
        <v>0.0</v>
      </c>
      <c r="D261" s="47">
        <v>0.0</v>
      </c>
      <c r="E261" s="47">
        <v>2.0</v>
      </c>
      <c r="F261" s="47">
        <v>2.0</v>
      </c>
      <c r="G261" s="47" t="s">
        <v>710</v>
      </c>
      <c r="H261" s="47">
        <v>2.0</v>
      </c>
      <c r="I261" s="47" t="s">
        <v>710</v>
      </c>
      <c r="J261" s="47">
        <v>1.0</v>
      </c>
      <c r="K261" s="47">
        <v>0.0</v>
      </c>
      <c r="L261" s="47">
        <v>8.0</v>
      </c>
    </row>
    <row r="262" ht="15.75" customHeight="1">
      <c r="A262" s="31">
        <v>5.0</v>
      </c>
      <c r="B262" s="41">
        <v>3.0</v>
      </c>
      <c r="C262" s="41">
        <v>1.0</v>
      </c>
      <c r="D262" s="41">
        <v>1.0</v>
      </c>
      <c r="E262" s="41">
        <v>3.0</v>
      </c>
      <c r="F262" s="41">
        <v>3.0</v>
      </c>
      <c r="G262" s="41" t="s">
        <v>710</v>
      </c>
      <c r="H262" s="41">
        <v>2.0</v>
      </c>
      <c r="I262" s="41" t="s">
        <v>710</v>
      </c>
      <c r="J262" s="41">
        <v>2.0</v>
      </c>
      <c r="K262" s="41">
        <v>1.0</v>
      </c>
      <c r="L262" s="41">
        <v>8.0</v>
      </c>
    </row>
    <row r="263" ht="15.75" customHeight="1">
      <c r="A263" s="36">
        <v>6.0</v>
      </c>
      <c r="B263" s="47">
        <v>3.0</v>
      </c>
      <c r="C263" s="47">
        <v>1.0</v>
      </c>
      <c r="D263" s="47">
        <v>1.0</v>
      </c>
      <c r="E263" s="47">
        <v>3.0</v>
      </c>
      <c r="F263" s="47">
        <v>3.0</v>
      </c>
      <c r="G263" s="47" t="s">
        <v>710</v>
      </c>
      <c r="H263" s="47">
        <v>3.0</v>
      </c>
      <c r="I263" s="47" t="s">
        <v>687</v>
      </c>
      <c r="J263" s="47">
        <v>2.0</v>
      </c>
      <c r="K263" s="47">
        <v>1.0</v>
      </c>
      <c r="L263" s="47">
        <v>8.0</v>
      </c>
    </row>
    <row r="264" ht="15.75" customHeight="1">
      <c r="A264" s="31">
        <v>7.0</v>
      </c>
      <c r="B264" s="41">
        <v>4.0</v>
      </c>
      <c r="C264" s="41">
        <v>1.0</v>
      </c>
      <c r="D264" s="41">
        <v>1.0</v>
      </c>
      <c r="E264" s="41">
        <v>4.0</v>
      </c>
      <c r="F264" s="41">
        <v>4.0</v>
      </c>
      <c r="G264" s="41" t="s">
        <v>710</v>
      </c>
      <c r="H264" s="41">
        <v>3.0</v>
      </c>
      <c r="I264" s="41" t="s">
        <v>710</v>
      </c>
      <c r="J264" s="41">
        <v>2.0</v>
      </c>
      <c r="K264" s="41">
        <v>1.0</v>
      </c>
      <c r="L264" s="41">
        <v>10.0</v>
      </c>
    </row>
    <row r="265" ht="15.75" customHeight="1">
      <c r="A265" s="36">
        <v>8.0</v>
      </c>
      <c r="B265" s="47">
        <v>4.0</v>
      </c>
      <c r="C265" s="47">
        <v>2.0</v>
      </c>
      <c r="D265" s="47">
        <v>1.0</v>
      </c>
      <c r="E265" s="47">
        <v>4.0</v>
      </c>
      <c r="F265" s="47">
        <v>4.0</v>
      </c>
      <c r="G265" s="47" t="s">
        <v>710</v>
      </c>
      <c r="H265" s="47">
        <v>3.0</v>
      </c>
      <c r="I265" s="47" t="s">
        <v>710</v>
      </c>
      <c r="J265" s="47">
        <v>2.0</v>
      </c>
      <c r="K265" s="47">
        <v>1.0</v>
      </c>
      <c r="L265" s="47">
        <v>10.0</v>
      </c>
    </row>
    <row r="266" ht="15.75" customHeight="1">
      <c r="A266" s="31">
        <v>9.0</v>
      </c>
      <c r="B266" s="41">
        <v>4.0</v>
      </c>
      <c r="C266" s="41">
        <v>2.0</v>
      </c>
      <c r="D266" s="41">
        <v>1.0</v>
      </c>
      <c r="E266" s="41">
        <v>5.0</v>
      </c>
      <c r="F266" s="41">
        <v>5.0</v>
      </c>
      <c r="G266" s="41" t="s">
        <v>710</v>
      </c>
      <c r="H266" s="41">
        <v>4.0</v>
      </c>
      <c r="I266" s="41" t="s">
        <v>687</v>
      </c>
      <c r="J266" s="41">
        <v>3.0</v>
      </c>
      <c r="K266" s="41">
        <v>1.0</v>
      </c>
      <c r="L266" s="41">
        <v>10.0</v>
      </c>
    </row>
    <row r="267" ht="15.75" customHeight="1">
      <c r="A267" s="36">
        <v>10.0</v>
      </c>
      <c r="B267" s="47">
        <v>5.0</v>
      </c>
      <c r="C267" s="47">
        <v>2.0</v>
      </c>
      <c r="D267" s="47">
        <v>1.0</v>
      </c>
      <c r="E267" s="47">
        <v>5.0</v>
      </c>
      <c r="F267" s="47">
        <v>5.0</v>
      </c>
      <c r="G267" s="47" t="s">
        <v>710</v>
      </c>
      <c r="H267" s="47">
        <v>4.0</v>
      </c>
      <c r="I267" s="47" t="s">
        <v>710</v>
      </c>
      <c r="J267" s="47">
        <v>3.0</v>
      </c>
      <c r="K267" s="47">
        <v>1.0</v>
      </c>
      <c r="L267" s="47">
        <v>12.0</v>
      </c>
    </row>
    <row r="268" ht="15.75" customHeight="1">
      <c r="A268" s="31">
        <v>11.0</v>
      </c>
      <c r="B268" s="41">
        <v>5.0</v>
      </c>
      <c r="C268" s="41">
        <v>2.0</v>
      </c>
      <c r="D268" s="41">
        <v>2.0</v>
      </c>
      <c r="E268" s="41">
        <v>6.0</v>
      </c>
      <c r="F268" s="41">
        <v>6.0</v>
      </c>
      <c r="G268" s="41" t="s">
        <v>710</v>
      </c>
      <c r="H268" s="41">
        <v>4.0</v>
      </c>
      <c r="I268" s="41" t="s">
        <v>710</v>
      </c>
      <c r="J268" s="41">
        <v>3.0</v>
      </c>
      <c r="K268" s="41">
        <v>2.0</v>
      </c>
      <c r="L268" s="41">
        <v>12.0</v>
      </c>
    </row>
    <row r="269" ht="15.75" customHeight="1">
      <c r="A269" s="36">
        <v>12.0</v>
      </c>
      <c r="B269" s="47">
        <v>5.0</v>
      </c>
      <c r="C269" s="47">
        <v>2.0</v>
      </c>
      <c r="D269" s="47">
        <v>2.0</v>
      </c>
      <c r="E269" s="47">
        <v>6.0</v>
      </c>
      <c r="F269" s="47">
        <v>6.0</v>
      </c>
      <c r="G269" s="47" t="s">
        <v>710</v>
      </c>
      <c r="H269" s="47">
        <v>5.0</v>
      </c>
      <c r="I269" s="47" t="s">
        <v>687</v>
      </c>
      <c r="J269" s="47">
        <v>3.0</v>
      </c>
      <c r="K269" s="47">
        <v>2.0</v>
      </c>
      <c r="L269" s="47">
        <v>12.0</v>
      </c>
    </row>
    <row r="270" ht="15.75" customHeight="1">
      <c r="A270" s="31">
        <v>13.0</v>
      </c>
      <c r="B270" s="41">
        <v>6.0</v>
      </c>
      <c r="C270" s="41">
        <v>2.0</v>
      </c>
      <c r="D270" s="41">
        <v>2.0</v>
      </c>
      <c r="E270" s="41">
        <v>7.0</v>
      </c>
      <c r="F270" s="41">
        <v>7.0</v>
      </c>
      <c r="G270" s="41" t="s">
        <v>710</v>
      </c>
      <c r="H270" s="41">
        <v>5.0</v>
      </c>
      <c r="I270" s="41" t="s">
        <v>710</v>
      </c>
      <c r="J270" s="41">
        <v>4.0</v>
      </c>
      <c r="K270" s="41">
        <v>2.0</v>
      </c>
      <c r="L270" s="41">
        <v>14.0</v>
      </c>
    </row>
    <row r="271" ht="15.75" customHeight="1">
      <c r="A271" s="36">
        <v>14.0</v>
      </c>
      <c r="B271" s="47">
        <v>6.0</v>
      </c>
      <c r="C271" s="47">
        <v>3.0</v>
      </c>
      <c r="D271" s="47">
        <v>2.0</v>
      </c>
      <c r="E271" s="47">
        <v>7.0</v>
      </c>
      <c r="F271" s="47">
        <v>7.0</v>
      </c>
      <c r="G271" s="47" t="s">
        <v>710</v>
      </c>
      <c r="H271" s="47">
        <v>5.0</v>
      </c>
      <c r="I271" s="47" t="s">
        <v>710</v>
      </c>
      <c r="J271" s="47">
        <v>4.0</v>
      </c>
      <c r="K271" s="47">
        <v>2.0</v>
      </c>
      <c r="L271" s="47">
        <v>14.0</v>
      </c>
    </row>
    <row r="272" ht="15.75" customHeight="1">
      <c r="A272" s="31">
        <v>15.0</v>
      </c>
      <c r="B272" s="41">
        <v>6.0</v>
      </c>
      <c r="C272" s="41">
        <v>3.0</v>
      </c>
      <c r="D272" s="41">
        <v>2.0</v>
      </c>
      <c r="E272" s="41">
        <v>8.0</v>
      </c>
      <c r="F272" s="41">
        <v>8.0</v>
      </c>
      <c r="G272" s="41" t="s">
        <v>710</v>
      </c>
      <c r="H272" s="41">
        <v>6.0</v>
      </c>
      <c r="I272" s="41" t="s">
        <v>687</v>
      </c>
      <c r="J272" s="41">
        <v>4.0</v>
      </c>
      <c r="K272" s="41">
        <v>2.0</v>
      </c>
      <c r="L272" s="41">
        <v>14.0</v>
      </c>
    </row>
    <row r="273" ht="15.75" customHeight="1">
      <c r="A273" s="36">
        <v>16.0</v>
      </c>
      <c r="B273" s="47">
        <v>7.0</v>
      </c>
      <c r="C273" s="47">
        <v>3.0</v>
      </c>
      <c r="D273" s="47">
        <v>2.0</v>
      </c>
      <c r="E273" s="47">
        <v>8.0</v>
      </c>
      <c r="F273" s="47">
        <v>8.0</v>
      </c>
      <c r="G273" s="47" t="s">
        <v>687</v>
      </c>
      <c r="H273" s="47">
        <v>6.0</v>
      </c>
      <c r="I273" s="47" t="s">
        <v>710</v>
      </c>
      <c r="J273" s="47">
        <v>4.0</v>
      </c>
      <c r="K273" s="47">
        <v>2.0</v>
      </c>
      <c r="L273" s="47">
        <v>16.0</v>
      </c>
    </row>
    <row r="274" ht="15.75" customHeight="1">
      <c r="A274" s="31">
        <v>17.0</v>
      </c>
      <c r="B274" s="41">
        <v>7.0</v>
      </c>
      <c r="C274" s="41">
        <v>4.0</v>
      </c>
      <c r="D274" s="41">
        <v>2.0</v>
      </c>
      <c r="E274" s="41">
        <v>9.0</v>
      </c>
      <c r="F274" s="41">
        <v>8.0</v>
      </c>
      <c r="G274" s="41" t="s">
        <v>687</v>
      </c>
      <c r="H274" s="41">
        <v>6.0</v>
      </c>
      <c r="I274" s="41" t="s">
        <v>710</v>
      </c>
      <c r="J274" s="41">
        <v>5.0</v>
      </c>
      <c r="K274" s="41">
        <v>3.0</v>
      </c>
      <c r="L274" s="41">
        <v>16.0</v>
      </c>
    </row>
    <row r="275" ht="15.75" customHeight="1">
      <c r="A275" s="36">
        <v>18.0</v>
      </c>
      <c r="B275" s="47">
        <v>7.0</v>
      </c>
      <c r="C275" s="47">
        <v>4.0</v>
      </c>
      <c r="D275" s="47">
        <v>2.0</v>
      </c>
      <c r="E275" s="47">
        <v>9.0</v>
      </c>
      <c r="F275" s="47">
        <v>8.0</v>
      </c>
      <c r="G275" s="47" t="s">
        <v>687</v>
      </c>
      <c r="H275" s="47">
        <v>7.0</v>
      </c>
      <c r="I275" s="47" t="s">
        <v>687</v>
      </c>
      <c r="J275" s="47">
        <v>5.0</v>
      </c>
      <c r="K275" s="47">
        <v>3.0</v>
      </c>
      <c r="L275" s="47">
        <v>16.0</v>
      </c>
    </row>
    <row r="276" ht="15.75" customHeight="1">
      <c r="A276" s="31">
        <v>19.0</v>
      </c>
      <c r="B276" s="41">
        <v>8.0</v>
      </c>
      <c r="C276" s="41">
        <v>4.0</v>
      </c>
      <c r="D276" s="41">
        <v>2.0</v>
      </c>
      <c r="E276" s="41">
        <v>10.0</v>
      </c>
      <c r="F276" s="41">
        <v>8.0</v>
      </c>
      <c r="G276" s="41" t="s">
        <v>687</v>
      </c>
      <c r="H276" s="41">
        <v>7.0</v>
      </c>
      <c r="I276" s="41" t="s">
        <v>710</v>
      </c>
      <c r="J276" s="41">
        <v>5.0</v>
      </c>
      <c r="K276" s="41">
        <v>3.0</v>
      </c>
      <c r="L276" s="41">
        <v>18.0</v>
      </c>
    </row>
    <row r="277" ht="15.75" customHeight="1">
      <c r="A277" s="36">
        <v>20.0</v>
      </c>
      <c r="B277" s="47">
        <v>8.0</v>
      </c>
      <c r="C277" s="47">
        <v>5.0</v>
      </c>
      <c r="D277" s="47">
        <v>3.0</v>
      </c>
      <c r="E277" s="47">
        <v>10.0</v>
      </c>
      <c r="F277" s="47">
        <v>8.0</v>
      </c>
      <c r="G277" s="47" t="s">
        <v>687</v>
      </c>
      <c r="H277" s="47">
        <v>7.0</v>
      </c>
      <c r="I277" s="47" t="s">
        <v>710</v>
      </c>
      <c r="J277" s="47">
        <v>5.0</v>
      </c>
      <c r="K277" s="47">
        <v>3.0</v>
      </c>
      <c r="L277" s="47">
        <v>18.0</v>
      </c>
    </row>
    <row r="278" ht="15.75" customHeight="1"/>
    <row r="279" ht="15.75" customHeight="1">
      <c r="A279" s="5" t="s">
        <v>1139</v>
      </c>
      <c r="B279" s="2"/>
      <c r="C279" s="2"/>
      <c r="D279" s="2"/>
      <c r="E279" s="2"/>
      <c r="F279" s="2"/>
      <c r="G279" s="2"/>
      <c r="H279" s="3"/>
    </row>
    <row r="280" ht="25.5" customHeight="1">
      <c r="A280" s="14" t="s">
        <v>1140</v>
      </c>
      <c r="B280" s="14" t="s">
        <v>1141</v>
      </c>
      <c r="C280" s="14" t="s">
        <v>1142</v>
      </c>
      <c r="D280" s="14" t="s">
        <v>1143</v>
      </c>
      <c r="E280" s="14" t="s">
        <v>1144</v>
      </c>
      <c r="F280" s="14" t="s">
        <v>1145</v>
      </c>
      <c r="G280" s="14" t="s">
        <v>98</v>
      </c>
      <c r="H280" s="14" t="s">
        <v>78</v>
      </c>
    </row>
    <row r="281" ht="15.75" customHeight="1">
      <c r="A281" s="31" t="s">
        <v>542</v>
      </c>
      <c r="B281" s="41" t="s">
        <v>1146</v>
      </c>
      <c r="C281" s="41" t="s">
        <v>1147</v>
      </c>
      <c r="D281" s="41" t="s">
        <v>1148</v>
      </c>
      <c r="E281" s="41" t="s">
        <v>1149</v>
      </c>
      <c r="F281" s="41" t="s">
        <v>519</v>
      </c>
      <c r="G281" s="41" t="s">
        <v>1150</v>
      </c>
      <c r="H281" s="41" t="s">
        <v>1151</v>
      </c>
    </row>
    <row r="282" ht="15.75" customHeight="1">
      <c r="A282" s="36" t="s">
        <v>543</v>
      </c>
      <c r="B282" s="47" t="s">
        <v>1146</v>
      </c>
      <c r="C282" s="47" t="s">
        <v>1152</v>
      </c>
      <c r="D282" s="47" t="s">
        <v>1153</v>
      </c>
      <c r="E282" s="47" t="s">
        <v>1154</v>
      </c>
      <c r="F282" s="47" t="s">
        <v>1155</v>
      </c>
      <c r="G282" s="47" t="s">
        <v>1156</v>
      </c>
      <c r="H282" s="47" t="s">
        <v>1151</v>
      </c>
    </row>
    <row r="283" ht="15.75" customHeight="1">
      <c r="A283" s="31" t="s">
        <v>544</v>
      </c>
      <c r="B283" s="41" t="s">
        <v>1157</v>
      </c>
      <c r="C283" s="41" t="s">
        <v>1158</v>
      </c>
      <c r="D283" s="41" t="s">
        <v>1159</v>
      </c>
      <c r="E283" s="41" t="s">
        <v>1160</v>
      </c>
      <c r="F283" s="41" t="s">
        <v>1161</v>
      </c>
      <c r="G283" s="41" t="s">
        <v>525</v>
      </c>
      <c r="H283" s="41" t="s">
        <v>1162</v>
      </c>
    </row>
    <row r="284" ht="15.75" customHeight="1">
      <c r="A284" s="36" t="s">
        <v>545</v>
      </c>
      <c r="B284" s="47" t="s">
        <v>1157</v>
      </c>
      <c r="C284" s="47" t="s">
        <v>1163</v>
      </c>
      <c r="D284" s="47" t="s">
        <v>1164</v>
      </c>
      <c r="E284" s="47" t="s">
        <v>1165</v>
      </c>
      <c r="F284" s="47" t="s">
        <v>1166</v>
      </c>
      <c r="G284" s="47" t="s">
        <v>1167</v>
      </c>
      <c r="H284" s="47" t="s">
        <v>1168</v>
      </c>
    </row>
    <row r="285" ht="15.75" customHeight="1">
      <c r="A285" s="31" t="s">
        <v>546</v>
      </c>
      <c r="B285" s="41" t="s">
        <v>1169</v>
      </c>
      <c r="C285" s="41" t="s">
        <v>1170</v>
      </c>
      <c r="D285" s="41" t="s">
        <v>1171</v>
      </c>
      <c r="E285" s="41" t="s">
        <v>1172</v>
      </c>
      <c r="F285" s="41" t="s">
        <v>1173</v>
      </c>
      <c r="G285" s="41" t="s">
        <v>1174</v>
      </c>
      <c r="H285" s="41" t="s">
        <v>1175</v>
      </c>
    </row>
    <row r="286" ht="15.75" customHeight="1"/>
    <row r="287" ht="15.75" customHeight="1">
      <c r="A287" s="5" t="s">
        <v>1176</v>
      </c>
      <c r="B287" s="2"/>
      <c r="C287" s="3"/>
    </row>
    <row r="288" ht="15.75" customHeight="1">
      <c r="A288" s="14" t="s">
        <v>1145</v>
      </c>
      <c r="B288" s="14" t="s">
        <v>582</v>
      </c>
      <c r="C288" s="14" t="s">
        <v>1177</v>
      </c>
    </row>
    <row r="289" ht="70.5" customHeight="1">
      <c r="A289" s="31" t="s">
        <v>873</v>
      </c>
      <c r="B289" s="41">
        <v>5.0</v>
      </c>
      <c r="C289" s="9" t="s">
        <v>1178</v>
      </c>
    </row>
    <row r="290" ht="81.75" customHeight="1">
      <c r="A290" s="36" t="s">
        <v>889</v>
      </c>
      <c r="B290" s="47">
        <v>10.0</v>
      </c>
      <c r="C290" s="16" t="s">
        <v>1179</v>
      </c>
    </row>
    <row r="291" ht="70.5" customHeight="1">
      <c r="A291" s="31" t="s">
        <v>900</v>
      </c>
      <c r="B291" s="41">
        <v>15.0</v>
      </c>
      <c r="C291" s="9" t="s">
        <v>1180</v>
      </c>
    </row>
    <row r="292" ht="81.75" customHeight="1">
      <c r="A292" s="36" t="s">
        <v>1181</v>
      </c>
      <c r="B292" s="47">
        <v>20.0</v>
      </c>
      <c r="C292" s="16" t="s">
        <v>1182</v>
      </c>
    </row>
    <row r="293" ht="15.75" customHeight="1"/>
    <row r="294" ht="15.75" customHeight="1">
      <c r="A294" s="5" t="s">
        <v>1183</v>
      </c>
      <c r="B294" s="2"/>
      <c r="C294" s="2"/>
      <c r="D294" s="2"/>
      <c r="E294" s="2"/>
      <c r="F294" s="2"/>
      <c r="G294" s="2"/>
      <c r="H294" s="2"/>
      <c r="I294" s="2"/>
      <c r="J294" s="2"/>
      <c r="K294" s="2"/>
      <c r="L294" s="3"/>
    </row>
    <row r="295" ht="25.5" customHeight="1">
      <c r="A295" s="14" t="s">
        <v>582</v>
      </c>
      <c r="B295" s="14" t="s">
        <v>272</v>
      </c>
      <c r="C295" s="14" t="s">
        <v>1184</v>
      </c>
      <c r="D295" s="14" t="s">
        <v>1185</v>
      </c>
      <c r="E295" s="14" t="s">
        <v>591</v>
      </c>
      <c r="F295" s="14" t="s">
        <v>592</v>
      </c>
      <c r="G295" s="14" t="s">
        <v>1186</v>
      </c>
      <c r="H295" s="14" t="s">
        <v>1187</v>
      </c>
      <c r="I295" s="14" t="s">
        <v>593</v>
      </c>
      <c r="J295" s="14" t="s">
        <v>594</v>
      </c>
      <c r="K295" s="14" t="s">
        <v>337</v>
      </c>
      <c r="L295" s="14" t="s">
        <v>595</v>
      </c>
    </row>
    <row r="296" ht="15.75" customHeight="1">
      <c r="A296" s="31">
        <v>1.0</v>
      </c>
      <c r="B296" s="41" t="s">
        <v>1188</v>
      </c>
      <c r="C296" s="41">
        <v>6.0</v>
      </c>
      <c r="D296" s="41">
        <v>6.0</v>
      </c>
      <c r="E296" s="41">
        <v>21.0</v>
      </c>
      <c r="F296" s="41" t="s">
        <v>1189</v>
      </c>
      <c r="G296" s="41">
        <v>5.0</v>
      </c>
      <c r="H296" s="41">
        <v>8.0</v>
      </c>
      <c r="I296" s="41">
        <v>22.0</v>
      </c>
      <c r="J296" s="41">
        <v>1.0</v>
      </c>
      <c r="K296" s="41">
        <v>2.0</v>
      </c>
      <c r="L296" s="41" t="s">
        <v>1190</v>
      </c>
    </row>
    <row r="297" ht="15.75" customHeight="1">
      <c r="A297" s="36">
        <v>2.0</v>
      </c>
      <c r="B297" s="47" t="s">
        <v>1191</v>
      </c>
      <c r="C297" s="47">
        <v>5.0</v>
      </c>
      <c r="D297" s="47">
        <v>10.0</v>
      </c>
      <c r="E297" s="47">
        <v>27.0</v>
      </c>
      <c r="F297" s="47" t="s">
        <v>1192</v>
      </c>
      <c r="G297" s="47">
        <v>6.0</v>
      </c>
      <c r="H297" s="47">
        <v>10.0</v>
      </c>
      <c r="I297" s="47">
        <v>33.0</v>
      </c>
      <c r="J297" s="47">
        <v>1.0</v>
      </c>
      <c r="K297" s="47">
        <v>2.0</v>
      </c>
      <c r="L297" s="47" t="s">
        <v>1193</v>
      </c>
    </row>
    <row r="298" ht="15.75" customHeight="1">
      <c r="A298" s="31">
        <v>3.0</v>
      </c>
      <c r="B298" s="41" t="s">
        <v>1194</v>
      </c>
      <c r="C298" s="41">
        <v>6.0</v>
      </c>
      <c r="D298" s="41">
        <v>12.0</v>
      </c>
      <c r="E298" s="41">
        <v>39.0</v>
      </c>
      <c r="F298" s="41" t="s">
        <v>1195</v>
      </c>
      <c r="G298" s="41">
        <v>8.0</v>
      </c>
      <c r="H298" s="41">
        <v>12.0</v>
      </c>
      <c r="I298" s="41">
        <v>52.0</v>
      </c>
      <c r="J298" s="41">
        <v>2.0</v>
      </c>
      <c r="K298" s="41">
        <v>3.0</v>
      </c>
      <c r="L298" s="41" t="s">
        <v>1196</v>
      </c>
    </row>
    <row r="299" ht="15.75" customHeight="1">
      <c r="A299" s="36">
        <v>4.0</v>
      </c>
      <c r="B299" s="47" t="s">
        <v>1197</v>
      </c>
      <c r="C299" s="47">
        <v>6.0</v>
      </c>
      <c r="D299" s="47">
        <v>20.0</v>
      </c>
      <c r="E299" s="47">
        <v>63.0</v>
      </c>
      <c r="F299" s="47" t="s">
        <v>1198</v>
      </c>
      <c r="G299" s="47">
        <v>7.0</v>
      </c>
      <c r="H299" s="47">
        <v>20.0</v>
      </c>
      <c r="I299" s="47">
        <v>73.0</v>
      </c>
      <c r="J299" s="47">
        <v>3.0</v>
      </c>
      <c r="K299" s="47">
        <v>4.0</v>
      </c>
      <c r="L299" s="47" t="s">
        <v>1199</v>
      </c>
    </row>
    <row r="300" ht="15.75" customHeight="1">
      <c r="A300" s="31">
        <v>5.0</v>
      </c>
      <c r="B300" s="41" t="s">
        <v>1200</v>
      </c>
      <c r="C300" s="41">
        <v>10.0</v>
      </c>
      <c r="D300" s="41">
        <v>20.0</v>
      </c>
      <c r="E300" s="41">
        <v>105.0</v>
      </c>
      <c r="F300" s="41" t="s">
        <v>1200</v>
      </c>
      <c r="G300" s="41">
        <v>10.0</v>
      </c>
      <c r="H300" s="41">
        <v>20.0</v>
      </c>
      <c r="I300" s="41">
        <v>105.0</v>
      </c>
      <c r="J300" s="41">
        <v>4.0</v>
      </c>
      <c r="K300" s="41">
        <v>5.0</v>
      </c>
      <c r="L300" s="41" t="s">
        <v>754</v>
      </c>
    </row>
    <row r="301" ht="15.75" customHeight="1">
      <c r="A301" s="36">
        <v>6.0</v>
      </c>
      <c r="B301" s="47" t="s">
        <v>1201</v>
      </c>
      <c r="C301" s="47">
        <v>14.0</v>
      </c>
      <c r="D301" s="47">
        <v>20.0</v>
      </c>
      <c r="E301" s="47">
        <v>147.0</v>
      </c>
      <c r="F301" s="47" t="s">
        <v>1201</v>
      </c>
      <c r="G301" s="47">
        <v>14.0</v>
      </c>
      <c r="H301" s="47">
        <v>20.0</v>
      </c>
      <c r="I301" s="47">
        <v>147.0</v>
      </c>
      <c r="J301" s="47">
        <v>5.0</v>
      </c>
      <c r="K301" s="47">
        <v>6.0</v>
      </c>
      <c r="L301" s="47" t="s">
        <v>754</v>
      </c>
    </row>
    <row r="302" ht="15.75" customHeight="1">
      <c r="A302" s="31">
        <v>7.0</v>
      </c>
      <c r="B302" s="41" t="s">
        <v>1202</v>
      </c>
      <c r="C302" s="41">
        <v>18.0</v>
      </c>
      <c r="D302" s="41">
        <v>20.0</v>
      </c>
      <c r="E302" s="41">
        <v>189.0</v>
      </c>
      <c r="F302" s="41" t="s">
        <v>1202</v>
      </c>
      <c r="G302" s="41">
        <v>18.0</v>
      </c>
      <c r="H302" s="41">
        <v>20.0</v>
      </c>
      <c r="I302" s="41">
        <v>189.0</v>
      </c>
      <c r="J302" s="41">
        <v>6.0</v>
      </c>
      <c r="K302" s="41">
        <v>7.0</v>
      </c>
      <c r="L302" s="41" t="s">
        <v>754</v>
      </c>
    </row>
    <row r="303" ht="15.75" customHeight="1"/>
    <row r="304" ht="15.75" customHeight="1">
      <c r="A304" s="5" t="s">
        <v>1203</v>
      </c>
      <c r="B304" s="2"/>
      <c r="C304" s="2"/>
      <c r="D304" s="3"/>
    </row>
    <row r="305" ht="25.5" customHeight="1">
      <c r="A305" s="14" t="s">
        <v>582</v>
      </c>
      <c r="B305" s="14" t="s">
        <v>1204</v>
      </c>
      <c r="C305" s="14" t="s">
        <v>806</v>
      </c>
      <c r="D305" s="14" t="s">
        <v>339</v>
      </c>
    </row>
    <row r="306" ht="48.0" customHeight="1">
      <c r="A306" s="31">
        <v>1.0</v>
      </c>
      <c r="B306" s="9" t="s">
        <v>1205</v>
      </c>
      <c r="C306" s="41" t="s">
        <v>1206</v>
      </c>
      <c r="D306" s="41" t="s">
        <v>1207</v>
      </c>
    </row>
    <row r="307" ht="36.75" customHeight="1">
      <c r="A307" s="36">
        <v>2.0</v>
      </c>
      <c r="B307" s="16" t="s">
        <v>1208</v>
      </c>
      <c r="C307" s="47" t="s">
        <v>1209</v>
      </c>
      <c r="D307" s="47" t="s">
        <v>1207</v>
      </c>
    </row>
    <row r="308" ht="70.5" customHeight="1">
      <c r="A308" s="31">
        <v>3.0</v>
      </c>
      <c r="B308" s="9" t="s">
        <v>1210</v>
      </c>
      <c r="C308" s="41" t="s">
        <v>1209</v>
      </c>
      <c r="D308" s="41" t="s">
        <v>1211</v>
      </c>
    </row>
    <row r="309" ht="70.5" customHeight="1">
      <c r="A309" s="36">
        <v>4.0</v>
      </c>
      <c r="B309" s="16" t="s">
        <v>1212</v>
      </c>
      <c r="C309" s="47" t="s">
        <v>1209</v>
      </c>
      <c r="D309" s="47" t="s">
        <v>1213</v>
      </c>
    </row>
    <row r="310" ht="60.0" customHeight="1">
      <c r="A310" s="31">
        <v>5.0</v>
      </c>
      <c r="B310" s="9" t="s">
        <v>1214</v>
      </c>
      <c r="C310" s="41" t="s">
        <v>1215</v>
      </c>
      <c r="D310" s="9" t="s">
        <v>1216</v>
      </c>
    </row>
    <row r="311" ht="36.75" customHeight="1">
      <c r="A311" s="36">
        <v>6.0</v>
      </c>
      <c r="B311" s="16" t="s">
        <v>1217</v>
      </c>
      <c r="C311" s="47" t="s">
        <v>1215</v>
      </c>
      <c r="D311" s="16" t="s">
        <v>1218</v>
      </c>
    </row>
    <row r="312" ht="36.75" customHeight="1">
      <c r="A312" s="31">
        <v>7.0</v>
      </c>
      <c r="B312" s="9" t="s">
        <v>1219</v>
      </c>
      <c r="C312" s="41" t="s">
        <v>1215</v>
      </c>
      <c r="D312" s="9" t="s">
        <v>1218</v>
      </c>
    </row>
    <row r="313" ht="15.75" customHeight="1"/>
    <row r="314" ht="15.75" customHeight="1">
      <c r="A314" s="5" t="s">
        <v>1220</v>
      </c>
      <c r="B314" s="3"/>
    </row>
    <row r="315" ht="25.5" customHeight="1">
      <c r="A315" s="14" t="s">
        <v>582</v>
      </c>
      <c r="B315" s="14" t="s">
        <v>1204</v>
      </c>
    </row>
    <row r="316" ht="60.0" customHeight="1">
      <c r="A316" s="31">
        <v>1.0</v>
      </c>
      <c r="B316" s="9" t="s">
        <v>1221</v>
      </c>
    </row>
    <row r="317" ht="48.0" customHeight="1">
      <c r="A317" s="36">
        <v>2.0</v>
      </c>
      <c r="B317" s="16" t="s">
        <v>1222</v>
      </c>
    </row>
    <row r="318" ht="25.5" customHeight="1">
      <c r="A318" s="31">
        <v>3.0</v>
      </c>
      <c r="B318" s="9" t="s">
        <v>1223</v>
      </c>
    </row>
    <row r="319" ht="36.75" customHeight="1">
      <c r="A319" s="36">
        <v>4.0</v>
      </c>
      <c r="B319" s="16" t="s">
        <v>1224</v>
      </c>
    </row>
    <row r="320" ht="48.0" customHeight="1">
      <c r="A320" s="31">
        <v>5.0</v>
      </c>
      <c r="B320" s="9" t="s">
        <v>1225</v>
      </c>
    </row>
    <row r="321" ht="25.5" customHeight="1">
      <c r="A321" s="36">
        <v>6.0</v>
      </c>
      <c r="B321" s="16" t="s">
        <v>1226</v>
      </c>
    </row>
    <row r="322" ht="81.75" customHeight="1">
      <c r="A322" s="31">
        <v>7.0</v>
      </c>
      <c r="B322" s="9" t="s">
        <v>1227</v>
      </c>
    </row>
    <row r="323" ht="15.75" customHeight="1"/>
    <row r="324" ht="15.75" customHeight="1">
      <c r="A324" s="5" t="s">
        <v>1228</v>
      </c>
      <c r="B324" s="2"/>
      <c r="C324" s="2"/>
      <c r="D324" s="2"/>
      <c r="E324" s="2"/>
      <c r="F324" s="2"/>
      <c r="G324" s="2"/>
      <c r="H324" s="2"/>
      <c r="I324" s="2"/>
      <c r="J324" s="2"/>
      <c r="K324" s="3"/>
    </row>
    <row r="325" ht="25.5" customHeight="1">
      <c r="A325" s="14" t="s">
        <v>615</v>
      </c>
      <c r="B325" s="14" t="s">
        <v>450</v>
      </c>
      <c r="C325" s="14" t="s">
        <v>272</v>
      </c>
      <c r="D325" s="14" t="s">
        <v>1184</v>
      </c>
      <c r="E325" s="14" t="s">
        <v>1185</v>
      </c>
      <c r="F325" s="14" t="s">
        <v>591</v>
      </c>
      <c r="G325" s="14" t="s">
        <v>592</v>
      </c>
      <c r="H325" s="14" t="s">
        <v>1186</v>
      </c>
      <c r="I325" s="14" t="s">
        <v>1187</v>
      </c>
      <c r="J325" s="14" t="s">
        <v>593</v>
      </c>
      <c r="K325" s="14" t="s">
        <v>337</v>
      </c>
    </row>
    <row r="326" ht="15.75" customHeight="1">
      <c r="A326" s="31" t="s">
        <v>542</v>
      </c>
      <c r="B326" s="41">
        <v>2.0</v>
      </c>
      <c r="C326" s="41" t="s">
        <v>1191</v>
      </c>
      <c r="D326" s="41">
        <v>5.0</v>
      </c>
      <c r="E326" s="41">
        <v>10.0</v>
      </c>
      <c r="F326" s="41">
        <v>27.0</v>
      </c>
      <c r="G326" s="41" t="s">
        <v>1192</v>
      </c>
      <c r="H326" s="41">
        <v>6.0</v>
      </c>
      <c r="I326" s="41">
        <v>10.0</v>
      </c>
      <c r="J326" s="41">
        <v>33.0</v>
      </c>
      <c r="K326" s="41">
        <v>5.0</v>
      </c>
    </row>
    <row r="327" ht="15.75" customHeight="1">
      <c r="A327" s="36" t="s">
        <v>543</v>
      </c>
      <c r="B327" s="47">
        <v>3.0</v>
      </c>
      <c r="C327" s="47" t="s">
        <v>1194</v>
      </c>
      <c r="D327" s="47">
        <v>6.0</v>
      </c>
      <c r="E327" s="47">
        <v>12.0</v>
      </c>
      <c r="F327" s="47">
        <v>39.0</v>
      </c>
      <c r="G327" s="47" t="s">
        <v>1195</v>
      </c>
      <c r="H327" s="47">
        <v>8.0</v>
      </c>
      <c r="I327" s="47">
        <v>12.0</v>
      </c>
      <c r="J327" s="47">
        <v>52.0</v>
      </c>
      <c r="K327" s="47">
        <v>5.0</v>
      </c>
    </row>
    <row r="328" ht="15.75" customHeight="1">
      <c r="A328" s="31" t="s">
        <v>544</v>
      </c>
      <c r="B328" s="41">
        <v>4.0</v>
      </c>
      <c r="C328" s="41" t="s">
        <v>1197</v>
      </c>
      <c r="D328" s="41">
        <v>6.0</v>
      </c>
      <c r="E328" s="41">
        <v>20.0</v>
      </c>
      <c r="F328" s="41">
        <v>63.0</v>
      </c>
      <c r="G328" s="41" t="s">
        <v>1198</v>
      </c>
      <c r="H328" s="41">
        <v>7.0</v>
      </c>
      <c r="I328" s="41">
        <v>20.0</v>
      </c>
      <c r="J328" s="41">
        <v>73.0</v>
      </c>
      <c r="K328" s="41">
        <v>5.0</v>
      </c>
    </row>
    <row r="329" ht="15.75" customHeight="1">
      <c r="A329" s="36" t="s">
        <v>545</v>
      </c>
      <c r="B329" s="47">
        <v>5.0</v>
      </c>
      <c r="C329" s="47" t="s">
        <v>1200</v>
      </c>
      <c r="D329" s="47">
        <v>10.0</v>
      </c>
      <c r="E329" s="47">
        <v>20.0</v>
      </c>
      <c r="F329" s="47">
        <v>105.0</v>
      </c>
      <c r="G329" s="47" t="s">
        <v>1200</v>
      </c>
      <c r="H329" s="47">
        <v>10.0</v>
      </c>
      <c r="I329" s="47">
        <v>20.0</v>
      </c>
      <c r="J329" s="47">
        <v>105.0</v>
      </c>
      <c r="K329" s="47">
        <v>5.0</v>
      </c>
    </row>
    <row r="330" ht="15.75" customHeight="1">
      <c r="A330" s="31" t="s">
        <v>546</v>
      </c>
      <c r="B330" s="41">
        <v>6.0</v>
      </c>
      <c r="C330" s="41" t="s">
        <v>1201</v>
      </c>
      <c r="D330" s="41">
        <v>14.0</v>
      </c>
      <c r="E330" s="41">
        <v>20.0</v>
      </c>
      <c r="F330" s="41">
        <v>147.0</v>
      </c>
      <c r="G330" s="41" t="s">
        <v>1201</v>
      </c>
      <c r="H330" s="41">
        <v>14.0</v>
      </c>
      <c r="I330" s="41">
        <v>20.0</v>
      </c>
      <c r="J330" s="41">
        <v>147.0</v>
      </c>
      <c r="K330" s="41">
        <v>5.0</v>
      </c>
    </row>
    <row r="331" ht="15.75" customHeight="1"/>
    <row r="332" ht="15.75" customHeight="1">
      <c r="A332" s="5" t="s">
        <v>1231</v>
      </c>
      <c r="B332" s="2"/>
      <c r="C332" s="2"/>
      <c r="D332" s="2"/>
      <c r="E332" s="2"/>
      <c r="F332" s="2"/>
      <c r="G332" s="3"/>
    </row>
    <row r="333" ht="15.75" customHeight="1">
      <c r="A333" s="14" t="s">
        <v>1233</v>
      </c>
      <c r="B333" s="14" t="s">
        <v>1234</v>
      </c>
      <c r="C333" s="14" t="s">
        <v>1235</v>
      </c>
      <c r="D333" s="14" t="s">
        <v>1236</v>
      </c>
      <c r="E333" s="14" t="s">
        <v>1237</v>
      </c>
      <c r="F333" s="14" t="s">
        <v>1238</v>
      </c>
      <c r="G333" s="14" t="s">
        <v>1239</v>
      </c>
    </row>
    <row r="334" ht="15.75" customHeight="1">
      <c r="A334" s="31">
        <v>3.0</v>
      </c>
      <c r="B334" s="41">
        <v>4.0</v>
      </c>
      <c r="C334" s="41">
        <v>5.0</v>
      </c>
      <c r="D334" s="41">
        <v>6.0</v>
      </c>
      <c r="E334" s="41">
        <v>2.0</v>
      </c>
      <c r="F334" s="41">
        <v>3.0</v>
      </c>
      <c r="G334" s="41">
        <v>4.0</v>
      </c>
    </row>
    <row r="335" ht="15.75" customHeight="1">
      <c r="A335" s="36">
        <v>4.0</v>
      </c>
      <c r="B335" s="47">
        <v>5.0</v>
      </c>
      <c r="C335" s="47">
        <v>6.0</v>
      </c>
      <c r="D335" s="47">
        <v>7.0</v>
      </c>
      <c r="E335" s="47">
        <v>3.0</v>
      </c>
      <c r="F335" s="47">
        <v>4.0</v>
      </c>
      <c r="G335" s="47">
        <v>5.0</v>
      </c>
    </row>
    <row r="336" ht="15.75" customHeight="1">
      <c r="A336" s="31">
        <v>5.0</v>
      </c>
      <c r="B336" s="41">
        <v>6.0</v>
      </c>
      <c r="C336" s="41">
        <v>7.0</v>
      </c>
      <c r="D336" s="41">
        <v>8.0</v>
      </c>
      <c r="E336" s="41">
        <v>4.0</v>
      </c>
      <c r="F336" s="41">
        <v>5.0</v>
      </c>
      <c r="G336" s="41">
        <v>6.0</v>
      </c>
    </row>
    <row r="337" ht="15.75" customHeight="1">
      <c r="A337" s="36">
        <v>6.0</v>
      </c>
      <c r="B337" s="47">
        <v>7.0</v>
      </c>
      <c r="C337" s="47">
        <v>8.0</v>
      </c>
      <c r="D337" s="47">
        <v>9.0</v>
      </c>
      <c r="E337" s="47">
        <v>5.0</v>
      </c>
      <c r="F337" s="47">
        <v>6.0</v>
      </c>
      <c r="G337" s="47">
        <v>7.0</v>
      </c>
    </row>
    <row r="338" ht="15.75" customHeight="1"/>
    <row r="339" ht="15.75" customHeight="1">
      <c r="A339" s="5" t="s">
        <v>1242</v>
      </c>
      <c r="B339" s="2"/>
      <c r="C339" s="3"/>
    </row>
    <row r="340" ht="15.75" customHeight="1">
      <c r="A340" s="14" t="s">
        <v>1243</v>
      </c>
      <c r="B340" s="14" t="s">
        <v>594</v>
      </c>
    </row>
    <row r="341" ht="15.75" customHeight="1">
      <c r="A341" s="31">
        <v>1.0</v>
      </c>
      <c r="B341" s="41">
        <v>1.0</v>
      </c>
    </row>
    <row r="342" ht="15.75" customHeight="1">
      <c r="A342" s="36">
        <v>2.0</v>
      </c>
      <c r="B342" s="47">
        <v>1.0</v>
      </c>
    </row>
    <row r="343" ht="15.75" customHeight="1">
      <c r="A343" s="31">
        <v>3.0</v>
      </c>
      <c r="B343" s="41">
        <v>2.0</v>
      </c>
    </row>
    <row r="344" ht="15.75" customHeight="1">
      <c r="A344" s="36">
        <v>4.0</v>
      </c>
      <c r="B344" s="47">
        <v>3.0</v>
      </c>
    </row>
    <row r="345" ht="15.75" customHeight="1">
      <c r="A345" s="31">
        <v>5.0</v>
      </c>
      <c r="B345" s="41">
        <v>4.0</v>
      </c>
    </row>
    <row r="346" ht="15.75" customHeight="1">
      <c r="A346" s="36">
        <v>6.0</v>
      </c>
      <c r="B346" s="47">
        <v>5.0</v>
      </c>
    </row>
    <row r="347" ht="15.75" customHeight="1">
      <c r="A347" s="31">
        <v>7.0</v>
      </c>
      <c r="B347" s="41">
        <v>6.0</v>
      </c>
    </row>
    <row r="348" ht="15.75" customHeight="1"/>
    <row r="349" ht="15.75" customHeight="1">
      <c r="A349" s="5" t="s">
        <v>631</v>
      </c>
      <c r="B349" s="2"/>
      <c r="C349" s="3"/>
    </row>
    <row r="350" ht="15.75" customHeight="1">
      <c r="A350" s="14" t="s">
        <v>632</v>
      </c>
      <c r="B350" s="14" t="s">
        <v>110</v>
      </c>
      <c r="C350" s="14" t="s">
        <v>633</v>
      </c>
    </row>
    <row r="351" ht="25.5" customHeight="1">
      <c r="A351" s="98" t="s">
        <v>1244</v>
      </c>
      <c r="B351" s="41" t="s">
        <v>1245</v>
      </c>
      <c r="C351" s="9" t="s">
        <v>1246</v>
      </c>
    </row>
    <row r="352" ht="25.5" customHeight="1">
      <c r="A352" s="36" t="s">
        <v>1247</v>
      </c>
      <c r="B352" s="47" t="s">
        <v>1248</v>
      </c>
      <c r="C352" s="16" t="s">
        <v>1246</v>
      </c>
    </row>
    <row r="353" ht="15.75" customHeight="1">
      <c r="A353" s="31" t="s">
        <v>1249</v>
      </c>
      <c r="B353" s="41" t="s">
        <v>1250</v>
      </c>
      <c r="C353" s="41" t="s">
        <v>1251</v>
      </c>
    </row>
    <row r="354" ht="25.5" customHeight="1">
      <c r="A354" s="36" t="s">
        <v>1252</v>
      </c>
      <c r="B354" s="47" t="s">
        <v>1250</v>
      </c>
      <c r="C354" s="16" t="s">
        <v>1253</v>
      </c>
    </row>
    <row r="355" ht="25.5" customHeight="1">
      <c r="A355" s="98" t="s">
        <v>1254</v>
      </c>
      <c r="B355" s="41" t="s">
        <v>1250</v>
      </c>
      <c r="C355" s="41" t="s">
        <v>1251</v>
      </c>
    </row>
    <row r="356" ht="15.75" customHeight="1">
      <c r="A356" s="36" t="s">
        <v>1255</v>
      </c>
      <c r="B356" s="47" t="s">
        <v>1256</v>
      </c>
      <c r="C356" s="47" t="s">
        <v>519</v>
      </c>
    </row>
    <row r="357" ht="48.0" customHeight="1">
      <c r="A357" s="31" t="s">
        <v>1257</v>
      </c>
      <c r="B357" s="9" t="s">
        <v>1258</v>
      </c>
      <c r="C357" s="41" t="s">
        <v>519</v>
      </c>
    </row>
    <row r="358" ht="81.75" customHeight="1">
      <c r="A358" s="36" t="s">
        <v>107</v>
      </c>
      <c r="B358" s="16" t="s">
        <v>1259</v>
      </c>
      <c r="C358" s="16" t="s">
        <v>1260</v>
      </c>
    </row>
    <row r="359" ht="15.75" customHeight="1"/>
    <row r="360" ht="15.75" customHeight="1">
      <c r="A360" s="5" t="s">
        <v>1261</v>
      </c>
      <c r="B360" s="3"/>
    </row>
    <row r="361" ht="25.5" customHeight="1">
      <c r="A361" s="14" t="s">
        <v>632</v>
      </c>
      <c r="B361" s="14" t="s">
        <v>337</v>
      </c>
    </row>
    <row r="362" ht="15.75" customHeight="1">
      <c r="A362" s="31" t="s">
        <v>270</v>
      </c>
      <c r="B362" s="41" t="s">
        <v>1207</v>
      </c>
    </row>
    <row r="363" ht="15.75" customHeight="1">
      <c r="A363" s="36" t="s">
        <v>1262</v>
      </c>
      <c r="B363" s="47" t="s">
        <v>1211</v>
      </c>
    </row>
    <row r="364" ht="15.75" customHeight="1">
      <c r="A364" s="31" t="s">
        <v>1263</v>
      </c>
      <c r="B364" s="41" t="s">
        <v>1264</v>
      </c>
    </row>
    <row r="365" ht="15.75" customHeight="1">
      <c r="A365" s="36" t="s">
        <v>1265</v>
      </c>
      <c r="B365" s="47" t="s">
        <v>1266</v>
      </c>
    </row>
    <row r="366" ht="15.75" customHeight="1">
      <c r="A366" s="31" t="s">
        <v>1267</v>
      </c>
      <c r="B366" s="41" t="s">
        <v>1268</v>
      </c>
    </row>
    <row r="367" ht="15.75" customHeight="1">
      <c r="A367" s="36" t="s">
        <v>1269</v>
      </c>
      <c r="B367" s="47" t="s">
        <v>1270</v>
      </c>
    </row>
    <row r="368" ht="15.75" customHeight="1">
      <c r="A368" s="31" t="s">
        <v>1271</v>
      </c>
      <c r="B368" s="41" t="s">
        <v>1272</v>
      </c>
    </row>
    <row r="369" ht="25.5" customHeight="1">
      <c r="A369" s="36" t="s">
        <v>449</v>
      </c>
      <c r="B369" s="16" t="s">
        <v>1273</v>
      </c>
    </row>
    <row r="370" ht="25.5" customHeight="1">
      <c r="A370" s="31" t="s">
        <v>1274</v>
      </c>
      <c r="B370" s="9" t="s">
        <v>1275</v>
      </c>
    </row>
    <row r="371" ht="15.75" customHeight="1"/>
    <row r="372" ht="15.75" customHeight="1">
      <c r="A372" s="5" t="s">
        <v>1276</v>
      </c>
      <c r="B372" s="2"/>
      <c r="C372" s="2"/>
      <c r="D372" s="2"/>
      <c r="E372" s="2"/>
      <c r="F372" s="2"/>
      <c r="G372" s="2"/>
      <c r="H372" s="3"/>
    </row>
    <row r="373" ht="25.5" customHeight="1">
      <c r="A373" s="14" t="s">
        <v>106</v>
      </c>
      <c r="B373" s="14" t="s">
        <v>1277</v>
      </c>
      <c r="C373" s="14" t="s">
        <v>1278</v>
      </c>
      <c r="D373" s="14" t="s">
        <v>712</v>
      </c>
      <c r="E373" s="14" t="s">
        <v>1279</v>
      </c>
      <c r="F373" s="14" t="s">
        <v>1280</v>
      </c>
      <c r="G373" s="14" t="s">
        <v>1281</v>
      </c>
      <c r="H373" s="14" t="s">
        <v>249</v>
      </c>
    </row>
    <row r="374" ht="36.75" customHeight="1">
      <c r="A374" s="31" t="s">
        <v>678</v>
      </c>
      <c r="B374" s="9" t="s">
        <v>1282</v>
      </c>
      <c r="C374" s="9" t="s">
        <v>1283</v>
      </c>
      <c r="D374" s="9" t="s">
        <v>1284</v>
      </c>
      <c r="E374" s="41">
        <v>2.0</v>
      </c>
      <c r="F374" s="41">
        <v>6.0</v>
      </c>
      <c r="G374" s="41">
        <v>2.0</v>
      </c>
      <c r="H374" s="41" t="s">
        <v>682</v>
      </c>
    </row>
    <row r="375" ht="48.0" customHeight="1">
      <c r="A375" s="36" t="s">
        <v>702</v>
      </c>
      <c r="B375" s="16" t="s">
        <v>1285</v>
      </c>
      <c r="C375" s="16" t="s">
        <v>1286</v>
      </c>
      <c r="D375" s="16" t="s">
        <v>1284</v>
      </c>
      <c r="E375" s="47">
        <v>2.0</v>
      </c>
      <c r="F375" s="47">
        <v>6.0</v>
      </c>
      <c r="G375" s="47">
        <v>2.0</v>
      </c>
      <c r="H375" s="47" t="s">
        <v>705</v>
      </c>
    </row>
    <row r="376" ht="36.75" customHeight="1">
      <c r="A376" s="31" t="s">
        <v>720</v>
      </c>
      <c r="B376" s="9" t="s">
        <v>1287</v>
      </c>
      <c r="C376" s="9" t="s">
        <v>1288</v>
      </c>
      <c r="D376" s="41" t="s">
        <v>71</v>
      </c>
      <c r="E376" s="41">
        <v>0.0</v>
      </c>
      <c r="F376" s="41">
        <v>0.0</v>
      </c>
      <c r="G376" s="41">
        <v>1.0</v>
      </c>
      <c r="H376" s="41" t="s">
        <v>1289</v>
      </c>
    </row>
    <row r="377" ht="25.5" customHeight="1">
      <c r="A377" s="36" t="s">
        <v>735</v>
      </c>
      <c r="B377" s="16" t="s">
        <v>1290</v>
      </c>
      <c r="C377" s="16" t="s">
        <v>1291</v>
      </c>
      <c r="D377" s="47" t="s">
        <v>1292</v>
      </c>
      <c r="E377" s="47">
        <v>1.0</v>
      </c>
      <c r="F377" s="47">
        <v>6.0</v>
      </c>
      <c r="G377" s="47">
        <v>1.0</v>
      </c>
      <c r="H377" s="47" t="s">
        <v>724</v>
      </c>
    </row>
    <row r="378" ht="36.75" customHeight="1">
      <c r="A378" s="31" t="s">
        <v>750</v>
      </c>
      <c r="B378" s="9" t="s">
        <v>1293</v>
      </c>
      <c r="C378" s="9" t="s">
        <v>1294</v>
      </c>
      <c r="D378" s="41" t="s">
        <v>1292</v>
      </c>
      <c r="E378" s="41">
        <v>1.0</v>
      </c>
      <c r="F378" s="41">
        <v>6.0</v>
      </c>
      <c r="G378" s="41">
        <v>1.0</v>
      </c>
      <c r="H378" s="9" t="s">
        <v>740</v>
      </c>
    </row>
    <row r="379" ht="36.75" customHeight="1">
      <c r="A379" s="36" t="s">
        <v>763</v>
      </c>
      <c r="B379" s="16" t="s">
        <v>1295</v>
      </c>
      <c r="C379" s="16" t="s">
        <v>1296</v>
      </c>
      <c r="D379" s="47" t="s">
        <v>71</v>
      </c>
      <c r="E379" s="47">
        <v>0.0</v>
      </c>
      <c r="F379" s="47">
        <v>0.0</v>
      </c>
      <c r="G379" s="47">
        <v>1.0</v>
      </c>
      <c r="H379" s="47" t="s">
        <v>755</v>
      </c>
    </row>
    <row r="380" ht="25.5" customHeight="1">
      <c r="A380" s="31" t="s">
        <v>772</v>
      </c>
      <c r="B380" s="9" t="s">
        <v>1297</v>
      </c>
      <c r="C380" s="9" t="s">
        <v>1298</v>
      </c>
      <c r="D380" s="41" t="s">
        <v>71</v>
      </c>
      <c r="E380" s="41">
        <v>0.0</v>
      </c>
      <c r="F380" s="41">
        <v>0.0</v>
      </c>
      <c r="G380" s="41">
        <v>1.0</v>
      </c>
      <c r="H380" s="41" t="s">
        <v>765</v>
      </c>
    </row>
    <row r="381" ht="15.75" customHeight="1"/>
    <row r="382" ht="15.75" customHeight="1">
      <c r="A382" s="5" t="s">
        <v>1299</v>
      </c>
      <c r="B382" s="2"/>
      <c r="C382" s="3"/>
    </row>
    <row r="383" ht="25.5" customHeight="1">
      <c r="A383" s="14" t="s">
        <v>635</v>
      </c>
      <c r="B383" s="14" t="s">
        <v>272</v>
      </c>
      <c r="C383" s="14" t="s">
        <v>337</v>
      </c>
    </row>
    <row r="384" ht="25.5" customHeight="1">
      <c r="A384" s="31" t="s">
        <v>1300</v>
      </c>
      <c r="B384" s="9" t="s">
        <v>1301</v>
      </c>
      <c r="C384" s="41" t="s">
        <v>1302</v>
      </c>
    </row>
    <row r="385" ht="36.75" customHeight="1">
      <c r="A385" s="99" t="s">
        <v>1303</v>
      </c>
      <c r="B385" s="47" t="s">
        <v>1304</v>
      </c>
      <c r="C385" s="16" t="s">
        <v>1305</v>
      </c>
    </row>
    <row r="386" ht="36.75" customHeight="1">
      <c r="A386" s="31" t="s">
        <v>1306</v>
      </c>
      <c r="B386" s="9" t="s">
        <v>1307</v>
      </c>
      <c r="C386" s="41" t="s">
        <v>1308</v>
      </c>
    </row>
    <row r="387" ht="15.75" customHeight="1"/>
    <row r="388" ht="15.75" customHeight="1">
      <c r="A388" s="5" t="s">
        <v>1309</v>
      </c>
      <c r="B388" s="2"/>
      <c r="C388" s="3"/>
    </row>
    <row r="389" ht="15.75" customHeight="1">
      <c r="A389" s="14" t="s">
        <v>1310</v>
      </c>
      <c r="B389" s="14" t="s">
        <v>43</v>
      </c>
    </row>
    <row r="390" ht="15.75" customHeight="1">
      <c r="A390" s="31" t="s">
        <v>542</v>
      </c>
      <c r="B390" s="41">
        <v>13.0</v>
      </c>
    </row>
    <row r="391" ht="15.75" customHeight="1">
      <c r="A391" s="36" t="s">
        <v>543</v>
      </c>
      <c r="B391" s="47">
        <v>14.0</v>
      </c>
    </row>
    <row r="392" ht="15.75" customHeight="1">
      <c r="A392" s="31" t="s">
        <v>544</v>
      </c>
      <c r="B392" s="41">
        <v>15.0</v>
      </c>
    </row>
    <row r="393" ht="15.75" customHeight="1">
      <c r="A393" s="36" t="s">
        <v>545</v>
      </c>
      <c r="B393" s="47">
        <v>16.0</v>
      </c>
    </row>
    <row r="394" ht="15.75" customHeight="1">
      <c r="A394" s="31" t="s">
        <v>546</v>
      </c>
      <c r="B394" s="41">
        <v>17.0</v>
      </c>
    </row>
    <row r="395" ht="15.75" customHeight="1"/>
    <row r="396" ht="15.75" customHeight="1">
      <c r="A396" s="5" t="s">
        <v>1311</v>
      </c>
      <c r="B396" s="2"/>
      <c r="C396" s="2"/>
      <c r="D396" s="2"/>
      <c r="E396" s="3"/>
    </row>
    <row r="397" ht="15.75" customHeight="1">
      <c r="A397" s="14" t="s">
        <v>804</v>
      </c>
      <c r="B397" s="14" t="s">
        <v>560</v>
      </c>
      <c r="C397" s="14" t="s">
        <v>806</v>
      </c>
      <c r="D397" s="14" t="s">
        <v>808</v>
      </c>
      <c r="E397" s="14" t="s">
        <v>809</v>
      </c>
    </row>
    <row r="398" ht="36.75" customHeight="1">
      <c r="A398" s="31" t="s">
        <v>682</v>
      </c>
      <c r="B398" s="9" t="s">
        <v>1312</v>
      </c>
      <c r="C398" s="41" t="s">
        <v>1209</v>
      </c>
      <c r="D398" s="41" t="s">
        <v>1313</v>
      </c>
      <c r="E398" s="41" t="s">
        <v>710</v>
      </c>
    </row>
    <row r="399" ht="25.5" customHeight="1">
      <c r="A399" s="36" t="s">
        <v>705</v>
      </c>
      <c r="B399" s="16" t="s">
        <v>1314</v>
      </c>
      <c r="C399" s="47" t="s">
        <v>1209</v>
      </c>
      <c r="D399" s="47" t="s">
        <v>1313</v>
      </c>
      <c r="E399" s="47" t="s">
        <v>710</v>
      </c>
    </row>
    <row r="400" ht="25.5" customHeight="1">
      <c r="A400" s="31" t="s">
        <v>724</v>
      </c>
      <c r="B400" s="9" t="s">
        <v>1315</v>
      </c>
      <c r="C400" s="41" t="s">
        <v>1209</v>
      </c>
      <c r="D400" s="41" t="s">
        <v>1313</v>
      </c>
      <c r="E400" s="41" t="s">
        <v>710</v>
      </c>
    </row>
    <row r="401" ht="25.5" customHeight="1">
      <c r="A401" s="36" t="s">
        <v>740</v>
      </c>
      <c r="B401" s="16" t="s">
        <v>1316</v>
      </c>
      <c r="C401" s="47" t="s">
        <v>1209</v>
      </c>
      <c r="D401" s="47" t="s">
        <v>1268</v>
      </c>
      <c r="E401" s="47" t="s">
        <v>710</v>
      </c>
    </row>
    <row r="402" ht="36.75" customHeight="1">
      <c r="A402" s="31" t="s">
        <v>755</v>
      </c>
      <c r="B402" s="9" t="s">
        <v>1317</v>
      </c>
      <c r="C402" s="41" t="s">
        <v>1206</v>
      </c>
      <c r="D402" s="41" t="s">
        <v>1268</v>
      </c>
      <c r="E402" s="41" t="s">
        <v>710</v>
      </c>
    </row>
    <row r="403" ht="25.5" customHeight="1">
      <c r="A403" s="36" t="s">
        <v>765</v>
      </c>
      <c r="B403" s="16" t="s">
        <v>1318</v>
      </c>
      <c r="C403" s="47" t="s">
        <v>1206</v>
      </c>
      <c r="D403" s="47" t="s">
        <v>1313</v>
      </c>
      <c r="E403" s="47" t="s">
        <v>710</v>
      </c>
    </row>
    <row r="404" ht="60.0" customHeight="1">
      <c r="A404" s="31" t="s">
        <v>1319</v>
      </c>
      <c r="B404" s="9" t="s">
        <v>1320</v>
      </c>
      <c r="C404" s="41" t="s">
        <v>1206</v>
      </c>
      <c r="D404" s="9" t="s">
        <v>1321</v>
      </c>
      <c r="E404" s="41" t="s">
        <v>687</v>
      </c>
    </row>
    <row r="405" ht="60.0" customHeight="1">
      <c r="A405" s="36" t="s">
        <v>773</v>
      </c>
      <c r="B405" s="16" t="s">
        <v>1322</v>
      </c>
      <c r="C405" s="47" t="s">
        <v>1323</v>
      </c>
      <c r="D405" s="47" t="s">
        <v>1324</v>
      </c>
      <c r="E405" s="47" t="s">
        <v>710</v>
      </c>
    </row>
    <row r="406" ht="36.75" customHeight="1">
      <c r="A406" s="31" t="s">
        <v>778</v>
      </c>
      <c r="B406" s="9" t="s">
        <v>1325</v>
      </c>
      <c r="C406" s="41" t="s">
        <v>1323</v>
      </c>
      <c r="D406" s="9" t="s">
        <v>1326</v>
      </c>
      <c r="E406" s="41" t="s">
        <v>710</v>
      </c>
    </row>
    <row r="407" ht="36.75" customHeight="1">
      <c r="A407" s="36" t="s">
        <v>292</v>
      </c>
      <c r="B407" s="16" t="s">
        <v>1327</v>
      </c>
      <c r="C407" s="47" t="s">
        <v>1206</v>
      </c>
      <c r="D407" s="47" t="s">
        <v>519</v>
      </c>
      <c r="E407" s="47" t="s">
        <v>710</v>
      </c>
    </row>
    <row r="408" ht="25.5" customHeight="1">
      <c r="A408" s="31" t="s">
        <v>782</v>
      </c>
      <c r="B408" s="9" t="s">
        <v>1328</v>
      </c>
      <c r="C408" s="41" t="s">
        <v>1323</v>
      </c>
      <c r="D408" s="41" t="s">
        <v>1313</v>
      </c>
      <c r="E408" s="41" t="s">
        <v>710</v>
      </c>
    </row>
    <row r="409" ht="60.0" customHeight="1">
      <c r="A409" s="36" t="s">
        <v>297</v>
      </c>
      <c r="B409" s="16" t="s">
        <v>1329</v>
      </c>
      <c r="C409" s="47" t="s">
        <v>1323</v>
      </c>
      <c r="D409" s="47" t="s">
        <v>1324</v>
      </c>
      <c r="E409" s="47" t="s">
        <v>710</v>
      </c>
    </row>
    <row r="410" ht="36.75" customHeight="1">
      <c r="A410" s="31" t="s">
        <v>786</v>
      </c>
      <c r="B410" s="9" t="s">
        <v>1330</v>
      </c>
      <c r="C410" s="41" t="s">
        <v>1331</v>
      </c>
      <c r="D410" s="41" t="s">
        <v>1268</v>
      </c>
      <c r="E410" s="41" t="s">
        <v>710</v>
      </c>
    </row>
    <row r="411" ht="36.75" customHeight="1">
      <c r="A411" s="36" t="s">
        <v>1332</v>
      </c>
      <c r="B411" s="16" t="s">
        <v>1333</v>
      </c>
      <c r="C411" s="16" t="s">
        <v>1334</v>
      </c>
      <c r="D411" s="47" t="s">
        <v>519</v>
      </c>
      <c r="E411" s="47" t="s">
        <v>687</v>
      </c>
    </row>
    <row r="412" ht="25.5" customHeight="1">
      <c r="A412" s="31" t="s">
        <v>327</v>
      </c>
      <c r="B412" s="9" t="s">
        <v>1335</v>
      </c>
      <c r="C412" s="41" t="s">
        <v>1336</v>
      </c>
      <c r="D412" s="41" t="s">
        <v>519</v>
      </c>
      <c r="E412" s="41" t="s">
        <v>710</v>
      </c>
    </row>
    <row r="413" ht="60.0" customHeight="1">
      <c r="A413" s="36" t="s">
        <v>1337</v>
      </c>
      <c r="B413" s="16" t="s">
        <v>1338</v>
      </c>
      <c r="C413" s="16" t="s">
        <v>1339</v>
      </c>
      <c r="D413" s="47" t="s">
        <v>519</v>
      </c>
      <c r="E413" s="47" t="s">
        <v>710</v>
      </c>
    </row>
    <row r="414" ht="15.75" customHeight="1"/>
    <row r="415" ht="15.75" customHeight="1">
      <c r="A415" s="5" t="s">
        <v>538</v>
      </c>
      <c r="B415" s="2"/>
      <c r="C415" s="2"/>
      <c r="D415" s="2"/>
      <c r="E415" s="2"/>
      <c r="F415" s="3"/>
    </row>
    <row r="416" ht="15.75" customHeight="1">
      <c r="A416" s="14" t="s">
        <v>42</v>
      </c>
      <c r="B416" s="14" t="s">
        <v>542</v>
      </c>
      <c r="C416" s="14" t="s">
        <v>543</v>
      </c>
      <c r="D416" s="14" t="s">
        <v>544</v>
      </c>
      <c r="E416" s="14" t="s">
        <v>545</v>
      </c>
      <c r="F416" s="14" t="s">
        <v>546</v>
      </c>
    </row>
    <row r="417" ht="15.75" customHeight="1">
      <c r="A417" s="31" t="s">
        <v>1342</v>
      </c>
      <c r="B417" s="41">
        <v>8.0</v>
      </c>
      <c r="C417" s="41">
        <v>9.0</v>
      </c>
      <c r="D417" s="41">
        <v>10.0</v>
      </c>
      <c r="E417" s="41">
        <v>11.0</v>
      </c>
      <c r="F417" s="41">
        <v>12.0</v>
      </c>
    </row>
    <row r="418" ht="15.75" customHeight="1">
      <c r="A418" s="36" t="s">
        <v>1343</v>
      </c>
      <c r="B418" s="47">
        <v>10.0</v>
      </c>
      <c r="C418" s="47">
        <v>12.0</v>
      </c>
      <c r="D418" s="47">
        <v>14.0</v>
      </c>
      <c r="E418" s="47">
        <v>16.0</v>
      </c>
      <c r="F418" s="47">
        <v>18.0</v>
      </c>
    </row>
    <row r="419" ht="15.75" customHeight="1">
      <c r="A419" s="31" t="s">
        <v>273</v>
      </c>
      <c r="B419" s="41">
        <v>13.0</v>
      </c>
      <c r="C419" s="41">
        <v>16.0</v>
      </c>
      <c r="D419" s="41">
        <v>19.0</v>
      </c>
      <c r="E419" s="41">
        <v>22.0</v>
      </c>
      <c r="F419" s="41">
        <v>25.0</v>
      </c>
    </row>
    <row r="420" ht="15.75" customHeight="1">
      <c r="A420" s="36" t="s">
        <v>1344</v>
      </c>
      <c r="B420" s="47">
        <v>16.0</v>
      </c>
      <c r="C420" s="47">
        <v>19.0</v>
      </c>
      <c r="D420" s="47">
        <v>23.0</v>
      </c>
      <c r="E420" s="47">
        <v>27.0</v>
      </c>
      <c r="F420" s="47">
        <v>30.0</v>
      </c>
    </row>
    <row r="421" ht="15.75" customHeight="1">
      <c r="A421" s="31" t="s">
        <v>1345</v>
      </c>
      <c r="B421" s="41">
        <v>19.0</v>
      </c>
      <c r="C421" s="41">
        <v>23.0</v>
      </c>
      <c r="D421" s="41">
        <v>27.0</v>
      </c>
      <c r="E421" s="41">
        <v>31.0</v>
      </c>
      <c r="F421" s="41">
        <v>35.0</v>
      </c>
    </row>
    <row r="422" ht="15.75" customHeight="1">
      <c r="A422" s="36" t="s">
        <v>1346</v>
      </c>
      <c r="B422" s="47">
        <v>22.0</v>
      </c>
      <c r="C422" s="47">
        <v>26.0</v>
      </c>
      <c r="D422" s="47">
        <v>31.0</v>
      </c>
      <c r="E422" s="47">
        <v>34.0</v>
      </c>
      <c r="F422" s="47">
        <v>38.0</v>
      </c>
    </row>
    <row r="423" ht="15.75" customHeight="1"/>
    <row r="424" ht="15.75" customHeight="1">
      <c r="A424" s="5" t="s">
        <v>1347</v>
      </c>
      <c r="B424" s="2"/>
      <c r="C424" s="3"/>
    </row>
    <row r="425" ht="15.75" customHeight="1">
      <c r="A425" s="14" t="s">
        <v>562</v>
      </c>
      <c r="B425" s="14" t="s">
        <v>43</v>
      </c>
      <c r="C425" s="14" t="s">
        <v>563</v>
      </c>
    </row>
    <row r="426" ht="25.5" customHeight="1">
      <c r="A426" s="98" t="s">
        <v>1348</v>
      </c>
      <c r="B426" s="9" t="s">
        <v>1349</v>
      </c>
      <c r="C426" s="41" t="s">
        <v>1350</v>
      </c>
    </row>
    <row r="427" ht="25.5" customHeight="1">
      <c r="A427" s="99" t="s">
        <v>1351</v>
      </c>
      <c r="B427" s="16" t="s">
        <v>1352</v>
      </c>
      <c r="C427" s="47" t="s">
        <v>1353</v>
      </c>
    </row>
    <row r="428" ht="36.75" customHeight="1">
      <c r="A428" s="98" t="s">
        <v>1354</v>
      </c>
      <c r="B428" s="41" t="s">
        <v>1355</v>
      </c>
      <c r="C428" s="41" t="s">
        <v>1356</v>
      </c>
    </row>
    <row r="429" ht="25.5" customHeight="1">
      <c r="A429" s="99" t="s">
        <v>1357</v>
      </c>
      <c r="B429" s="47" t="s">
        <v>1355</v>
      </c>
      <c r="C429" s="47" t="s">
        <v>1358</v>
      </c>
    </row>
    <row r="430" ht="25.5" customHeight="1">
      <c r="A430" s="98" t="s">
        <v>1359</v>
      </c>
      <c r="B430" s="41" t="s">
        <v>1360</v>
      </c>
      <c r="C430" s="41" t="s">
        <v>1358</v>
      </c>
    </row>
    <row r="431" ht="15.75" customHeight="1"/>
    <row r="432" ht="15.75" customHeight="1">
      <c r="A432" s="5" t="s">
        <v>1361</v>
      </c>
      <c r="B432" s="3"/>
    </row>
    <row r="433" ht="15.75" customHeight="1">
      <c r="A433" s="14" t="s">
        <v>1362</v>
      </c>
      <c r="B433" s="14" t="s">
        <v>1363</v>
      </c>
    </row>
    <row r="434" ht="58.5" customHeight="1">
      <c r="A434" s="98" t="s">
        <v>1364</v>
      </c>
      <c r="B434" s="9" t="s">
        <v>1365</v>
      </c>
    </row>
    <row r="435" ht="36.75" customHeight="1">
      <c r="A435" s="36" t="s">
        <v>1366</v>
      </c>
      <c r="B435" s="16" t="s">
        <v>1367</v>
      </c>
    </row>
    <row r="436" ht="25.5" customHeight="1">
      <c r="A436" s="31" t="s">
        <v>1368</v>
      </c>
      <c r="B436" s="9" t="s">
        <v>1369</v>
      </c>
    </row>
    <row r="437" ht="25.5" customHeight="1">
      <c r="A437" s="36" t="s">
        <v>1337</v>
      </c>
      <c r="B437" s="16" t="s">
        <v>1370</v>
      </c>
    </row>
    <row r="438" ht="15.75" customHeight="1"/>
    <row r="439" ht="15.75" customHeight="1">
      <c r="A439" s="5" t="s">
        <v>1371</v>
      </c>
      <c r="B439" s="2"/>
      <c r="C439" s="2"/>
      <c r="D439" s="3"/>
    </row>
    <row r="440" ht="15.75" customHeight="1">
      <c r="A440" s="14" t="s">
        <v>1372</v>
      </c>
      <c r="B440" s="14" t="s">
        <v>1373</v>
      </c>
      <c r="C440" s="14" t="s">
        <v>1374</v>
      </c>
      <c r="D440" s="14" t="s">
        <v>1375</v>
      </c>
    </row>
    <row r="441" ht="15.75" customHeight="1">
      <c r="A441" s="31" t="s">
        <v>542</v>
      </c>
      <c r="B441" s="41">
        <v>12.0</v>
      </c>
      <c r="C441" s="41">
        <v>13.0</v>
      </c>
      <c r="D441" s="41">
        <v>14.0</v>
      </c>
    </row>
    <row r="442" ht="15.75" customHeight="1">
      <c r="A442" s="36" t="s">
        <v>543</v>
      </c>
      <c r="B442" s="47">
        <v>14.0</v>
      </c>
      <c r="C442" s="47">
        <v>15.0</v>
      </c>
      <c r="D442" s="47">
        <v>16.0</v>
      </c>
    </row>
    <row r="443" ht="15.75" customHeight="1">
      <c r="A443" s="31" t="s">
        <v>544</v>
      </c>
      <c r="B443" s="41">
        <v>16.0</v>
      </c>
      <c r="C443" s="41">
        <v>17.0</v>
      </c>
      <c r="D443" s="41">
        <v>18.0</v>
      </c>
    </row>
    <row r="444" ht="15.75" customHeight="1">
      <c r="A444" s="36" t="s">
        <v>545</v>
      </c>
      <c r="B444" s="47">
        <v>17.0</v>
      </c>
      <c r="C444" s="47">
        <v>18.0</v>
      </c>
      <c r="D444" s="47">
        <v>19.0</v>
      </c>
    </row>
    <row r="445" ht="15.75" customHeight="1">
      <c r="A445" s="31" t="s">
        <v>546</v>
      </c>
      <c r="B445" s="41">
        <v>19.0</v>
      </c>
      <c r="C445" s="41">
        <v>20.0</v>
      </c>
      <c r="D445" s="41">
        <v>21.0</v>
      </c>
    </row>
    <row r="446" ht="15.75" customHeight="1"/>
    <row r="447" ht="15.75" customHeight="1">
      <c r="A447" s="5" t="s">
        <v>1376</v>
      </c>
      <c r="B447" s="2"/>
      <c r="C447" s="2"/>
      <c r="D447" s="3"/>
    </row>
    <row r="448" ht="15.75" customHeight="1">
      <c r="A448" s="14" t="s">
        <v>1372</v>
      </c>
      <c r="B448" s="14" t="s">
        <v>1373</v>
      </c>
      <c r="C448" s="14" t="s">
        <v>1374</v>
      </c>
      <c r="D448" s="14" t="s">
        <v>1375</v>
      </c>
    </row>
    <row r="449" ht="15.75" customHeight="1">
      <c r="A449" s="31" t="s">
        <v>542</v>
      </c>
      <c r="B449" s="41">
        <v>1.0</v>
      </c>
      <c r="C449" s="41">
        <v>2.0</v>
      </c>
      <c r="D449" s="41">
        <v>3.0</v>
      </c>
    </row>
    <row r="450" ht="15.75" customHeight="1">
      <c r="A450" s="36" t="s">
        <v>543</v>
      </c>
      <c r="B450" s="47">
        <v>3.0</v>
      </c>
      <c r="C450" s="47">
        <v>4.0</v>
      </c>
      <c r="D450" s="47">
        <v>5.0</v>
      </c>
    </row>
    <row r="451" ht="15.75" customHeight="1">
      <c r="A451" s="31" t="s">
        <v>544</v>
      </c>
      <c r="B451" s="41">
        <v>4.0</v>
      </c>
      <c r="C451" s="41">
        <v>5.0</v>
      </c>
      <c r="D451" s="41">
        <v>6.0</v>
      </c>
    </row>
    <row r="452" ht="15.75" customHeight="1">
      <c r="A452" s="36" t="s">
        <v>545</v>
      </c>
      <c r="B452" s="47">
        <v>5.0</v>
      </c>
      <c r="C452" s="47">
        <v>6.0</v>
      </c>
      <c r="D452" s="47">
        <v>7.0</v>
      </c>
    </row>
    <row r="453" ht="15.75" customHeight="1">
      <c r="A453" s="31" t="s">
        <v>546</v>
      </c>
      <c r="B453" s="41">
        <v>7.0</v>
      </c>
      <c r="C453" s="41">
        <v>8.0</v>
      </c>
      <c r="D453" s="41">
        <v>9.0</v>
      </c>
    </row>
    <row r="454" ht="15.75" customHeight="1"/>
    <row r="455" ht="15.75" customHeight="1">
      <c r="A455" s="5" t="s">
        <v>1377</v>
      </c>
      <c r="B455" s="2"/>
      <c r="C455" s="2"/>
      <c r="D455" s="2"/>
      <c r="E455" s="2"/>
      <c r="F455" s="2"/>
      <c r="G455" s="2"/>
      <c r="H455" s="2"/>
      <c r="I455" s="2"/>
      <c r="J455" s="3"/>
    </row>
    <row r="456" ht="15.75" customHeight="1">
      <c r="A456" s="14" t="s">
        <v>383</v>
      </c>
      <c r="B456" s="14" t="s">
        <v>390</v>
      </c>
      <c r="C456" s="14" t="s">
        <v>1378</v>
      </c>
      <c r="D456" s="14" t="s">
        <v>1280</v>
      </c>
      <c r="E456" s="14" t="s">
        <v>216</v>
      </c>
      <c r="F456" s="14" t="s">
        <v>1379</v>
      </c>
      <c r="G456" s="14" t="s">
        <v>337</v>
      </c>
      <c r="H456" s="14" t="s">
        <v>389</v>
      </c>
      <c r="I456" s="14" t="s">
        <v>1380</v>
      </c>
      <c r="J456" s="14" t="s">
        <v>1381</v>
      </c>
    </row>
    <row r="457" ht="15.75" customHeight="1">
      <c r="A457" s="31" t="s">
        <v>679</v>
      </c>
      <c r="B457" s="41" t="s">
        <v>1382</v>
      </c>
      <c r="C457" s="41">
        <v>1.0</v>
      </c>
      <c r="D457" s="41">
        <v>8.0</v>
      </c>
      <c r="E457" s="41" t="s">
        <v>681</v>
      </c>
      <c r="F457" s="41" t="s">
        <v>126</v>
      </c>
      <c r="G457" s="41">
        <v>1.0</v>
      </c>
      <c r="H457" s="41">
        <v>1.0</v>
      </c>
      <c r="I457" s="41">
        <v>100.0</v>
      </c>
      <c r="J457" s="41" t="s">
        <v>710</v>
      </c>
    </row>
    <row r="458" ht="15.75" customHeight="1">
      <c r="A458" s="36" t="s">
        <v>273</v>
      </c>
      <c r="B458" s="47" t="s">
        <v>1383</v>
      </c>
      <c r="C458" s="47">
        <v>1.0</v>
      </c>
      <c r="D458" s="47">
        <v>10.0</v>
      </c>
      <c r="E458" s="47" t="s">
        <v>681</v>
      </c>
      <c r="F458" s="47" t="s">
        <v>1384</v>
      </c>
      <c r="G458" s="47">
        <v>1.0</v>
      </c>
      <c r="H458" s="47">
        <v>1.0</v>
      </c>
      <c r="I458" s="47">
        <v>150.0</v>
      </c>
      <c r="J458" s="47" t="s">
        <v>710</v>
      </c>
    </row>
    <row r="459" ht="15.75" customHeight="1">
      <c r="A459" s="31" t="s">
        <v>721</v>
      </c>
      <c r="B459" s="41" t="s">
        <v>1385</v>
      </c>
      <c r="C459" s="41">
        <v>1.0</v>
      </c>
      <c r="D459" s="41">
        <v>12.0</v>
      </c>
      <c r="E459" s="41" t="s">
        <v>681</v>
      </c>
      <c r="F459" s="41" t="s">
        <v>121</v>
      </c>
      <c r="G459" s="41">
        <v>1.0</v>
      </c>
      <c r="H459" s="41">
        <v>2.0</v>
      </c>
      <c r="I459" s="41">
        <v>200.0</v>
      </c>
      <c r="J459" s="41" t="s">
        <v>687</v>
      </c>
    </row>
    <row r="460" ht="15.75" customHeight="1">
      <c r="A460" s="36" t="s">
        <v>736</v>
      </c>
      <c r="B460" s="47" t="s">
        <v>1382</v>
      </c>
      <c r="C460" s="47">
        <v>1.0</v>
      </c>
      <c r="D460" s="47">
        <v>8.0</v>
      </c>
      <c r="E460" s="47" t="s">
        <v>273</v>
      </c>
      <c r="F460" s="47" t="s">
        <v>126</v>
      </c>
      <c r="G460" s="47">
        <v>1.0</v>
      </c>
      <c r="H460" s="47">
        <v>1.0</v>
      </c>
      <c r="I460" s="47">
        <v>250.0</v>
      </c>
      <c r="J460" s="47" t="s">
        <v>710</v>
      </c>
    </row>
    <row r="461" ht="15.75" customHeight="1">
      <c r="A461" s="31" t="s">
        <v>751</v>
      </c>
      <c r="B461" s="41" t="s">
        <v>1383</v>
      </c>
      <c r="C461" s="41">
        <v>1.0</v>
      </c>
      <c r="D461" s="41">
        <v>10.0</v>
      </c>
      <c r="E461" s="41" t="s">
        <v>739</v>
      </c>
      <c r="F461" s="41" t="s">
        <v>126</v>
      </c>
      <c r="G461" s="41">
        <v>1.0</v>
      </c>
      <c r="H461" s="41">
        <v>2.0</v>
      </c>
      <c r="I461" s="41">
        <v>350.0</v>
      </c>
      <c r="J461" s="41" t="s">
        <v>687</v>
      </c>
    </row>
    <row r="462" ht="15.75" customHeight="1">
      <c r="A462" s="36" t="s">
        <v>110</v>
      </c>
      <c r="B462" s="47" t="s">
        <v>1386</v>
      </c>
      <c r="C462" s="47">
        <v>2.0</v>
      </c>
      <c r="D462" s="47">
        <v>8.0</v>
      </c>
      <c r="E462" s="47" t="s">
        <v>739</v>
      </c>
      <c r="F462" s="47" t="s">
        <v>196</v>
      </c>
      <c r="G462" s="47">
        <v>1.0</v>
      </c>
      <c r="H462" s="47">
        <v>2.0</v>
      </c>
      <c r="I462" s="47">
        <v>500.0</v>
      </c>
      <c r="J462" s="47" t="s">
        <v>687</v>
      </c>
    </row>
    <row r="463" ht="15.75" customHeight="1"/>
    <row r="464" ht="15.75" customHeight="1">
      <c r="A464" s="5" t="s">
        <v>1387</v>
      </c>
      <c r="B464" s="3"/>
    </row>
    <row r="465" ht="15.75" customHeight="1">
      <c r="A465" s="14" t="s">
        <v>1388</v>
      </c>
      <c r="B465" s="14" t="s">
        <v>1389</v>
      </c>
    </row>
    <row r="466" ht="70.5" customHeight="1">
      <c r="A466" s="31" t="s">
        <v>703</v>
      </c>
      <c r="B466" s="9" t="s">
        <v>1390</v>
      </c>
    </row>
    <row r="467" ht="60.0" customHeight="1">
      <c r="A467" s="36" t="s">
        <v>722</v>
      </c>
      <c r="B467" s="16" t="s">
        <v>1391</v>
      </c>
    </row>
    <row r="468" ht="36.75" customHeight="1">
      <c r="A468" s="31" t="s">
        <v>737</v>
      </c>
      <c r="B468" s="9" t="s">
        <v>1392</v>
      </c>
    </row>
    <row r="469" ht="60.0" customHeight="1">
      <c r="A469" s="36" t="s">
        <v>752</v>
      </c>
      <c r="B469" s="16" t="s">
        <v>1393</v>
      </c>
    </row>
    <row r="470" ht="36.75" customHeight="1">
      <c r="A470" s="31" t="s">
        <v>764</v>
      </c>
      <c r="B470" s="9" t="s">
        <v>1394</v>
      </c>
    </row>
    <row r="471" ht="15.75" customHeight="1"/>
    <row r="472" ht="15.75" customHeight="1">
      <c r="A472" s="5" t="s">
        <v>1395</v>
      </c>
      <c r="B472" s="2"/>
      <c r="C472" s="2"/>
      <c r="D472" s="2"/>
      <c r="E472" s="2"/>
      <c r="F472" s="2"/>
      <c r="G472" s="2"/>
      <c r="H472" s="2"/>
      <c r="I472" s="3"/>
    </row>
    <row r="473" ht="48.0" customHeight="1">
      <c r="A473" s="14" t="s">
        <v>212</v>
      </c>
      <c r="B473" s="14" t="s">
        <v>299</v>
      </c>
      <c r="C473" s="14" t="s">
        <v>1396</v>
      </c>
      <c r="D473" s="14" t="s">
        <v>303</v>
      </c>
      <c r="E473" s="14" t="s">
        <v>389</v>
      </c>
      <c r="F473" s="14" t="s">
        <v>1380</v>
      </c>
      <c r="G473" s="14" t="s">
        <v>300</v>
      </c>
      <c r="H473" s="14" t="s">
        <v>301</v>
      </c>
      <c r="I473" s="14" t="s">
        <v>302</v>
      </c>
    </row>
    <row r="474" ht="15.75" customHeight="1">
      <c r="A474" s="31" t="s">
        <v>679</v>
      </c>
      <c r="B474" s="41">
        <v>3.0</v>
      </c>
      <c r="C474" s="41" t="s">
        <v>713</v>
      </c>
      <c r="D474" s="41" t="s">
        <v>1397</v>
      </c>
      <c r="E474" s="41">
        <v>1.0</v>
      </c>
      <c r="F474" s="41">
        <v>150.0</v>
      </c>
      <c r="G474" s="41">
        <v>1.0</v>
      </c>
      <c r="H474" s="41">
        <v>0.0</v>
      </c>
      <c r="I474" s="41">
        <v>0.0</v>
      </c>
    </row>
    <row r="475" ht="15.75" customHeight="1">
      <c r="A475" s="36" t="s">
        <v>273</v>
      </c>
      <c r="B475" s="47">
        <v>5.0</v>
      </c>
      <c r="C475" s="47" t="s">
        <v>519</v>
      </c>
      <c r="D475" s="47" t="s">
        <v>1397</v>
      </c>
      <c r="E475" s="47">
        <v>2.0</v>
      </c>
      <c r="F475" s="47">
        <v>300.0</v>
      </c>
      <c r="G475" s="47">
        <v>0.0</v>
      </c>
      <c r="H475" s="47">
        <v>0.0</v>
      </c>
      <c r="I475" s="47">
        <v>0.0</v>
      </c>
    </row>
    <row r="476" ht="60.0" customHeight="1">
      <c r="A476" s="31" t="s">
        <v>721</v>
      </c>
      <c r="B476" s="41">
        <v>6.0</v>
      </c>
      <c r="C476" s="9" t="s">
        <v>1398</v>
      </c>
      <c r="D476" s="41" t="s">
        <v>1399</v>
      </c>
      <c r="E476" s="41">
        <v>3.0</v>
      </c>
      <c r="F476" s="41">
        <v>500.0</v>
      </c>
      <c r="G476" s="41">
        <v>-2.0</v>
      </c>
      <c r="H476" s="41">
        <v>2.0</v>
      </c>
      <c r="I476" s="41">
        <v>-2.0</v>
      </c>
    </row>
    <row r="477" ht="15.75" customHeight="1"/>
    <row r="478" ht="15.75" customHeight="1">
      <c r="A478" s="5" t="s">
        <v>1400</v>
      </c>
      <c r="B478" s="2"/>
      <c r="C478" s="2"/>
      <c r="D478" s="3"/>
    </row>
    <row r="479" ht="15.75" customHeight="1">
      <c r="A479" s="14" t="s">
        <v>1401</v>
      </c>
      <c r="B479" s="14" t="s">
        <v>592</v>
      </c>
      <c r="C479" s="14" t="s">
        <v>389</v>
      </c>
      <c r="D479" s="14" t="s">
        <v>1380</v>
      </c>
    </row>
    <row r="480" ht="15.75" customHeight="1">
      <c r="A480" s="31" t="s">
        <v>1402</v>
      </c>
      <c r="B480" s="41">
        <v>15.0</v>
      </c>
      <c r="C480" s="41">
        <v>0.5</v>
      </c>
      <c r="D480" s="41">
        <v>50.0</v>
      </c>
    </row>
    <row r="481" ht="15.75" customHeight="1">
      <c r="A481" s="36" t="s">
        <v>273</v>
      </c>
      <c r="B481" s="47">
        <v>30.0</v>
      </c>
      <c r="C481" s="47">
        <v>1.0</v>
      </c>
      <c r="D481" s="47">
        <v>150.0</v>
      </c>
    </row>
    <row r="482" ht="15.75" customHeight="1">
      <c r="A482" s="31" t="s">
        <v>1403</v>
      </c>
      <c r="B482" s="41">
        <v>50.0</v>
      </c>
      <c r="C482" s="41">
        <v>2.0</v>
      </c>
      <c r="D482" s="41">
        <v>400.0</v>
      </c>
    </row>
    <row r="483" ht="15.75" customHeight="1"/>
    <row r="484" ht="15.75" customHeight="1">
      <c r="A484" s="5" t="s">
        <v>1404</v>
      </c>
      <c r="B484" s="2"/>
      <c r="C484" s="2"/>
      <c r="D484" s="3"/>
    </row>
    <row r="485" ht="15.75" customHeight="1">
      <c r="A485" s="14" t="s">
        <v>1405</v>
      </c>
      <c r="B485" s="14" t="s">
        <v>389</v>
      </c>
      <c r="C485" s="14" t="s">
        <v>1380</v>
      </c>
      <c r="D485" s="14" t="s">
        <v>1406</v>
      </c>
    </row>
    <row r="486" ht="25.5" customHeight="1">
      <c r="A486" s="98" t="s">
        <v>1407</v>
      </c>
      <c r="B486" s="41">
        <v>1.0</v>
      </c>
      <c r="C486" s="41">
        <v>100.0</v>
      </c>
      <c r="D486" s="9" t="s">
        <v>1408</v>
      </c>
    </row>
    <row r="487" ht="48.0" customHeight="1">
      <c r="A487" s="36" t="s">
        <v>1409</v>
      </c>
      <c r="B487" s="47">
        <v>1.0</v>
      </c>
      <c r="C487" s="47">
        <v>120.0</v>
      </c>
      <c r="D487" s="16" t="s">
        <v>1410</v>
      </c>
    </row>
    <row r="488" ht="25.5" customHeight="1">
      <c r="A488" s="31" t="s">
        <v>1411</v>
      </c>
      <c r="B488" s="41">
        <v>1.0</v>
      </c>
      <c r="C488" s="41">
        <v>150.0</v>
      </c>
      <c r="D488" s="9" t="s">
        <v>1412</v>
      </c>
    </row>
    <row r="489" ht="25.5" customHeight="1">
      <c r="A489" s="36" t="s">
        <v>1413</v>
      </c>
      <c r="B489" s="47">
        <v>0.5</v>
      </c>
      <c r="C489" s="47">
        <v>30.0</v>
      </c>
      <c r="D489" s="16" t="s">
        <v>1414</v>
      </c>
    </row>
    <row r="490" ht="15.75" customHeight="1">
      <c r="A490" s="31" t="s">
        <v>1415</v>
      </c>
      <c r="B490" s="41">
        <v>1.0</v>
      </c>
      <c r="C490" s="41">
        <v>25.0</v>
      </c>
      <c r="D490" s="41" t="s">
        <v>1416</v>
      </c>
    </row>
    <row r="491" ht="25.5" customHeight="1">
      <c r="A491" s="36" t="s">
        <v>1417</v>
      </c>
      <c r="B491" s="47">
        <v>0.5</v>
      </c>
      <c r="C491" s="47">
        <v>60.0</v>
      </c>
      <c r="D491" s="16" t="s">
        <v>1418</v>
      </c>
    </row>
    <row r="492" ht="25.5" customHeight="1">
      <c r="A492" s="31" t="s">
        <v>1419</v>
      </c>
      <c r="B492" s="41">
        <v>0.5</v>
      </c>
      <c r="C492" s="41">
        <v>15.0</v>
      </c>
      <c r="D492" s="9" t="s">
        <v>1420</v>
      </c>
    </row>
    <row r="493" ht="25.5" customHeight="1">
      <c r="A493" s="99" t="s">
        <v>1421</v>
      </c>
      <c r="B493" s="47">
        <v>0.5</v>
      </c>
      <c r="C493" s="47">
        <v>80.0</v>
      </c>
      <c r="D493" s="16" t="s">
        <v>1422</v>
      </c>
    </row>
    <row r="494" ht="48.0" customHeight="1">
      <c r="A494" s="31" t="s">
        <v>1423</v>
      </c>
      <c r="B494" s="41">
        <v>1.0</v>
      </c>
      <c r="C494" s="41">
        <v>200.0</v>
      </c>
      <c r="D494" s="9" t="s">
        <v>1424</v>
      </c>
    </row>
    <row r="495" ht="36.75" customHeight="1">
      <c r="A495" s="36" t="s">
        <v>1425</v>
      </c>
      <c r="B495" s="47">
        <v>2.0</v>
      </c>
      <c r="C495" s="47">
        <v>250.0</v>
      </c>
      <c r="D495" s="16" t="s">
        <v>1426</v>
      </c>
    </row>
    <row r="496" ht="48.0" customHeight="1">
      <c r="A496" s="98" t="s">
        <v>1427</v>
      </c>
      <c r="B496" s="41">
        <v>0.5</v>
      </c>
      <c r="C496" s="41">
        <v>20.0</v>
      </c>
      <c r="D496" s="9" t="s">
        <v>1428</v>
      </c>
    </row>
    <row r="497" ht="15.75" customHeight="1"/>
    <row r="498" ht="15.75" customHeight="1">
      <c r="A498" s="5" t="s">
        <v>1429</v>
      </c>
      <c r="B498" s="3"/>
    </row>
    <row r="499" ht="15.75" customHeight="1">
      <c r="A499" s="14" t="s">
        <v>635</v>
      </c>
      <c r="B499" s="14" t="s">
        <v>560</v>
      </c>
    </row>
    <row r="500" ht="15.75" customHeight="1">
      <c r="A500" s="31" t="s">
        <v>1430</v>
      </c>
      <c r="B500" s="41" t="s">
        <v>1431</v>
      </c>
    </row>
    <row r="501" ht="93.0" customHeight="1">
      <c r="A501" s="36" t="s">
        <v>1432</v>
      </c>
      <c r="B501" s="16" t="s">
        <v>1433</v>
      </c>
    </row>
    <row r="502" ht="36.75" customHeight="1">
      <c r="A502" s="98" t="s">
        <v>1434</v>
      </c>
      <c r="B502" s="9" t="s">
        <v>1435</v>
      </c>
    </row>
    <row r="503" ht="15.75" customHeight="1"/>
    <row r="504" ht="15.75" customHeight="1">
      <c r="A504" s="5" t="s">
        <v>1436</v>
      </c>
      <c r="B504" s="2"/>
      <c r="C504" s="3"/>
    </row>
    <row r="505" ht="15.75" customHeight="1">
      <c r="A505" s="14" t="s">
        <v>615</v>
      </c>
      <c r="B505" s="14" t="s">
        <v>1437</v>
      </c>
      <c r="C505" s="14" t="s">
        <v>1438</v>
      </c>
    </row>
    <row r="506" ht="25.5" customHeight="1">
      <c r="A506" s="31" t="s">
        <v>542</v>
      </c>
      <c r="B506" s="41">
        <v>200.0</v>
      </c>
      <c r="C506" s="9" t="s">
        <v>1439</v>
      </c>
    </row>
    <row r="507" ht="36.75" customHeight="1">
      <c r="A507" s="36" t="s">
        <v>543</v>
      </c>
      <c r="B507" s="47">
        <v>500.0</v>
      </c>
      <c r="C507" s="16" t="s">
        <v>1440</v>
      </c>
    </row>
    <row r="508" ht="48.0" customHeight="1">
      <c r="A508" s="31" t="s">
        <v>544</v>
      </c>
      <c r="B508" s="41">
        <v>1200.0</v>
      </c>
      <c r="C508" s="9" t="s">
        <v>1441</v>
      </c>
    </row>
    <row r="509" ht="36.75" customHeight="1">
      <c r="A509" s="36" t="s">
        <v>545</v>
      </c>
      <c r="B509" s="47">
        <v>2500.0</v>
      </c>
      <c r="C509" s="16" t="s">
        <v>1442</v>
      </c>
    </row>
    <row r="510" ht="48.0" customHeight="1">
      <c r="A510" s="31" t="s">
        <v>546</v>
      </c>
      <c r="B510" s="41">
        <v>5000.0</v>
      </c>
      <c r="C510" s="9" t="s">
        <v>1443</v>
      </c>
    </row>
    <row r="511" ht="15.75" customHeight="1"/>
    <row r="512" ht="15.75" customHeight="1">
      <c r="A512" s="5" t="s">
        <v>1444</v>
      </c>
      <c r="B512" s="2"/>
      <c r="C512" s="3"/>
    </row>
    <row r="513" ht="25.5" customHeight="1">
      <c r="A513" s="14" t="s">
        <v>615</v>
      </c>
      <c r="B513" s="14" t="s">
        <v>622</v>
      </c>
      <c r="C513" s="14" t="s">
        <v>1144</v>
      </c>
    </row>
    <row r="514" ht="15.75" customHeight="1">
      <c r="A514" s="31" t="s">
        <v>542</v>
      </c>
      <c r="B514" s="41" t="s">
        <v>1148</v>
      </c>
      <c r="C514" s="41" t="s">
        <v>1149</v>
      </c>
    </row>
    <row r="515" ht="25.5" customHeight="1">
      <c r="A515" s="36" t="s">
        <v>543</v>
      </c>
      <c r="B515" s="47" t="s">
        <v>1153</v>
      </c>
      <c r="C515" s="16" t="s">
        <v>1445</v>
      </c>
    </row>
    <row r="516" ht="15.75" customHeight="1">
      <c r="A516" s="31" t="s">
        <v>544</v>
      </c>
      <c r="B516" s="41" t="s">
        <v>1159</v>
      </c>
      <c r="C516" s="41" t="s">
        <v>1160</v>
      </c>
    </row>
    <row r="517" ht="15.75" customHeight="1">
      <c r="A517" s="36" t="s">
        <v>545</v>
      </c>
      <c r="B517" s="47" t="s">
        <v>1164</v>
      </c>
      <c r="C517" s="47" t="s">
        <v>1165</v>
      </c>
    </row>
    <row r="518" ht="25.5" customHeight="1">
      <c r="A518" s="31" t="s">
        <v>546</v>
      </c>
      <c r="B518" s="41" t="s">
        <v>1171</v>
      </c>
      <c r="C518" s="9" t="s">
        <v>1446</v>
      </c>
    </row>
    <row r="519" ht="15.75" customHeight="1"/>
    <row r="520" ht="15.75" customHeight="1">
      <c r="A520" s="5" t="s">
        <v>1447</v>
      </c>
      <c r="B520" s="2"/>
      <c r="C520" s="2"/>
      <c r="D520" s="2"/>
      <c r="E520" s="2"/>
      <c r="F520" s="2"/>
      <c r="G520" s="3"/>
    </row>
    <row r="521" ht="25.5" customHeight="1">
      <c r="A521" s="14" t="s">
        <v>1448</v>
      </c>
      <c r="B521" s="14" t="s">
        <v>1449</v>
      </c>
      <c r="C521" s="14" t="s">
        <v>1450</v>
      </c>
      <c r="D521" s="14" t="s">
        <v>1451</v>
      </c>
      <c r="E521" s="14" t="s">
        <v>477</v>
      </c>
      <c r="F521" s="14" t="s">
        <v>1452</v>
      </c>
      <c r="G521" s="14" t="s">
        <v>1453</v>
      </c>
    </row>
    <row r="522" ht="15.75" customHeight="1">
      <c r="A522" s="31">
        <v>1.0</v>
      </c>
      <c r="B522" s="41">
        <v>1.0</v>
      </c>
      <c r="C522" s="41" t="s">
        <v>1454</v>
      </c>
      <c r="D522" s="41">
        <v>1.0</v>
      </c>
      <c r="E522" s="41" t="s">
        <v>1455</v>
      </c>
      <c r="F522" s="41">
        <v>10.0</v>
      </c>
      <c r="G522" s="41" t="s">
        <v>1456</v>
      </c>
    </row>
    <row r="523" ht="15.75" customHeight="1">
      <c r="A523" s="36">
        <v>2.0</v>
      </c>
      <c r="B523" s="47">
        <v>5.0</v>
      </c>
      <c r="C523" s="47" t="s">
        <v>1457</v>
      </c>
      <c r="D523" s="47">
        <v>1.0</v>
      </c>
      <c r="E523" s="47" t="s">
        <v>1458</v>
      </c>
      <c r="F523" s="47">
        <v>10.0</v>
      </c>
      <c r="G523" s="47" t="s">
        <v>1459</v>
      </c>
    </row>
    <row r="524" ht="15.75" customHeight="1">
      <c r="A524" s="31">
        <v>3.0</v>
      </c>
      <c r="B524" s="41">
        <v>9.0</v>
      </c>
      <c r="C524" s="41" t="s">
        <v>1460</v>
      </c>
      <c r="D524" s="41">
        <v>2.0</v>
      </c>
      <c r="E524" s="41" t="s">
        <v>1455</v>
      </c>
      <c r="F524" s="41">
        <v>25.0</v>
      </c>
      <c r="G524" s="41" t="s">
        <v>1461</v>
      </c>
    </row>
    <row r="525" ht="15.75" customHeight="1">
      <c r="A525" s="36">
        <v>4.0</v>
      </c>
      <c r="B525" s="47">
        <v>13.0</v>
      </c>
      <c r="C525" s="47" t="s">
        <v>1462</v>
      </c>
      <c r="D525" s="47">
        <v>2.0</v>
      </c>
      <c r="E525" s="47" t="s">
        <v>1458</v>
      </c>
      <c r="F525" s="47">
        <v>25.0</v>
      </c>
      <c r="G525" s="47" t="s">
        <v>1463</v>
      </c>
    </row>
    <row r="526" ht="15.75" customHeight="1">
      <c r="A526" s="31">
        <v>5.0</v>
      </c>
      <c r="B526" s="41">
        <v>17.0</v>
      </c>
      <c r="C526" s="41" t="s">
        <v>1464</v>
      </c>
      <c r="D526" s="41">
        <v>3.0</v>
      </c>
      <c r="E526" s="41" t="s">
        <v>1455</v>
      </c>
      <c r="F526" s="41">
        <v>50.0</v>
      </c>
      <c r="G526" s="41" t="s">
        <v>1465</v>
      </c>
    </row>
    <row r="527" ht="15.75" customHeight="1"/>
    <row r="528" ht="15.75" customHeight="1">
      <c r="A528" s="5" t="s">
        <v>1466</v>
      </c>
      <c r="B528" s="2"/>
      <c r="C528" s="2"/>
      <c r="D528" s="2"/>
      <c r="E528" s="2"/>
      <c r="F528" s="3"/>
    </row>
    <row r="529" ht="15.75" customHeight="1">
      <c r="A529" s="14" t="s">
        <v>418</v>
      </c>
      <c r="B529" s="14" t="s">
        <v>509</v>
      </c>
      <c r="C529" s="14" t="s">
        <v>1149</v>
      </c>
      <c r="D529" s="14" t="s">
        <v>1160</v>
      </c>
      <c r="E529" s="14" t="s">
        <v>1165</v>
      </c>
      <c r="F529" s="14" t="s">
        <v>1467</v>
      </c>
    </row>
    <row r="530" ht="15.75" customHeight="1">
      <c r="A530" s="31" t="s">
        <v>514</v>
      </c>
      <c r="B530" s="41" t="s">
        <v>309</v>
      </c>
      <c r="C530" s="41">
        <v>10.0</v>
      </c>
      <c r="D530" s="41">
        <v>20.0</v>
      </c>
      <c r="E530" s="41">
        <v>35.0</v>
      </c>
      <c r="F530" s="41">
        <v>50.0</v>
      </c>
    </row>
    <row r="531" ht="25.5" customHeight="1">
      <c r="A531" s="36" t="s">
        <v>524</v>
      </c>
      <c r="B531" s="16" t="s">
        <v>484</v>
      </c>
      <c r="C531" s="47">
        <v>2.0</v>
      </c>
      <c r="D531" s="47">
        <v>4.0</v>
      </c>
      <c r="E531" s="47">
        <v>6.0</v>
      </c>
      <c r="F531" s="47">
        <v>8.0</v>
      </c>
    </row>
    <row r="532" ht="15.75" customHeight="1">
      <c r="A532" s="31" t="s">
        <v>535</v>
      </c>
      <c r="B532" s="41" t="s">
        <v>299</v>
      </c>
      <c r="C532" s="41">
        <v>1.0</v>
      </c>
      <c r="D532" s="41">
        <v>1.0</v>
      </c>
      <c r="E532" s="41">
        <v>2.0</v>
      </c>
      <c r="F532" s="41">
        <v>2.0</v>
      </c>
    </row>
    <row r="533" ht="15.75" customHeight="1">
      <c r="A533" s="36" t="s">
        <v>541</v>
      </c>
      <c r="B533" s="47" t="s">
        <v>300</v>
      </c>
      <c r="C533" s="47">
        <v>2.0</v>
      </c>
      <c r="D533" s="47">
        <v>3.0</v>
      </c>
      <c r="E533" s="47">
        <v>4.0</v>
      </c>
      <c r="F533" s="47">
        <v>5.0</v>
      </c>
    </row>
    <row r="534" ht="25.5" customHeight="1">
      <c r="A534" s="31" t="s">
        <v>552</v>
      </c>
      <c r="B534" s="9" t="s">
        <v>1468</v>
      </c>
      <c r="C534" s="41">
        <v>2.0</v>
      </c>
      <c r="D534" s="41">
        <v>4.0</v>
      </c>
      <c r="E534" s="41">
        <v>6.0</v>
      </c>
      <c r="F534" s="41">
        <v>8.0</v>
      </c>
    </row>
    <row r="535" ht="25.5" customHeight="1">
      <c r="A535" s="36" t="s">
        <v>553</v>
      </c>
      <c r="B535" s="16" t="s">
        <v>1469</v>
      </c>
      <c r="C535" s="47">
        <v>10.0</v>
      </c>
      <c r="D535" s="47">
        <v>15.0</v>
      </c>
      <c r="E535" s="47">
        <v>20.0</v>
      </c>
      <c r="F535" s="47">
        <v>25.0</v>
      </c>
    </row>
    <row r="536" ht="15.75" customHeight="1"/>
    <row r="537" ht="15.75" customHeight="1">
      <c r="A537" s="5" t="s">
        <v>1470</v>
      </c>
      <c r="B537" s="3"/>
    </row>
    <row r="538" ht="25.5" customHeight="1">
      <c r="A538" s="14" t="s">
        <v>1471</v>
      </c>
      <c r="B538" s="14" t="s">
        <v>1472</v>
      </c>
    </row>
    <row r="539" ht="60.0" customHeight="1">
      <c r="A539" s="31" t="s">
        <v>1473</v>
      </c>
      <c r="B539" s="9" t="s">
        <v>1474</v>
      </c>
    </row>
    <row r="540" ht="115.5" customHeight="1">
      <c r="A540" s="36" t="s">
        <v>1475</v>
      </c>
      <c r="B540" s="16" t="s">
        <v>1476</v>
      </c>
    </row>
    <row r="541" ht="15.75" customHeight="1"/>
    <row r="542" ht="15.75" customHeight="1">
      <c r="A542" s="5" t="s">
        <v>1477</v>
      </c>
      <c r="B542" s="2"/>
      <c r="C542" s="3"/>
    </row>
    <row r="543" ht="15.75" customHeight="1">
      <c r="A543" s="14" t="s">
        <v>1478</v>
      </c>
      <c r="B543" s="14" t="s">
        <v>1479</v>
      </c>
    </row>
    <row r="544" ht="48.0" customHeight="1">
      <c r="A544" s="31" t="s">
        <v>683</v>
      </c>
      <c r="B544" s="9" t="s">
        <v>1480</v>
      </c>
    </row>
    <row r="545" ht="48.0" customHeight="1">
      <c r="A545" s="36" t="s">
        <v>706</v>
      </c>
      <c r="B545" s="16" t="s">
        <v>1481</v>
      </c>
    </row>
    <row r="546" ht="48.0" customHeight="1">
      <c r="A546" s="31" t="s">
        <v>725</v>
      </c>
      <c r="B546" s="9" t="s">
        <v>1482</v>
      </c>
    </row>
    <row r="547" ht="48.0" customHeight="1">
      <c r="A547" s="36" t="s">
        <v>741</v>
      </c>
      <c r="B547" s="16" t="s">
        <v>1483</v>
      </c>
    </row>
    <row r="548" ht="48.0" customHeight="1">
      <c r="A548" s="31" t="s">
        <v>756</v>
      </c>
      <c r="B548" s="9" t="s">
        <v>1484</v>
      </c>
    </row>
    <row r="549" ht="15.75" customHeight="1"/>
    <row r="550" ht="15.75" customHeight="1">
      <c r="A550" s="5" t="s">
        <v>1485</v>
      </c>
      <c r="B550" s="3"/>
    </row>
    <row r="551" ht="15.75" customHeight="1">
      <c r="A551" s="14" t="s">
        <v>1486</v>
      </c>
      <c r="B551" s="14" t="s">
        <v>58</v>
      </c>
    </row>
    <row r="552" ht="36.75" customHeight="1">
      <c r="A552" s="31" t="s">
        <v>684</v>
      </c>
      <c r="B552" s="9" t="s">
        <v>1487</v>
      </c>
    </row>
    <row r="553" ht="126.75" customHeight="1">
      <c r="A553" s="36" t="s">
        <v>707</v>
      </c>
      <c r="B553" s="16" t="s">
        <v>1488</v>
      </c>
    </row>
    <row r="554" ht="81.75" customHeight="1">
      <c r="A554" s="31" t="s">
        <v>726</v>
      </c>
      <c r="B554" s="9" t="s">
        <v>1489</v>
      </c>
    </row>
    <row r="555" ht="105.0" customHeight="1">
      <c r="A555" s="36" t="s">
        <v>742</v>
      </c>
      <c r="B555" s="16" t="s">
        <v>1490</v>
      </c>
    </row>
    <row r="556" ht="15.75" customHeight="1"/>
    <row r="557" ht="15.75" customHeight="1">
      <c r="A557" s="5" t="s">
        <v>1491</v>
      </c>
      <c r="B557" s="2"/>
      <c r="C557" s="3"/>
    </row>
    <row r="558" ht="15.75" customHeight="1">
      <c r="A558" s="14" t="s">
        <v>1492</v>
      </c>
      <c r="B558" s="14" t="s">
        <v>560</v>
      </c>
    </row>
    <row r="559" ht="25.5" customHeight="1">
      <c r="A559" s="31" t="s">
        <v>685</v>
      </c>
      <c r="B559" s="9" t="s">
        <v>1493</v>
      </c>
    </row>
    <row r="560" ht="36.75" customHeight="1">
      <c r="A560" s="36" t="s">
        <v>708</v>
      </c>
      <c r="B560" s="16" t="s">
        <v>1494</v>
      </c>
    </row>
    <row r="561" ht="48.0" customHeight="1">
      <c r="A561" s="31" t="s">
        <v>727</v>
      </c>
      <c r="B561" s="9" t="s">
        <v>1495</v>
      </c>
    </row>
    <row r="562" ht="36.75" customHeight="1">
      <c r="A562" s="36" t="s">
        <v>743</v>
      </c>
      <c r="B562" s="16" t="s">
        <v>1496</v>
      </c>
    </row>
    <row r="563" ht="81.75" customHeight="1">
      <c r="A563" s="31" t="s">
        <v>757</v>
      </c>
      <c r="B563" s="9" t="s">
        <v>1497</v>
      </c>
    </row>
    <row r="564" ht="115.5" customHeight="1">
      <c r="A564" s="36" t="s">
        <v>766</v>
      </c>
      <c r="B564" s="16" t="s">
        <v>1498</v>
      </c>
    </row>
    <row r="565" ht="15.75" customHeight="1"/>
    <row r="566" ht="15.75" customHeight="1">
      <c r="A566" s="5" t="s">
        <v>1499</v>
      </c>
      <c r="B566" s="2"/>
      <c r="C566" s="3"/>
    </row>
    <row r="567" ht="15.75" customHeight="1">
      <c r="A567" s="14" t="s">
        <v>1500</v>
      </c>
      <c r="B567" s="14" t="s">
        <v>1501</v>
      </c>
    </row>
    <row r="568" ht="25.5" customHeight="1">
      <c r="A568" s="31" t="s">
        <v>1502</v>
      </c>
      <c r="B568" s="9" t="s">
        <v>1503</v>
      </c>
    </row>
    <row r="569" ht="60.0" customHeight="1">
      <c r="A569" s="36" t="s">
        <v>1504</v>
      </c>
      <c r="B569" s="16" t="s">
        <v>1505</v>
      </c>
    </row>
    <row r="570" ht="60.0" customHeight="1">
      <c r="A570" s="31" t="s">
        <v>1506</v>
      </c>
      <c r="B570" s="9" t="s">
        <v>1507</v>
      </c>
    </row>
    <row r="571" ht="48.0" customHeight="1">
      <c r="A571" s="36" t="s">
        <v>1508</v>
      </c>
      <c r="B571" s="16" t="s">
        <v>1509</v>
      </c>
    </row>
    <row r="572" ht="15.75" customHeight="1"/>
    <row r="573" ht="15.75" customHeight="1">
      <c r="A573" s="5" t="s">
        <v>1510</v>
      </c>
      <c r="B573" s="2"/>
      <c r="C573" s="3"/>
    </row>
    <row r="574" ht="15.75" customHeight="1">
      <c r="A574" s="14" t="s">
        <v>1500</v>
      </c>
      <c r="B574" s="14" t="s">
        <v>560</v>
      </c>
    </row>
    <row r="575" ht="60.0" customHeight="1">
      <c r="A575" s="31" t="s">
        <v>1511</v>
      </c>
      <c r="B575" s="9" t="s">
        <v>1512</v>
      </c>
    </row>
    <row r="576" ht="60.0" customHeight="1">
      <c r="A576" s="36" t="s">
        <v>1513</v>
      </c>
      <c r="B576" s="16" t="s">
        <v>1514</v>
      </c>
    </row>
    <row r="577" ht="48.0" customHeight="1">
      <c r="A577" s="31" t="s">
        <v>1515</v>
      </c>
      <c r="B577" s="9" t="s">
        <v>1516</v>
      </c>
    </row>
    <row r="578" ht="60.0" customHeight="1">
      <c r="A578" s="36" t="s">
        <v>1517</v>
      </c>
      <c r="B578" s="16" t="s">
        <v>1518</v>
      </c>
    </row>
    <row r="579" ht="15.75" customHeight="1"/>
    <row r="580" ht="15.75" customHeight="1">
      <c r="A580" s="5" t="s">
        <v>1519</v>
      </c>
      <c r="B580" s="2"/>
      <c r="C580" s="3"/>
    </row>
    <row r="581" ht="15.75" customHeight="1">
      <c r="A581" s="14" t="s">
        <v>1520</v>
      </c>
      <c r="B581" s="14" t="s">
        <v>560</v>
      </c>
    </row>
    <row r="582" ht="70.5" customHeight="1">
      <c r="A582" s="31" t="s">
        <v>686</v>
      </c>
      <c r="B582" s="9" t="s">
        <v>1521</v>
      </c>
    </row>
    <row r="583" ht="70.5" customHeight="1">
      <c r="A583" s="36" t="s">
        <v>709</v>
      </c>
      <c r="B583" s="16" t="s">
        <v>1522</v>
      </c>
    </row>
    <row r="584" ht="115.5" customHeight="1">
      <c r="A584" s="31" t="s">
        <v>728</v>
      </c>
      <c r="B584" s="9" t="s">
        <v>1523</v>
      </c>
    </row>
    <row r="585" ht="15.75" customHeight="1"/>
    <row r="586" ht="15.75" customHeight="1">
      <c r="A586" s="5" t="s">
        <v>1524</v>
      </c>
      <c r="B586" s="3"/>
    </row>
    <row r="587" ht="15.75" customHeight="1">
      <c r="A587" s="14" t="s">
        <v>305</v>
      </c>
      <c r="B587" s="14" t="s">
        <v>1525</v>
      </c>
    </row>
    <row r="588" ht="25.5" customHeight="1">
      <c r="A588" s="31" t="s">
        <v>123</v>
      </c>
      <c r="B588" s="9" t="s">
        <v>1526</v>
      </c>
    </row>
    <row r="589" ht="36.75" customHeight="1">
      <c r="A589" s="36" t="s">
        <v>299</v>
      </c>
      <c r="B589" s="16" t="s">
        <v>1527</v>
      </c>
    </row>
    <row r="590" ht="48.0" customHeight="1">
      <c r="A590" s="31" t="s">
        <v>300</v>
      </c>
      <c r="B590" s="9" t="s">
        <v>1528</v>
      </c>
    </row>
    <row r="591" ht="60.0" customHeight="1">
      <c r="A591" s="36" t="s">
        <v>430</v>
      </c>
      <c r="B591" s="16" t="s">
        <v>1529</v>
      </c>
    </row>
    <row r="592" ht="70.5" customHeight="1">
      <c r="A592" s="31" t="s">
        <v>603</v>
      </c>
      <c r="B592" s="9" t="s">
        <v>1530</v>
      </c>
    </row>
    <row r="593" ht="25.5" customHeight="1">
      <c r="A593" s="36" t="s">
        <v>337</v>
      </c>
      <c r="B593" s="16" t="s">
        <v>1531</v>
      </c>
    </row>
    <row r="594" ht="36.75" customHeight="1">
      <c r="A594" s="31" t="s">
        <v>1532</v>
      </c>
      <c r="B594" s="9" t="s">
        <v>1533</v>
      </c>
    </row>
    <row r="595" ht="36.75" customHeight="1">
      <c r="A595" s="36" t="s">
        <v>301</v>
      </c>
      <c r="B595" s="16" t="s">
        <v>1534</v>
      </c>
    </row>
  </sheetData>
  <mergeCells count="52">
    <mergeCell ref="A1:L1"/>
    <mergeCell ref="A3:L3"/>
    <mergeCell ref="O4:AT4"/>
    <mergeCell ref="A5:G5"/>
    <mergeCell ref="A15:D15"/>
    <mergeCell ref="A25:B25"/>
    <mergeCell ref="A41:C41"/>
    <mergeCell ref="A52:C52"/>
    <mergeCell ref="A73:B73"/>
    <mergeCell ref="A82:L82"/>
    <mergeCell ref="A94:F94"/>
    <mergeCell ref="A117:H117"/>
    <mergeCell ref="A228:D228"/>
    <mergeCell ref="A238:D238"/>
    <mergeCell ref="A256:L256"/>
    <mergeCell ref="A279:H279"/>
    <mergeCell ref="A287:C287"/>
    <mergeCell ref="A294:L294"/>
    <mergeCell ref="A304:D304"/>
    <mergeCell ref="A314:B314"/>
    <mergeCell ref="A324:K324"/>
    <mergeCell ref="A332:G332"/>
    <mergeCell ref="A339:C339"/>
    <mergeCell ref="A349:C349"/>
    <mergeCell ref="A360:B360"/>
    <mergeCell ref="A372:H372"/>
    <mergeCell ref="A382:C382"/>
    <mergeCell ref="A388:C388"/>
    <mergeCell ref="A396:E396"/>
    <mergeCell ref="A415:F415"/>
    <mergeCell ref="A424:C424"/>
    <mergeCell ref="A432:B432"/>
    <mergeCell ref="A439:D439"/>
    <mergeCell ref="A447:D447"/>
    <mergeCell ref="A455:J455"/>
    <mergeCell ref="A464:B464"/>
    <mergeCell ref="A472:I472"/>
    <mergeCell ref="A478:D478"/>
    <mergeCell ref="A484:D484"/>
    <mergeCell ref="A498:B498"/>
    <mergeCell ref="A504:C504"/>
    <mergeCell ref="A512:C512"/>
    <mergeCell ref="A573:C573"/>
    <mergeCell ref="A580:C580"/>
    <mergeCell ref="A586:B586"/>
    <mergeCell ref="A520:G520"/>
    <mergeCell ref="A528:F528"/>
    <mergeCell ref="A537:B537"/>
    <mergeCell ref="A542:C542"/>
    <mergeCell ref="A550:B550"/>
    <mergeCell ref="A557:C557"/>
    <mergeCell ref="A566:C56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2026-10-05T01:27:47Z</dcterms:created>
  <dc:creator>openpyxl</dc:creator>
</cp:coreProperties>
</file>