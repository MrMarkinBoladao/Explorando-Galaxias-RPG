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ício" sheetId="1" state="visible" r:id="rId1"/>
    <sheet xmlns:r="http://schemas.openxmlformats.org/officeDocument/2006/relationships" name="Criação" sheetId="2" state="visible" r:id="rId2"/>
    <sheet xmlns:r="http://schemas.openxmlformats.org/officeDocument/2006/relationships" name="Em Jogo" sheetId="3" state="visible" r:id="rId3"/>
    <sheet xmlns:r="http://schemas.openxmlformats.org/officeDocument/2006/relationships" name="Testes" sheetId="4" state="visible" r:id="rId4"/>
    <sheet xmlns:r="http://schemas.openxmlformats.org/officeDocument/2006/relationships" name="Habilidades" sheetId="5" state="visible" r:id="rId5"/>
    <sheet xmlns:r="http://schemas.openxmlformats.org/officeDocument/2006/relationships" name="Caminho" sheetId="6" state="visible" r:id="rId6"/>
    <sheet xmlns:r="http://schemas.openxmlformats.org/officeDocument/2006/relationships" name="Equipamento" sheetId="7" state="visible" r:id="rId7"/>
    <sheet xmlns:r="http://schemas.openxmlformats.org/officeDocument/2006/relationships" name="Progressão" sheetId="8" state="visible" r:id="rId8"/>
    <sheet xmlns:r="http://schemas.openxmlformats.org/officeDocument/2006/relationships" name="Regras Rápidas" sheetId="9" state="visible" r:id="rId9"/>
    <sheet xmlns:r="http://schemas.openxmlformats.org/officeDocument/2006/relationships" name="Dados" sheetId="10" state="visible" r:id="rId10"/>
  </sheets>
  <definedNames/>
  <calcPr calcId="124519" fullCalcOnLoad="1"/>
</workbook>
</file>

<file path=xl/styles.xml><?xml version="1.0" encoding="utf-8"?>
<styleSheet xmlns="http://schemas.openxmlformats.org/spreadsheetml/2006/main">
  <numFmts count="0"/>
  <fonts count="19">
    <font>
      <name val="Arial"/>
      <sz val="10"/>
    </font>
    <font>
      <name val="Arial"/>
      <b val="1"/>
      <color rgb="00FFFFFF"/>
      <sz val="16"/>
    </font>
    <font>
      <name val="Arial"/>
      <b val="1"/>
      <color rgb="00000000"/>
      <sz val="10"/>
    </font>
    <font>
      <name val="Arial"/>
      <i val="1"/>
      <color rgb="00000000"/>
      <sz val="10"/>
    </font>
    <font>
      <name val="Arial"/>
      <b val="1"/>
      <color rgb="00FFFFFF"/>
      <sz val="12"/>
    </font>
    <font>
      <name val="Arial"/>
      <b val="1"/>
      <color rgb="001F3864"/>
      <sz val="10"/>
    </font>
    <font>
      <name val="Arial"/>
      <color rgb="001F1F1F"/>
      <sz val="10"/>
    </font>
    <font>
      <name val="Arial"/>
      <color rgb="00000000"/>
      <sz val="10"/>
    </font>
    <font>
      <name val="Arial"/>
      <b val="1"/>
      <color rgb="009C0006"/>
      <sz val="10"/>
    </font>
    <font>
      <name val="Arial"/>
      <b val="1"/>
      <color rgb="001F1F1F"/>
      <sz val="10"/>
    </font>
    <font>
      <name val="Arial"/>
      <color rgb="00595959"/>
      <sz val="10"/>
    </font>
    <font>
      <name val="Arial"/>
      <b val="1"/>
      <color rgb="00000000"/>
      <sz val="9"/>
    </font>
    <font>
      <name val="Arial"/>
      <color rgb="001F1F1F"/>
      <sz val="9"/>
    </font>
    <font>
      <name val="Arial"/>
      <sz val="9"/>
    </font>
    <font>
      <name val="Arial"/>
      <color rgb="00000000"/>
      <sz val="9"/>
    </font>
    <font>
      <name val="Arial"/>
      <b val="1"/>
      <color rgb="001F1F1F"/>
      <sz val="9"/>
    </font>
    <font>
      <name val="Arial"/>
      <b val="1"/>
      <color rgb="009C0006"/>
      <sz val="9"/>
    </font>
    <font>
      <name val="Arial"/>
      <b val="1"/>
      <color rgb="001F3864"/>
      <sz val="9"/>
    </font>
    <font>
      <name val="Arial"/>
      <b val="1"/>
      <color rgb="00FFFFFF"/>
      <sz val="10"/>
    </font>
  </fonts>
  <fills count="11">
    <fill>
      <patternFill/>
    </fill>
    <fill>
      <patternFill patternType="gray125"/>
    </fill>
    <fill>
      <patternFill patternType="solid">
        <fgColor rgb="001F3864"/>
      </patternFill>
    </fill>
    <fill>
      <patternFill patternType="solid">
        <fgColor rgb="00B4C6E7"/>
      </patternFill>
    </fill>
    <fill>
      <patternFill patternType="solid">
        <fgColor rgb="00E8EEF7"/>
      </patternFill>
    </fill>
    <fill>
      <patternFill patternType="solid">
        <fgColor rgb="00FFF2CC"/>
      </patternFill>
    </fill>
    <fill>
      <patternFill patternType="solid">
        <fgColor rgb="00D9D9D9"/>
      </patternFill>
    </fill>
    <fill>
      <patternFill patternType="solid">
        <fgColor rgb="00FFC7CE"/>
      </patternFill>
    </fill>
    <fill>
      <patternFill patternType="solid">
        <fgColor rgb="00D6E0F0"/>
      </patternFill>
    </fill>
    <fill>
      <patternFill patternType="solid">
        <fgColor rgb="00F2F2F2"/>
      </patternFill>
    </fill>
    <fill>
      <patternFill patternType="solid">
        <fgColor rgb="00FFE9B0"/>
      </patternFill>
    </fill>
  </fills>
  <borders count="11">
    <border>
      <left/>
      <right/>
      <top/>
      <bottom/>
      <diagonal/>
    </border>
    <border>
      <bottom style="medium">
        <color rgb="001F3864"/>
      </bottom>
    </border>
    <border>
      <left style="thin">
        <color rgb="00BF9000"/>
      </left>
      <right style="thin">
        <color rgb="00BF9000"/>
      </right>
      <top style="thin">
        <color rgb="00BF9000"/>
      </top>
      <bottom style="thin">
        <color rgb="00BF9000"/>
      </bottom>
    </border>
    <border>
      <left/>
      <right/>
      <top style="thin">
        <color rgb="00BF9000"/>
      </top>
      <bottom/>
      <diagonal/>
    </border>
    <border>
      <left/>
      <right style="thin">
        <color rgb="00BF9000"/>
      </right>
      <top style="thin">
        <color rgb="00BF9000"/>
      </top>
      <bottom/>
      <diagonal/>
    </border>
    <border>
      <left/>
      <right/>
      <top style="thin">
        <color rgb="00BF9000"/>
      </top>
      <bottom style="thin">
        <color rgb="00BF9000"/>
      </bottom>
      <diagonal/>
    </border>
    <border>
      <left/>
      <right style="thin">
        <color rgb="00BF9000"/>
      </right>
      <top style="thin">
        <color rgb="00BF9000"/>
      </top>
      <bottom style="thin">
        <color rgb="00BF9000"/>
      </bottom>
      <diagonal/>
    </border>
    <border>
      <left/>
      <right/>
      <top/>
      <bottom style="medium">
        <color rgb="001F3864"/>
      </bottom>
      <diagonal/>
    </border>
    <border>
      <left/>
      <right style="medium">
        <color rgb="001F3864"/>
      </right>
      <top/>
      <bottom/>
    </border>
    <border>
      <right/>
      <bottom style="medium">
        <color rgb="001F3864"/>
      </bottom>
    </border>
    <border>
      <left style="thin">
        <color rgb="00BF9000"/>
      </left>
      <right style="medium">
        <color rgb="001F3864"/>
      </right>
      <top style="thin">
        <color rgb="00BF9000"/>
      </top>
      <bottom style="thin">
        <color rgb="00BF9000"/>
      </bottom>
    </border>
  </borders>
  <cellStyleXfs count="1">
    <xf numFmtId="0" fontId="0" fillId="0" borderId="0"/>
  </cellStyleXfs>
  <cellXfs count="76">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xf>
    <xf numFmtId="0" fontId="7" fillId="5" borderId="2" applyAlignment="1" pivotButton="0" quotePrefix="0" xfId="0">
      <alignment vertical="center" wrapText="1"/>
    </xf>
    <xf numFmtId="0" fontId="6" fillId="4" borderId="0" applyAlignment="1" pivotButton="0" quotePrefix="0" xfId="0">
      <alignment vertical="center" wrapText="1"/>
    </xf>
    <xf numFmtId="0" fontId="8" fillId="7" borderId="0" applyAlignment="1" pivotButton="0" quotePrefix="0" xfId="0">
      <alignment vertical="center" wrapText="1"/>
    </xf>
    <xf numFmtId="0" fontId="18" fillId="2" borderId="0" applyAlignment="1" pivotButton="0" quotePrefix="0" xfId="0">
      <alignment vertical="center" wrapText="1"/>
    </xf>
    <xf numFmtId="0" fontId="5" fillId="3" borderId="1" applyAlignment="1" pivotButton="0" quotePrefix="0" xfId="0">
      <alignment vertical="center" wrapText="1"/>
    </xf>
    <xf numFmtId="0" fontId="2" fillId="0" borderId="8" applyAlignment="1" pivotButton="0" quotePrefix="0" xfId="0">
      <alignment vertical="center" wrapText="1"/>
    </xf>
    <xf numFmtId="0" fontId="6" fillId="8" borderId="0" applyAlignment="1" pivotButton="0" quotePrefix="0" xfId="0">
      <alignment vertical="center" wrapText="1"/>
    </xf>
    <xf numFmtId="0" fontId="10" fillId="6" borderId="0" applyAlignment="1" pivotButton="0" quotePrefix="0" xfId="0">
      <alignment vertical="center" wrapText="1"/>
    </xf>
    <xf numFmtId="0" fontId="3" fillId="0" borderId="0" applyAlignment="1" pivotButton="0" quotePrefix="0" xfId="0">
      <alignment vertical="center" wrapText="1"/>
    </xf>
    <xf numFmtId="0" fontId="7" fillId="0" borderId="0" applyAlignment="1" pivotButton="0" quotePrefix="0" xfId="0">
      <alignment vertical="center" wrapText="1"/>
    </xf>
    <xf numFmtId="0" fontId="8" fillId="0" borderId="0" applyAlignment="1" pivotButton="0" quotePrefix="0" xfId="0">
      <alignment vertical="center" wrapText="1"/>
    </xf>
    <xf numFmtId="0" fontId="4" fillId="2" borderId="0" applyAlignment="1" pivotButton="0" quotePrefix="0" xfId="0">
      <alignment vertical="center"/>
    </xf>
    <xf numFmtId="0" fontId="0" fillId="0" borderId="7" pivotButton="0" quotePrefix="0" xfId="0"/>
    <xf numFmtId="0" fontId="2" fillId="0" borderId="8" applyAlignment="1" pivotButton="0" quotePrefix="0" xfId="0">
      <alignment vertical="center"/>
    </xf>
    <xf numFmtId="0" fontId="9" fillId="4" borderId="0" applyAlignment="1" pivotButton="0" quotePrefix="0" xfId="0">
      <alignment vertical="center"/>
    </xf>
    <xf numFmtId="0" fontId="2" fillId="9" borderId="8" applyAlignment="1" pivotButton="0" quotePrefix="0" xfId="0">
      <alignment vertical="center"/>
    </xf>
    <xf numFmtId="0" fontId="9" fillId="8" borderId="0" applyAlignment="1" pivotButton="0" quotePrefix="0" xfId="0">
      <alignment vertical="center"/>
    </xf>
    <xf numFmtId="0" fontId="8" fillId="9" borderId="0" applyAlignment="1" pivotButton="0" quotePrefix="0" xfId="0">
      <alignment vertical="center" wrapText="1"/>
    </xf>
    <xf numFmtId="0" fontId="6" fillId="8" borderId="0" applyAlignment="1" pivotButton="0" quotePrefix="0" xfId="0">
      <alignment vertical="center"/>
    </xf>
    <xf numFmtId="0" fontId="6" fillId="4" borderId="0" applyAlignment="1" pivotButton="0" quotePrefix="0" xfId="0">
      <alignment vertical="center"/>
    </xf>
    <xf numFmtId="0" fontId="7" fillId="5" borderId="2" applyAlignment="1" pivotButton="0" quotePrefix="0" xfId="0">
      <alignment vertical="center"/>
    </xf>
    <xf numFmtId="0" fontId="18" fillId="2" borderId="0" applyAlignment="1" pivotButton="0" quotePrefix="0" xfId="0">
      <alignment vertical="center"/>
    </xf>
    <xf numFmtId="0" fontId="10" fillId="6" borderId="0" applyAlignment="1" pivotButton="0" quotePrefix="0" xfId="0">
      <alignment vertical="center"/>
    </xf>
    <xf numFmtId="0" fontId="2" fillId="0" borderId="0" applyAlignment="1" pivotButton="0" quotePrefix="0" xfId="0">
      <alignment vertical="center" wrapText="1"/>
    </xf>
    <xf numFmtId="0" fontId="7" fillId="5" borderId="2" applyAlignment="1" pivotButton="0" quotePrefix="0" xfId="0">
      <alignment vertical="top" wrapText="1"/>
    </xf>
    <xf numFmtId="0" fontId="0" fillId="0" borderId="5" pivotButton="0" quotePrefix="0" xfId="0"/>
    <xf numFmtId="0" fontId="0" fillId="0" borderId="6" pivotButton="0" quotePrefix="0" xfId="0"/>
    <xf numFmtId="0" fontId="5" fillId="3" borderId="1" applyAlignment="1" pivotButton="0" quotePrefix="0" xfId="0">
      <alignment horizontal="center" vertical="center" wrapText="1"/>
    </xf>
    <xf numFmtId="0" fontId="9" fillId="4" borderId="8" applyAlignment="1" pivotButton="0" quotePrefix="0" xfId="0">
      <alignment horizontal="center" vertical="center"/>
    </xf>
    <xf numFmtId="0" fontId="9" fillId="4" borderId="0" applyAlignment="1" pivotButton="0" quotePrefix="0" xfId="0">
      <alignment horizontal="center" vertical="center"/>
    </xf>
    <xf numFmtId="0" fontId="2" fillId="9" borderId="8" applyAlignment="1" pivotButton="0" quotePrefix="0" xfId="0">
      <alignment vertical="center" wrapText="1"/>
    </xf>
    <xf numFmtId="0" fontId="7" fillId="9" borderId="0" applyAlignment="1" pivotButton="0" quotePrefix="0" xfId="0">
      <alignment vertical="center" wrapText="1"/>
    </xf>
    <xf numFmtId="0" fontId="0" fillId="9" borderId="0" pivotButton="0" quotePrefix="0" xfId="0"/>
    <xf numFmtId="0" fontId="7" fillId="10" borderId="2" applyAlignment="1" pivotButton="0" quotePrefix="0" xfId="0">
      <alignment vertical="center"/>
    </xf>
    <xf numFmtId="0" fontId="9" fillId="4" borderId="0" applyAlignment="1" pivotButton="0" quotePrefix="0" xfId="0">
      <alignment vertical="center" wrapText="1"/>
    </xf>
    <xf numFmtId="0" fontId="11" fillId="0" borderId="0" applyAlignment="1" pivotButton="0" quotePrefix="0" xfId="0">
      <alignment vertical="center" wrapText="1"/>
    </xf>
    <xf numFmtId="0" fontId="12" fillId="4" borderId="0" applyAlignment="1" pivotButton="0" quotePrefix="0" xfId="0">
      <alignment vertical="center"/>
    </xf>
    <xf numFmtId="0" fontId="13" fillId="0" borderId="0" pivotButton="0" quotePrefix="0" xfId="0"/>
    <xf numFmtId="0" fontId="14" fillId="0" borderId="0" applyAlignment="1" pivotButton="0" quotePrefix="0" xfId="0">
      <alignment vertical="center" wrapText="1"/>
    </xf>
    <xf numFmtId="0" fontId="14" fillId="5" borderId="2" applyAlignment="1" pivotButton="0" quotePrefix="0" xfId="0">
      <alignment vertical="center"/>
    </xf>
    <xf numFmtId="0" fontId="7" fillId="0" borderId="0" applyAlignment="1" pivotButton="0" quotePrefix="0" xfId="0">
      <alignment vertical="center"/>
    </xf>
    <xf numFmtId="0" fontId="11" fillId="0" borderId="8" applyAlignment="1" pivotButton="0" quotePrefix="0" xfId="0">
      <alignment vertical="center" wrapText="1"/>
    </xf>
    <xf numFmtId="0" fontId="15" fillId="4" borderId="0" applyAlignment="1" pivotButton="0" quotePrefix="0" xfId="0">
      <alignment vertical="center"/>
    </xf>
    <xf numFmtId="0" fontId="16" fillId="4" borderId="0" applyAlignment="1" pivotButton="0" quotePrefix="0" xfId="0">
      <alignment vertical="center" wrapText="1"/>
    </xf>
    <xf numFmtId="0" fontId="17" fillId="3" borderId="1" applyAlignment="1" pivotButton="0" quotePrefix="0" xfId="0">
      <alignment vertical="center" wrapText="1"/>
    </xf>
    <xf numFmtId="0" fontId="13" fillId="0" borderId="7" pivotButton="0" quotePrefix="0" xfId="0"/>
    <xf numFmtId="0" fontId="15" fillId="4" borderId="8" applyAlignment="1" pivotButton="0" quotePrefix="0" xfId="0">
      <alignment vertical="center"/>
    </xf>
    <xf numFmtId="0" fontId="15" fillId="8" borderId="8" applyAlignment="1" pivotButton="0" quotePrefix="0" xfId="0">
      <alignment vertical="center"/>
    </xf>
    <xf numFmtId="0" fontId="15" fillId="8" borderId="0" applyAlignment="1" pivotButton="0" quotePrefix="0" xfId="0">
      <alignment vertical="center"/>
    </xf>
    <xf numFmtId="0" fontId="12" fillId="8" borderId="0" applyAlignment="1" pivotButton="0" quotePrefix="0" xfId="0">
      <alignment vertical="center"/>
    </xf>
    <xf numFmtId="0" fontId="11" fillId="5" borderId="10" applyAlignment="1" pivotButton="0" quotePrefix="0" xfId="0">
      <alignment vertical="center"/>
    </xf>
    <xf numFmtId="0" fontId="13" fillId="0" borderId="6" pivotButton="0" quotePrefix="0" xfId="0"/>
    <xf numFmtId="0" fontId="11" fillId="10" borderId="10" applyAlignment="1" pivotButton="0" quotePrefix="0" xfId="0">
      <alignment vertical="center"/>
    </xf>
    <xf numFmtId="0" fontId="14" fillId="10" borderId="2" applyAlignment="1" pivotButton="0" quotePrefix="0" xfId="0">
      <alignment vertical="center"/>
    </xf>
    <xf numFmtId="0" fontId="5" fillId="3" borderId="9" applyAlignment="1" pivotButton="0" quotePrefix="0" xfId="0">
      <alignment vertical="center" wrapText="1"/>
    </xf>
    <xf numFmtId="0" fontId="9" fillId="4" borderId="8" applyAlignment="1" pivotButton="0" quotePrefix="0" xfId="0">
      <alignment vertical="center"/>
    </xf>
    <xf numFmtId="0" fontId="9" fillId="8" borderId="8" applyAlignment="1" pivotButton="0" quotePrefix="0" xfId="0">
      <alignment vertical="center"/>
    </xf>
    <xf numFmtId="0" fontId="7" fillId="10" borderId="2" applyAlignment="1" pivotButton="0" quotePrefix="0" xfId="0">
      <alignment vertical="top" wrapText="1"/>
    </xf>
    <xf numFmtId="0" fontId="9" fillId="8" borderId="0" applyAlignment="1" pivotButton="0" quotePrefix="0" xfId="0">
      <alignment vertical="center" wrapText="1"/>
    </xf>
    <xf numFmtId="0" fontId="2" fillId="5" borderId="10" applyAlignment="1" pivotButton="0" quotePrefix="0" xfId="0">
      <alignment vertical="top" wrapText="1"/>
    </xf>
    <xf numFmtId="0" fontId="2" fillId="10" borderId="10" applyAlignment="1" pivotButton="0" quotePrefix="0" xfId="0">
      <alignment vertical="top" wrapText="1"/>
    </xf>
    <xf numFmtId="0" fontId="6" fillId="4" borderId="0" applyAlignment="1" pivotButton="0" quotePrefix="0" xfId="0">
      <alignment horizontal="center" vertical="center"/>
    </xf>
    <xf numFmtId="0" fontId="9" fillId="8" borderId="8" applyAlignment="1" pivotButton="0" quotePrefix="0" xfId="0">
      <alignment horizontal="center" vertical="center"/>
    </xf>
    <xf numFmtId="0" fontId="6" fillId="8" borderId="0" applyAlignment="1" pivotButton="0" quotePrefix="0" xfId="0">
      <alignment horizontal="center" vertical="center"/>
    </xf>
    <xf numFmtId="0" fontId="5" fillId="3" borderId="1" applyAlignment="1" pivotButton="0" quotePrefix="0" xfId="0">
      <alignment horizontal="left" vertical="center" wrapText="1"/>
    </xf>
    <xf numFmtId="0" fontId="9" fillId="4" borderId="8" applyAlignment="1" pivotButton="0" quotePrefix="0" xfId="0">
      <alignment horizontal="left" vertical="center" wrapText="1"/>
    </xf>
    <xf numFmtId="0" fontId="6" fillId="4" borderId="0" applyAlignment="1" pivotButton="0" quotePrefix="0" xfId="0">
      <alignment horizontal="center" vertical="center" wrapText="1"/>
    </xf>
    <xf numFmtId="0" fontId="9" fillId="8" borderId="8" applyAlignment="1" pivotButton="0" quotePrefix="0" xfId="0">
      <alignment horizontal="left" vertical="center" wrapText="1"/>
    </xf>
    <xf numFmtId="0" fontId="6" fillId="8" borderId="0" applyAlignment="1" pivotButton="0" quotePrefix="0" xfId="0">
      <alignment horizontal="center" vertical="center" wrapText="1"/>
    </xf>
    <xf numFmtId="0" fontId="9" fillId="4" borderId="8" applyAlignment="1" pivotButton="0" quotePrefix="0" xfId="0">
      <alignment vertical="center" wrapText="1"/>
    </xf>
    <xf numFmtId="0" fontId="6" fillId="4" borderId="0" applyAlignment="1" pivotButton="0" quotePrefix="0" xfId="0">
      <alignment horizontal="left" vertical="center" wrapText="1"/>
    </xf>
    <xf numFmtId="0" fontId="6" fillId="8" borderId="0" applyAlignment="1" pivotButton="0" quotePrefix="0" xfId="0">
      <alignment horizontal="left" vertical="center" wrapText="1"/>
    </xf>
    <xf numFmtId="0" fontId="9" fillId="8" borderId="8" applyAlignment="1" pivotButton="0" quotePrefix="0" xfId="0">
      <alignment vertical="center" wrapText="1"/>
    </xf>
  </cellXfs>
  <cellStyles count="1">
    <cellStyle name="Normal" xfId="0" builtinId="0" hidden="0"/>
  </cellStyles>
  <dxfs count="3">
    <dxf>
      <fill>
        <patternFill patternType="solid">
          <fgColor rgb="00FFC7CE"/>
          <bgColor rgb="00FFC7CE"/>
        </patternFill>
      </fill>
    </dxf>
    <dxf>
      <font>
        <color rgb="00595959"/>
      </font>
      <fill>
        <patternFill patternType="solid">
          <fgColor rgb="00D9D9D9"/>
          <bgColor rgb="00D9D9D9"/>
        </patternFill>
      </fill>
    </dxf>
    <dxf>
      <font>
        <b val="1"/>
        <color rgb="00000000"/>
      </font>
      <fill>
        <patternFill patternType="solid">
          <fgColor rgb="00FFE699"/>
          <bgColor rgb="00FFE69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3"/>
  <sheetViews>
    <sheetView showGridLines="1" workbookViewId="0">
      <selection activeCell="A1" sqref="A1"/>
    </sheetView>
  </sheetViews>
  <sheetFormatPr baseColWidth="8" defaultRowHeight="15"/>
  <cols>
    <col width="30" customWidth="1" min="1" max="1"/>
    <col width="12" customWidth="1" min="2" max="2"/>
    <col width="13" customWidth="1" min="3" max="3"/>
    <col width="13" customWidth="1" min="4" max="4"/>
    <col width="13" customWidth="1" min="5" max="5"/>
    <col width="13" customWidth="1" min="6" max="6"/>
    <col width="13" customWidth="1" min="7" max="7"/>
    <col width="13.7" customWidth="1" min="8" max="8"/>
    <col width="13" customWidth="1" min="9" max="9"/>
    <col width="13" customWidth="1" min="10" max="10"/>
    <col width="13" customWidth="1" min="11" max="11"/>
    <col width="13" customWidth="1" min="12" max="12"/>
  </cols>
  <sheetData>
    <row r="1" ht="24" customHeight="1">
      <c r="A1" s="1" t="inlineStr">
        <is>
          <t>Início — Explorando Galáxias v1.1</t>
        </is>
      </c>
    </row>
    <row r="2" ht="37" customHeight="1">
      <c r="A2" s="2" t="inlineStr">
        <is>
          <t>Legenda:</t>
        </is>
      </c>
      <c r="B2" s="3" t="inlineStr">
        <is>
          <t>Entrada (preencha)</t>
        </is>
      </c>
      <c r="C2" s="4" t="inlineStr">
        <is>
          <t>Calculada (automático)</t>
        </is>
      </c>
      <c r="D2" s="5" t="inlineStr">
        <is>
          <t>Aviso (texto em vermelho)</t>
        </is>
      </c>
      <c r="E2" s="6" t="inlineStr">
        <is>
          <t>Título de bloco</t>
        </is>
      </c>
      <c r="F2" s="7" t="inlineStr">
        <is>
          <t>Cabeçalho de coluna</t>
        </is>
      </c>
      <c r="G2" s="8" t="inlineStr">
        <is>
          <t>Rótulo da linha</t>
        </is>
      </c>
      <c r="H2" s="9" t="inlineStr">
        <is>
          <t>Linha alternada (outro tom)</t>
        </is>
      </c>
      <c r="I2" s="10" t="inlineStr">
        <is>
          <t>Não se aplica</t>
        </is>
      </c>
    </row>
    <row r="3">
      <c r="A3" s="11" t="inlineStr">
        <is>
          <t>Comece por aqui: como usar a ficha, importar no Google Planilhas e o painel de avisos.</t>
        </is>
      </c>
    </row>
    <row r="4"/>
    <row r="5" ht="24" customHeight="1">
      <c r="A5" s="1" t="inlineStr">
        <is>
          <t>Ficha de Personagem — Explorando Galáxias v1.1</t>
        </is>
      </c>
    </row>
    <row r="6" ht="30" customHeight="1">
      <c r="A6" s="12" t="inlineStr">
        <is>
          <t>Sistema de RPG de mesa no universo de Honkai: Star Rail · autoria: MC Filhos · versão v1.1 · níveis 1 a 20. Ficha automatizada para o Google Planilhas: preencha as células amarelas e o resto se calcula sozinho. Ficha V1.1 · revisão 2.</t>
        </is>
      </c>
    </row>
    <row r="7">
      <c r="A7" s="13" t="inlineStr">
        <is>
          <t>Não comece um texto com +, - ou =: o Google entende como fórmula. Se precisar, digite um apóstrofo (') antes.</t>
        </is>
      </c>
    </row>
    <row r="8"/>
    <row r="9">
      <c r="A9" s="14" t="inlineStr">
        <is>
          <t>Painel de avisos (automático) — uma linha por aba; zero avisos = ficha conferida</t>
        </is>
      </c>
    </row>
    <row r="10">
      <c r="A10" s="7" t="inlineStr">
        <is>
          <t>Aba</t>
        </is>
      </c>
      <c r="B10" s="7" t="inlineStr">
        <is>
          <t>Avisos</t>
        </is>
      </c>
      <c r="C10" s="7" t="inlineStr">
        <is>
          <t>Primeiro aviso</t>
        </is>
      </c>
      <c r="D10" s="15" t="n"/>
      <c r="E10" s="15" t="n"/>
      <c r="F10" s="15" t="n"/>
      <c r="G10" s="15" t="n"/>
      <c r="H10" s="15" t="n"/>
      <c r="I10" s="15" t="n"/>
      <c r="J10" s="15" t="n"/>
      <c r="K10" s="15" t="n"/>
      <c r="L10" s="15" t="n"/>
    </row>
    <row r="11" ht="30" customHeight="1">
      <c r="A11" s="16" t="inlineStr">
        <is>
          <t>Criação</t>
        </is>
      </c>
      <c r="B11" s="17">
        <f>SUMPRODUCT((LEN('Criação'!$K$6:$K$10)&gt;0)*1)+SUMPRODUCT((LEN('Criação'!$K$20:$K$22)&gt;0)*1)+SUMPRODUCT((LEN('Criação'!$K$25:$K$28)&gt;0)*1)+(LEN('Criação'!$K$33)&gt;0)*1+SUMPRODUCT((LEN('Criação'!$K$44:$K$51)&gt;0)*1)+(LEN('Criação'!$K$54)&gt;0)*1+(LEN('Criação'!$K$60)&gt;0)*1+(LEN('Criação'!$K$65)&gt;0)*1+(LEN('Criação'!$K$67)&gt;0)*1+SUMPRODUCT((LEN('Criação'!$K$69:$K$73)&gt;0)*1)+SUMPRODUCT((LEN('Criação'!$K$75:$K$82)&gt;0)*1)+SUMPRODUCT((LEN('Criação'!$K$84:$K$88)&gt;0)*1)+(LEN('Criação'!$K$91)&gt;0)*1+SUMPRODUCT((LEN('Criação'!$K$97:$K$99)&gt;0)*1)+SUMPRODUCT((LEN('Criação'!$K$107:$K$111)&gt;0)*1)+SUMPRODUCT((LEN('Criação'!$K$113:$K$114)&gt;0)*1)+SUMPRODUCT((LEN('Criação'!$K$116:$K$117)&gt;0)*1)</f>
        <v/>
      </c>
      <c r="C11" s="13">
        <f>IFERROR(INDEX('Criação'!$K$6:$K$10,MATCH("?*",'Criação'!$K$6:$K$10,0)),IFERROR(INDEX('Criação'!$K$20:$K$22,MATCH("?*",'Criação'!$K$20:$K$22,0)),IFERROR(INDEX('Criação'!$K$25:$K$28,MATCH("?*",'Criação'!$K$25:$K$28,0)),IFERROR(INDEX('Criação'!$K$33,MATCH("?*",'Criação'!$K$33,0)),IFERROR(INDEX('Criação'!$K$44:$K$51,MATCH("?*",'Criação'!$K$44:$K$51,0)),IFERROR(INDEX('Criação'!$K$54,MATCH("?*",'Criação'!$K$54,0)),IFERROR(INDEX('Criação'!$K$60,MATCH("?*",'Criação'!$K$60,0)),IFERROR(INDEX('Criação'!$K$65,MATCH("?*",'Criação'!$K$65,0)),IFERROR(INDEX('Criação'!$K$67,MATCH("?*",'Criação'!$K$67,0)),IFERROR(INDEX('Criação'!$K$69:$K$73,MATCH("?*",'Criação'!$K$69:$K$73,0)),IFERROR(INDEX('Criação'!$K$75:$K$82,MATCH("?*",'Criação'!$K$75:$K$82,0)),IFERROR(INDEX('Criação'!$K$84:$K$88,MATCH("?*",'Criação'!$K$84:$K$88,0)),IFERROR(INDEX('Criação'!$K$91,MATCH("?*",'Criação'!$K$91,0)),IFERROR(INDEX('Criação'!$K$97:$K$99,MATCH("?*",'Criação'!$K$97:$K$99,0)),IFERROR(INDEX('Criação'!$K$107:$K$111,MATCH("?*",'Criação'!$K$107:$K$111,0)),IFERROR(INDEX('Criação'!$K$113:$K$114,MATCH("?*",'Criação'!$K$113:$K$114,0)),IFERROR(INDEX('Criação'!$K$116:$K$117,MATCH("?*",'Criação'!$K$116:$K$117,0)),"")))))))))))))))))</f>
        <v/>
      </c>
    </row>
    <row r="12" ht="30" customHeight="1">
      <c r="A12" s="18" t="inlineStr">
        <is>
          <t>Em Jogo</t>
        </is>
      </c>
      <c r="B12" s="19">
        <f>SUMPRODUCT((LEN('Em Jogo'!$N$2:$N$20)&gt;0)*1)+SUMPRODUCT((LEN('Em Jogo'!$N$33:$N$40)&gt;0)*1)</f>
        <v/>
      </c>
      <c r="C12" s="20">
        <f>IFERROR(INDEX('Em Jogo'!$N$2:$N$20,MATCH("?*",'Em Jogo'!$N$2:$N$20,0)),IFERROR(INDEX('Em Jogo'!$N$33:$N$40,MATCH("?*",'Em Jogo'!$N$33:$N$40,0)),""))</f>
        <v/>
      </c>
    </row>
    <row r="13" ht="30" customHeight="1">
      <c r="A13" s="16" t="inlineStr">
        <is>
          <t>Testes</t>
        </is>
      </c>
      <c r="B13" s="17">
        <f>SUMPRODUCT((LEN('Testes'!$K$40:$K$45)&gt;0)*1)+SUMPRODUCT((LEN('Testes'!$L$16:$L$20)&gt;0)*1)+SUMPRODUCT((LEN('Testes'!$L$22:$L$29)&gt;0)*1)+SUMPRODUCT((LEN('Testes'!$L$31:$L$35)&gt;0)*1)</f>
        <v/>
      </c>
      <c r="C13" s="13">
        <f>IFERROR(INDEX('Testes'!$K$40:$K$45,MATCH("?*",'Testes'!$K$40:$K$45,0)),IFERROR(INDEX('Testes'!$L$16:$L$20,MATCH("?*",'Testes'!$L$16:$L$20,0)),IFERROR(INDEX('Testes'!$L$22:$L$29,MATCH("?*",'Testes'!$L$22:$L$29,0)),IFERROR(INDEX('Testes'!$L$31:$L$35,MATCH("?*",'Testes'!$L$31:$L$35,0)),""))))</f>
        <v/>
      </c>
    </row>
    <row r="14" ht="30" customHeight="1">
      <c r="A14" s="18" t="inlineStr">
        <is>
          <t>Habilidades</t>
        </is>
      </c>
      <c r="B14" s="19">
        <f>SUMPRODUCT((LEN('Habilidades'!$I$12:$I$19)&gt;0)*1)+(LEN('Habilidades'!$K$54)&gt;0)*1+SUMPRODUCT((LEN('Habilidades'!$K$57:$K$58)&gt;0)*1)+SUMPRODUCT((LEN('Habilidades'!$L$7:$L$8)&gt;0)*1)+SUMPRODUCT((LEN('Habilidades'!$L$55:$L$56)&gt;0)*1)+(LEN('Habilidades'!$L$59)&gt;0)*1</f>
        <v/>
      </c>
      <c r="C14" s="20">
        <f>IFERROR(INDEX('Habilidades'!$I$12:$I$19,MATCH("?*",'Habilidades'!$I$12:$I$19,0)),IFERROR(INDEX('Habilidades'!$K$54,MATCH("?*",'Habilidades'!$K$54,0)),IFERROR(INDEX('Habilidades'!$K$57:$K$58,MATCH("?*",'Habilidades'!$K$57:$K$58,0)),IFERROR(INDEX('Habilidades'!$L$7:$L$8,MATCH("?*",'Habilidades'!$L$7:$L$8,0)),IFERROR(INDEX('Habilidades'!$L$55:$L$56,MATCH("?*",'Habilidades'!$L$55:$L$56,0)),IFERROR(INDEX('Habilidades'!$L$59,MATCH("?*",'Habilidades'!$L$59,0)),""))))))</f>
        <v/>
      </c>
    </row>
    <row r="15" ht="30" customHeight="1">
      <c r="A15" s="16" t="inlineStr">
        <is>
          <t>Caminho</t>
        </is>
      </c>
      <c r="B15" s="17">
        <f>SUMPRODUCT((LEN('Caminho'!$K$27:$K$36)&gt;0)*1)+SUMPRODUCT((LEN('Caminho'!$K$54:$K$58)&gt;0)*1)+SUMPRODUCT((LEN('Caminho'!$K$60:$K$67)&gt;0)*1)+SUMPRODUCT((LEN('Caminho'!$K$69:$K$73)&gt;0)*1)+SUMPRODUCT((LEN('Caminho'!$K$75:$K$78)&gt;0)*1)+SUMPRODUCT((LEN('Caminho'!$K$95:$K$96)&gt;0)*1)</f>
        <v/>
      </c>
      <c r="C15" s="13">
        <f>IFERROR(INDEX('Caminho'!$K$27:$K$36,MATCH("?*",'Caminho'!$K$27:$K$36,0)),IFERROR(INDEX('Caminho'!$K$54:$K$58,MATCH("?*",'Caminho'!$K$54:$K$58,0)),IFERROR(INDEX('Caminho'!$K$60:$K$67,MATCH("?*",'Caminho'!$K$60:$K$67,0)),IFERROR(INDEX('Caminho'!$K$69:$K$73,MATCH("?*",'Caminho'!$K$69:$K$73,0)),IFERROR(INDEX('Caminho'!$K$75:$K$78,MATCH("?*",'Caminho'!$K$75:$K$78,0)),IFERROR(INDEX('Caminho'!$K$95:$K$96,MATCH("?*",'Caminho'!$K$95:$K$96,0)),""))))))</f>
        <v/>
      </c>
    </row>
    <row r="16" ht="37" customHeight="1">
      <c r="A16" s="18" t="inlineStr">
        <is>
          <t>Equipamento</t>
        </is>
      </c>
      <c r="B16" s="19">
        <f>SUMPRODUCT((LEN('Equipamento'!$I$45:$I$47)&gt;0)*1)+(LEN('Equipamento'!$K$8)&gt;0)*1+(LEN('Equipamento'!$K$18)&gt;0)*1+(LEN('Equipamento'!$K$21)&gt;0)*1+(LEN('Equipamento'!$K$58)&gt;0)*1+SUMPRODUCT((LEN('Equipamento'!$K$60:$K$69)&gt;0)*1)+SUMPRODUCT((LEN('Equipamento'!$K$71:$K$80)&gt;0)*1)+(LEN('Equipamento'!$K$84)&gt;0)*1+SUMPRODUCT((LEN('Equipamento'!$K$86:$K$96)&gt;0)*1)+SUMPRODUCT((LEN('Equipamento'!$L$19:$L$20)&gt;0)*1)+SUMPRODUCT((LEN('Equipamento'!$L$22:$L$24)&gt;0)*1)+SUMPRODUCT((LEN('Equipamento'!$L$36:$L$41)&gt;0)*1)+(LEN('Equipamento'!$L$48)&gt;0)*1</f>
        <v/>
      </c>
      <c r="C16" s="20">
        <f>IFERROR(INDEX('Equipamento'!$I$45:$I$47,MATCH("?*",'Equipamento'!$I$45:$I$47,0)),IFERROR(INDEX('Equipamento'!$K$8,MATCH("?*",'Equipamento'!$K$8,0)),IFERROR(INDEX('Equipamento'!$K$18,MATCH("?*",'Equipamento'!$K$18,0)),IFERROR(INDEX('Equipamento'!$K$21,MATCH("?*",'Equipamento'!$K$21,0)),IFERROR(INDEX('Equipamento'!$K$58,MATCH("?*",'Equipamento'!$K$58,0)),IFERROR(INDEX('Equipamento'!$K$60:$K$69,MATCH("?*",'Equipamento'!$K$60:$K$69,0)),IFERROR(INDEX('Equipamento'!$K$71:$K$80,MATCH("?*",'Equipamento'!$K$71:$K$80,0)),IFERROR(INDEX('Equipamento'!$K$84,MATCH("?*",'Equipamento'!$K$84,0)),IFERROR(INDEX('Equipamento'!$K$86:$K$96,MATCH("?*",'Equipamento'!$K$86:$K$96,0)),IFERROR(INDEX('Equipamento'!$L$19:$L$20,MATCH("?*",'Equipamento'!$L$19:$L$20,0)),IFERROR(INDEX('Equipamento'!$L$22:$L$24,MATCH("?*",'Equipamento'!$L$22:$L$24,0)),IFERROR(INDEX('Equipamento'!$L$36:$L$41,MATCH("?*",'Equipamento'!$L$36:$L$41,0)),IFERROR(INDEX('Equipamento'!$L$48,MATCH("?*",'Equipamento'!$L$48,0)),"")))))))))))))</f>
        <v/>
      </c>
    </row>
    <row r="17" ht="30" customHeight="1">
      <c r="A17" s="16" t="inlineStr">
        <is>
          <t>Progressão</t>
        </is>
      </c>
      <c r="B17" s="17">
        <f>SUMPRODUCT((LEN('Progressão'!$H$57:$H$62)&gt;0)*1)+SUMPRODUCT((LEN('Progressão'!$I$67:$I$70)&gt;0)*1)</f>
        <v/>
      </c>
      <c r="C17" s="13">
        <f>IFERROR(INDEX('Progressão'!$H$57:$H$62,MATCH("?*",'Progressão'!$H$57:$H$62,0)),IFERROR(INDEX('Progressão'!$I$67:$I$70,MATCH("?*",'Progressão'!$I$67:$I$70,0)),""))</f>
        <v/>
      </c>
    </row>
    <row r="18">
      <c r="A18" s="18" t="inlineStr">
        <is>
          <t>Total</t>
        </is>
      </c>
      <c r="B18" s="19">
        <f>SUM(B11:B17)</f>
        <v/>
      </c>
      <c r="C18" s="21">
        <f>IF(B18=0,"Nenhum aviso: a ficha está conferida.","Abra a aba indicada e leia a coluna Aviso (na Em Jogo, a linha 13).")</f>
        <v/>
      </c>
    </row>
    <row r="19" ht="26" customHeight="1">
      <c r="A19" s="16" t="inlineStr">
        <is>
          <t>Células com erro na ficha</t>
        </is>
      </c>
      <c r="B19" s="17">
        <f>SUM($B$21:$K$21)</f>
        <v/>
      </c>
      <c r="C19" s="4">
        <f>IF($B$19=0,"Nenhuma célula com erro.","O Google leu como fórmula um texto que começa com +, - ou =. Procure a célula com erro na aba indicada abaixo (o aviso da linha diz o que fazer), apague e escreva de novo com um apóstrofo (') na frente, ou escolha de novo na lista.")</f>
        <v/>
      </c>
    </row>
    <row r="20" ht="30" customHeight="1">
      <c r="A20" s="7" t="inlineStr">
        <is>
          <t>Erros por aba</t>
        </is>
      </c>
      <c r="B20" s="7" t="inlineStr">
        <is>
          <t>Início</t>
        </is>
      </c>
      <c r="C20" s="7" t="inlineStr">
        <is>
          <t>Criação</t>
        </is>
      </c>
      <c r="D20" s="7" t="inlineStr">
        <is>
          <t>Em Jogo</t>
        </is>
      </c>
      <c r="E20" s="7" t="inlineStr">
        <is>
          <t>Testes</t>
        </is>
      </c>
      <c r="F20" s="7" t="inlineStr">
        <is>
          <t>Habilidades</t>
        </is>
      </c>
      <c r="G20" s="7" t="inlineStr">
        <is>
          <t>Caminho</t>
        </is>
      </c>
      <c r="H20" s="7" t="inlineStr">
        <is>
          <t>Equipamento</t>
        </is>
      </c>
      <c r="I20" s="7" t="inlineStr">
        <is>
          <t>Progressão</t>
        </is>
      </c>
      <c r="J20" s="7" t="inlineStr">
        <is>
          <t>Regras Rápidas</t>
        </is>
      </c>
      <c r="K20" s="7" t="inlineStr">
        <is>
          <t>Dados</t>
        </is>
      </c>
    </row>
    <row r="21">
      <c r="A21" s="16" t="inlineStr">
        <is>
          <t>Células com erro</t>
        </is>
      </c>
      <c r="B21" s="22">
        <f>SUMPRODUCT(ISERROR($A$1:$L$18)*1)+SUMPRODUCT(ISERROR($A$22:$L$53)*1)</f>
        <v/>
      </c>
      <c r="C21" s="22">
        <f>SUMPRODUCT(ISERROR('Criação'!$A$1:$T$126)*1)</f>
        <v/>
      </c>
      <c r="D21" s="22">
        <f>SUMPRODUCT(ISERROR('Em Jogo'!$A$1:$AP$44)*1)</f>
        <v/>
      </c>
      <c r="E21" s="22">
        <f>SUMPRODUCT(ISERROR('Testes'!$A$1:$O$47)*1)</f>
        <v/>
      </c>
      <c r="F21" s="22">
        <f>SUMPRODUCT(ISERROR('Habilidades'!$A$1:$AF$63)*1)</f>
        <v/>
      </c>
      <c r="G21" s="22">
        <f>SUMPRODUCT(ISERROR('Caminho'!$A$1:$T$96)*1)</f>
        <v/>
      </c>
      <c r="H21" s="22">
        <f>SUMPRODUCT(ISERROR('Equipamento'!$A$1:$AM$97)*1)</f>
        <v/>
      </c>
      <c r="I21" s="22">
        <f>SUMPRODUCT(ISERROR('Progressão'!$A$1:$W$88)*1)</f>
        <v/>
      </c>
      <c r="J21" s="22">
        <f>SUMPRODUCT(ISERROR('Regras Rápidas'!$A$1:$L$119)*1)</f>
        <v/>
      </c>
      <c r="K21" s="22">
        <f>SUMPRODUCT(ISERROR('Dados'!$A$1:$AT$595)*1)</f>
        <v/>
      </c>
    </row>
    <row r="22"/>
    <row r="23">
      <c r="A23" s="14" t="inlineStr">
        <is>
          <t>Como usar em 6 passos</t>
        </is>
      </c>
    </row>
    <row r="24">
      <c r="A24" s="12" t="inlineStr">
        <is>
          <t>1. Criação: preencha as células amarelas de cima para baixo — são os 12 passos do capítulo 03.</t>
        </is>
      </c>
    </row>
    <row r="25">
      <c r="A25" s="12" t="inlineStr">
        <is>
          <t>2. Caminho: escolha as Bênçãos nos slots liberados (e monte o Memoespírito, se for A Recordação).</t>
        </is>
      </c>
    </row>
    <row r="26">
      <c r="A26" s="12" t="inlineStr">
        <is>
          <t>3. Habilidades: escreva as suas Habilidades e a Ultimate; a ficha calcula dados, média, PH e rolagem.</t>
        </is>
      </c>
    </row>
    <row r="27">
      <c r="A27" s="12" t="inlineStr">
        <is>
          <t>4. Equipamento: Cone de Luz, Relíquias, Conjuntos, arma secundária, inventário e Créditos.</t>
        </is>
      </c>
    </row>
    <row r="28">
      <c r="A28" s="12" t="inlineStr">
        <is>
          <t>5. Progressão: a cada nível, mude o Nível atual na Criação e preencha os aumentos e as Ressonâncias.</t>
        </is>
      </c>
    </row>
    <row r="29">
      <c r="A29" s="12" t="inlineStr">
        <is>
          <t>6. Em Jogo: na mesa, use só esta aba — PV, Energia, PH, condições, usos e a calculadora de dano.</t>
        </is>
      </c>
    </row>
    <row r="30"/>
    <row r="31">
      <c r="A31" s="14" t="inlineStr">
        <is>
          <t>Legenda de cores (a cor nunca é o único sinal: o texto diz)</t>
        </is>
      </c>
    </row>
    <row r="32">
      <c r="A32" s="23" t="inlineStr">
        <is>
          <t>Entrada (preencha)</t>
        </is>
      </c>
      <c r="B32" s="12" t="inlineStr">
        <is>
          <t>Fundo amarelo com borda: é você quem preenche. Toda entrada sai vazia no arquivo.</t>
        </is>
      </c>
    </row>
    <row r="33">
      <c r="A33" s="22" t="inlineStr">
        <is>
          <t>Calculada (automático)</t>
        </is>
      </c>
      <c r="B33" s="12" t="inlineStr">
        <is>
          <t>Fundo azul-claro: fórmula. Não edite (veja a proteção abaixo).</t>
        </is>
      </c>
    </row>
    <row r="34">
      <c r="A34" s="5" t="inlineStr">
        <is>
          <t>Aviso</t>
        </is>
      </c>
      <c r="B34" s="12" t="inlineStr">
        <is>
          <t>Texto vermelho em fundo rosa: alguma regra do livro não fechou. O texto diz o quê.</t>
        </is>
      </c>
    </row>
    <row r="35">
      <c r="A35" s="24" t="inlineStr">
        <is>
          <t>Título de bloco</t>
        </is>
      </c>
      <c r="B35" s="12" t="inlineStr">
        <is>
          <t>Faixa azul-escura: começo de um bloco, com o capítulo do livro.</t>
        </is>
      </c>
    </row>
    <row r="36">
      <c r="A36" s="25" t="inlineStr">
        <is>
          <t>Não se aplica</t>
        </is>
      </c>
      <c r="B36" s="12" t="inlineStr">
        <is>
          <t>Cinza: não vale para o seu personagem (ou é coluna auxiliar).</t>
        </is>
      </c>
    </row>
    <row r="37"/>
    <row r="38">
      <c r="A38" s="14" t="inlineStr">
        <is>
          <t>Como importar no Google Planilhas</t>
        </is>
      </c>
    </row>
    <row r="39">
      <c r="A39" s="12" t="inlineStr">
        <is>
          <t>1. Envie o arquivo .xlsx para o seu Google Drive.</t>
        </is>
      </c>
    </row>
    <row r="40">
      <c r="A40" s="12" t="inlineStr">
        <is>
          <t>2. Clique com o botão direito no arquivo → Abrir com → Planilhas Google.</t>
        </is>
      </c>
    </row>
    <row r="41">
      <c r="A41" s="12" t="inlineStr">
        <is>
          <t>3. No Planilhas: Arquivo → Salvar como Planilhas Google. Use essa cópia (a original continua .xlsx).</t>
        </is>
      </c>
    </row>
    <row r="42">
      <c r="A42" s="12" t="inlineStr">
        <is>
          <t>4. Confira o Painel de avisos acima: com a ficha em branco ele mostra zero avisos.</t>
        </is>
      </c>
    </row>
    <row r="43">
      <c r="A43" s="12" t="inlineStr">
        <is>
          <t>5. Para esconder a aba Dados: clique com o botão direito na aba Dados → Ocultar página. Não apague a aba Dados: as fórmulas leem dela.</t>
        </is>
      </c>
    </row>
    <row r="44"/>
    <row r="45">
      <c r="A45" s="14" t="inlineStr">
        <is>
          <t>Como proteger as fórmulas (proteção nativa do Google, sem senha)</t>
        </is>
      </c>
    </row>
    <row r="46">
      <c r="A46" s="12" t="inlineStr">
        <is>
          <t>1. Dados → Proteger páginas e intervalos → Adicionar uma página ou um intervalo.</t>
        </is>
      </c>
    </row>
    <row r="47">
      <c r="A47" s="12" t="inlineStr">
        <is>
          <t>2. Escolha a aba (ou os intervalos calculados) e marque Exceto certas células para deixar as amarelas livres.</t>
        </is>
      </c>
    </row>
    <row r="48">
      <c r="A48" s="12" t="inlineStr">
        <is>
          <t>3. Definir permissões → Mostrar um aviso ao editar este intervalo → Concluído.</t>
        </is>
      </c>
    </row>
    <row r="49">
      <c r="A49" s="12" t="inlineStr">
        <is>
          <t>Assim ninguém apaga uma fórmula sem querer: o Google avisa antes de editar.</t>
        </is>
      </c>
    </row>
    <row r="50"/>
    <row r="51">
      <c r="A51" s="14" t="inlineStr">
        <is>
          <t>O que a ficha não faz (de propósito)</t>
        </is>
      </c>
    </row>
    <row r="52" ht="30" customHeight="1">
      <c r="A52" s="12" t="inlineStr">
        <is>
          <t>Não rola dados: ela entrega a rolagem pronta, como d20+6 ou 6d6+4 · média 25, e a mesa rola os dados físicos. Não tem macro nem script: tudo é fórmula, e cada fórmula lê o livro v1.1 pela aba Dados.</t>
        </is>
      </c>
    </row>
    <row r="53" ht="30" customHeight="1">
      <c r="A53" s="12" t="inlineStr">
        <is>
          <t>PV atual é entrada direta: use a calculadora de dano da aba Em Jogo e copie o PV novo. A variante de PV rolado não é calculada (veja Regras Rápidas).</t>
        </is>
      </c>
    </row>
  </sheetData>
  <mergeCells count="43">
    <mergeCell ref="B35:L35"/>
    <mergeCell ref="A7:L7"/>
    <mergeCell ref="A25:L25"/>
    <mergeCell ref="A41:L41"/>
    <mergeCell ref="C17:L17"/>
    <mergeCell ref="A46:L46"/>
    <mergeCell ref="A27:L27"/>
    <mergeCell ref="A3:L3"/>
    <mergeCell ref="A26:L26"/>
    <mergeCell ref="C13:L13"/>
    <mergeCell ref="C19:L19"/>
    <mergeCell ref="A42:L42"/>
    <mergeCell ref="C18:L18"/>
    <mergeCell ref="A47:L47"/>
    <mergeCell ref="A5:L5"/>
    <mergeCell ref="A23:L23"/>
    <mergeCell ref="C15:L15"/>
    <mergeCell ref="A53:L53"/>
    <mergeCell ref="C14:L14"/>
    <mergeCell ref="A38:L38"/>
    <mergeCell ref="A29:L29"/>
    <mergeCell ref="A52:L52"/>
    <mergeCell ref="A43:L43"/>
    <mergeCell ref="A28:L28"/>
    <mergeCell ref="B34:L34"/>
    <mergeCell ref="A31:L31"/>
    <mergeCell ref="A40:L40"/>
    <mergeCell ref="A9:L9"/>
    <mergeCell ref="C10:L10"/>
    <mergeCell ref="C16:L16"/>
    <mergeCell ref="A39:L39"/>
    <mergeCell ref="A48:L48"/>
    <mergeCell ref="A24:L24"/>
    <mergeCell ref="A49:L49"/>
    <mergeCell ref="A51:L51"/>
    <mergeCell ref="B33:L33"/>
    <mergeCell ref="A1:L1"/>
    <mergeCell ref="A45:L45"/>
    <mergeCell ref="A6:L6"/>
    <mergeCell ref="C12:L12"/>
    <mergeCell ref="B36:L36"/>
    <mergeCell ref="B32:L32"/>
    <mergeCell ref="C11:L11"/>
  </mergeCells>
  <conditionalFormatting sqref="C11">
    <cfRule type="expression" priority="1" dxfId="0">
      <formula>LEN(C11)&gt;0</formula>
    </cfRule>
  </conditionalFormatting>
  <conditionalFormatting sqref="C12">
    <cfRule type="expression" priority="2" dxfId="0">
      <formula>LEN(C12)&gt;0</formula>
    </cfRule>
  </conditionalFormatting>
  <conditionalFormatting sqref="C13">
    <cfRule type="expression" priority="3" dxfId="0">
      <formula>LEN(C13)&gt;0</formula>
    </cfRule>
  </conditionalFormatting>
  <conditionalFormatting sqref="C14">
    <cfRule type="expression" priority="4" dxfId="0">
      <formula>LEN(C14)&gt;0</formula>
    </cfRule>
  </conditionalFormatting>
  <conditionalFormatting sqref="C15">
    <cfRule type="expression" priority="5" dxfId="0">
      <formula>LEN(C15)&gt;0</formula>
    </cfRule>
  </conditionalFormatting>
  <conditionalFormatting sqref="C16">
    <cfRule type="expression" priority="6" dxfId="0">
      <formula>LEN(C16)&gt;0</formula>
    </cfRule>
  </conditionalFormatting>
  <conditionalFormatting sqref="C17">
    <cfRule type="expression" priority="7" dxfId="0">
      <formula>LEN(C17)&gt;0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6"/>
  <sheetViews>
    <sheetView showGridLines="1" workbookViewId="0">
      <selection activeCell="A1" sqref="A1"/>
    </sheetView>
  </sheetViews>
  <sheetFormatPr baseColWidth="8" defaultRowHeight="15"/>
  <cols>
    <col width="28.214" customWidth="1" min="1" max="1"/>
    <col width="25" customWidth="1" min="2" max="2"/>
    <col width="14" customWidth="1" min="3" max="3"/>
    <col width="12.4" customWidth="1" min="4" max="4"/>
    <col width="12.7" customWidth="1" min="5" max="5"/>
    <col width="11.8" customWidth="1" min="6" max="6"/>
    <col width="15.2" customWidth="1" min="7" max="7"/>
    <col width="11.8" customWidth="1" min="8" max="8"/>
    <col width="12.4" customWidth="1" min="9" max="9"/>
    <col width="11" customWidth="1" min="10" max="10"/>
    <col width="14" customWidth="1" min="11" max="11"/>
    <col width="17.929" customWidth="1" min="12" max="12"/>
    <col hidden="1" width="2" customWidth="1" min="13" max="13"/>
    <col hidden="1" width="10" customWidth="1" min="14" max="14"/>
    <col hidden="1" width="16" customWidth="1" min="15" max="15"/>
    <col hidden="1" width="13" customWidth="1" min="17" max="17"/>
    <col hidden="1" width="13" customWidth="1" min="18" max="18"/>
    <col hidden="1" width="13" customWidth="1" min="19" max="19"/>
    <col hidden="1" width="13" customWidth="1" min="20" max="20"/>
  </cols>
  <sheetData>
    <row r="1" ht="24" customHeight="1">
      <c r="A1" s="1" t="inlineStr">
        <is>
          <t>Criação — Explorando Galáxias v1.1</t>
        </is>
      </c>
    </row>
    <row r="2" ht="26" customHeight="1">
      <c r="A2" s="2" t="inlineStr">
        <is>
          <t>Legenda:</t>
        </is>
      </c>
      <c r="B2" s="3" t="inlineStr">
        <is>
          <t>Entrada (preencha)</t>
        </is>
      </c>
      <c r="C2" s="4" t="inlineStr">
        <is>
          <t>Calculada (automático)</t>
        </is>
      </c>
      <c r="E2" s="5" t="inlineStr">
        <is>
          <t>Aviso (texto em vermelho)</t>
        </is>
      </c>
      <c r="G2" s="6" t="inlineStr">
        <is>
          <t>Título de bloco</t>
        </is>
      </c>
      <c r="H2" s="7" t="inlineStr">
        <is>
          <t>Cabeçalho de coluna</t>
        </is>
      </c>
      <c r="I2" s="8" t="inlineStr">
        <is>
          <t>Rótulo da linha</t>
        </is>
      </c>
      <c r="J2" s="9" t="inlineStr">
        <is>
          <t>Linha alternada (outro tom)</t>
        </is>
      </c>
      <c r="L2" s="10" t="inlineStr">
        <is>
          <t>Não se aplica</t>
        </is>
      </c>
    </row>
    <row r="3">
      <c r="A3" s="11" t="inlineStr">
        <is>
          <t>Os 12 passos do capítulo 03, de cima para baixo.</t>
        </is>
      </c>
    </row>
    <row r="4" ht="26" customHeight="1">
      <c r="N4" s="26" t="inlineStr">
        <is>
          <t>Listas auxiliares</t>
        </is>
      </c>
    </row>
    <row r="5">
      <c r="A5" s="14" t="inlineStr">
        <is>
          <t>Personagem</t>
        </is>
      </c>
    </row>
    <row r="6" ht="26" customHeight="1">
      <c r="A6" s="8" t="inlineStr">
        <is>
          <t>Nome do personagem</t>
        </is>
      </c>
      <c r="B6" s="27" t="n"/>
      <c r="C6" s="28" t="n"/>
      <c r="D6" s="28" t="n"/>
      <c r="E6" s="28" t="n"/>
      <c r="F6" s="28" t="n"/>
      <c r="G6" s="28" t="n"/>
      <c r="H6" s="28" t="n"/>
      <c r="I6" s="28" t="n"/>
      <c r="J6" s="29" t="n"/>
      <c r="K6" s="13">
        <f>IF(T6&gt;0,"O Google leu como fórmula: digite de novo com ' na frente.","")</f>
        <v/>
      </c>
      <c r="Q6">
        <f>IF(ISERROR($B$6),"",IF(ISBLANK($B$6),"",$B$6))</f>
        <v/>
      </c>
      <c r="T6">
        <f>ISERROR($B$6)*1</f>
        <v/>
      </c>
    </row>
    <row r="7" ht="26" customHeight="1">
      <c r="A7" s="8" t="inlineStr">
        <is>
          <t>Jogador</t>
        </is>
      </c>
      <c r="B7" s="27" t="n"/>
      <c r="C7" s="28" t="n"/>
      <c r="D7" s="28" t="n"/>
      <c r="E7" s="28" t="n"/>
      <c r="F7" s="28" t="n"/>
      <c r="G7" s="28" t="n"/>
      <c r="H7" s="28" t="n"/>
      <c r="I7" s="28" t="n"/>
      <c r="J7" s="29" t="n"/>
      <c r="K7" s="13">
        <f>IF(T7&gt;0,"O Google leu como fórmula: digite de novo com ' na frente.","")</f>
        <v/>
      </c>
      <c r="T7">
        <f>ISERROR($B$7)*1</f>
        <v/>
      </c>
    </row>
    <row r="8" ht="37" customHeight="1">
      <c r="A8" s="8" t="inlineStr">
        <is>
          <t>Nível atual (1 a 20)</t>
        </is>
      </c>
      <c r="B8" s="23" t="n"/>
      <c r="C8" s="22">
        <f>"Usado nas contas: nível "&amp;$A$14</f>
        <v/>
      </c>
      <c r="K8" s="13">
        <f>IF(T8&gt;0,"O Google leu como fórmula: digite de novo com ' na frente.",IF($Q$8="","",IF(ISNUMBER($Q$8),IF(OR($Q$8&lt;1,$Q$8&gt;20),"Nível fora de 1 a 20: a ficha conta com o nível "&amp;$A$14,IF($Q$8&lt;&gt;INT($Q$8),"Nível precisa ser inteiro: a ficha conta com o nível "&amp;$A$14,"")),"Nível precisa ser um número de 1 a 20: a ficha conta com o nível 1")))</f>
        <v/>
      </c>
      <c r="Q8">
        <f>IF(ISERROR($B$8),"",IF(ISBLANK($B$8),"",$B$8))</f>
        <v/>
      </c>
      <c r="T8">
        <f>ISERROR($B$8)*1</f>
        <v/>
      </c>
    </row>
    <row r="9" ht="37" customHeight="1">
      <c r="A9" s="8" t="inlineStr">
        <is>
          <t>Nº de jogadores na mesa</t>
        </is>
      </c>
      <c r="B9" s="23" t="n"/>
      <c r="C9" s="22">
        <f>"PH do grupo: máximo "&amp;$E$16&amp;", começa o combate com "&amp;$F$16</f>
        <v/>
      </c>
      <c r="K9" s="13">
        <f>IF(T9&gt;0,"O Google leu como fórmula: digite de novo com ' na frente.",IF($Q$9="","",IF(ISNUMBER($Q$9),IF(OR($Q$9&lt;1,$Q$9&gt;6),"Nº de jogadores fora de 1 a 6: a ficha conta com "&amp;$B$17,IF(OR($Q$9&lt;3,$Q$9&gt;6),"Fora da tabela do livro (3 a 6 jogadores): o PH segue a mesma regra","")),"Nº de jogadores precisa ser um número de 1 a 6")))</f>
        <v/>
      </c>
      <c r="Q9">
        <f>IF(ISERROR($B$9),"",IF(ISBLANK($B$9),"",$B$9))</f>
        <v/>
      </c>
      <c r="T9">
        <f>ISERROR($B$9)*1</f>
        <v/>
      </c>
    </row>
    <row r="10" ht="26" customHeight="1">
      <c r="A10" s="8" t="inlineStr">
        <is>
          <t>Método de atributos (o Mestre escolhe)</t>
        </is>
      </c>
      <c r="B10" s="23" t="n"/>
      <c r="C10" s="22">
        <f>IF($Q$10="","Array oficial (15, 14, 13, 12, 10, 8) ou Compra de Pontos (28)",IF($Q$10="Array oficial","Distribua 15, 14, 13, 12, 10 e 8, um em cada Atributo","Todos começam em 8; gaste até 28 pontos"))</f>
        <v/>
      </c>
      <c r="K10" s="13">
        <f>IF(T10&gt;0,"O Google leu como fórmula: escolha de novo na lista.",IF($Q$10="","",IF(COUNTIF('Dados'!$AH$6:$AH$7,$Q$10)=0,"Método fora da lista","")))</f>
        <v/>
      </c>
      <c r="Q10">
        <f>IF(ISERROR($B$10),"",IF(ISBLANK($B$10),"",$B$10))</f>
        <v/>
      </c>
      <c r="T10">
        <f>ISERROR($B$10)*1</f>
        <v/>
      </c>
    </row>
    <row r="11"/>
    <row r="12">
      <c r="A12" s="14" t="inlineStr">
        <is>
          <t>Números do seu nível (automático) — 26.2 a 26.6</t>
        </is>
      </c>
    </row>
    <row r="13" ht="60" customHeight="1">
      <c r="A13" s="30" t="inlineStr">
        <is>
          <t>Nível usado</t>
        </is>
      </c>
      <c r="B13" s="30" t="inlineStr">
        <is>
          <t>Faixa (1 a 5)</t>
        </is>
      </c>
      <c r="C13" s="30" t="inlineStr">
        <is>
          <t>Eficiência</t>
        </is>
      </c>
      <c r="D13" s="30" t="inlineStr">
        <is>
          <t>Eficácia</t>
        </is>
      </c>
      <c r="E13" s="30" t="inlineStr">
        <is>
          <t>Slots de Eficácia em Perícias</t>
        </is>
      </c>
      <c r="F13" s="30" t="inlineStr">
        <is>
          <t>Slots de Eficácia em Testes de Resistência</t>
        </is>
      </c>
      <c r="G13" s="30" t="inlineStr">
        <is>
          <t>Especialização de Combate</t>
        </is>
      </c>
      <c r="H13" s="30" t="inlineStr">
        <is>
          <t>Teto de RD</t>
        </is>
      </c>
      <c r="I13" s="30" t="inlineStr">
        <is>
          <t>Teto de PV temporários</t>
        </is>
      </c>
      <c r="J13" s="30" t="inlineStr">
        <is>
          <t>Teto de bônus somado</t>
        </is>
      </c>
      <c r="K13" s="30" t="inlineStr">
        <is>
          <t>Teto de penalidade somada</t>
        </is>
      </c>
      <c r="L13" s="30" t="inlineStr">
        <is>
          <t>Bênçãos possuídas</t>
        </is>
      </c>
    </row>
    <row r="14">
      <c r="A14" s="31">
        <f>IF(ISNUMBER($Q$8),MAX(1,MIN(20,INT($Q$8))),1)</f>
        <v/>
      </c>
      <c r="B14" s="32">
        <f>INT(($A$14-1)/4)+1</f>
        <v/>
      </c>
      <c r="C14" s="32">
        <f>2+INT(($A$14-1)/3)</f>
        <v/>
      </c>
      <c r="D14" s="32">
        <f>2*$C$14</f>
        <v/>
      </c>
      <c r="E14" s="32">
        <f>INDEX('Dados'!$C$258:$C$277,$A$14)</f>
        <v/>
      </c>
      <c r="F14" s="32">
        <f>INDEX('Dados'!$D$258:$D$277,$A$14)</f>
        <v/>
      </c>
      <c r="G14" s="32">
        <f>INDEX('Dados'!$K$258:$K$277,$A$14)</f>
        <v/>
      </c>
      <c r="H14" s="32">
        <f>INDEX('Dados'!$L$258:$L$277,$A$14)</f>
        <v/>
      </c>
      <c r="I14" s="32">
        <f>3*$C$14</f>
        <v/>
      </c>
      <c r="J14" s="32">
        <f>IF($A$14&lt;=9,3,IF($A$14&lt;=15,4,5))</f>
        <v/>
      </c>
      <c r="K14" s="32">
        <f>-$J$14</f>
        <v/>
      </c>
      <c r="L14" s="32">
        <f>INDEX('Dados'!$E$258:$E$277,$A$14)</f>
        <v/>
      </c>
    </row>
    <row r="15" ht="49" customHeight="1">
      <c r="A15" s="30" t="inlineStr">
        <is>
          <t>Habilidades conhecidas</t>
        </is>
      </c>
      <c r="B15" s="30" t="inlineStr">
        <is>
          <t>Nível máx. de Habilidade</t>
        </is>
      </c>
      <c r="C15" s="30" t="inlineStr">
        <is>
          <t>Reescreve 1 Habilidade por nível</t>
        </is>
      </c>
      <c r="D15" s="30" t="inlineStr">
        <is>
          <t>Dados de Ataque Básico</t>
        </is>
      </c>
      <c r="E15" s="30" t="inlineStr">
        <is>
          <t>PH do grupo: máximo</t>
        </is>
      </c>
      <c r="F15" s="30" t="inlineStr">
        <is>
          <t>PH do grupo: início</t>
        </is>
      </c>
      <c r="G15" s="30" t="inlineStr">
        <is>
          <t>PH por Ataque Básico que acerta</t>
        </is>
      </c>
      <c r="H15" s="30" t="inlineStr">
        <is>
          <t>Ultimate: Nível equivalente</t>
        </is>
      </c>
      <c r="I15" s="30" t="inlineStr">
        <is>
          <t>Cone de Luz: Nível máximo</t>
        </is>
      </c>
      <c r="J15" s="30" t="inlineStr">
        <is>
          <t>Tier de Relíquia (1 a 4)</t>
        </is>
      </c>
      <c r="K15" s="30" t="inlineStr">
        <is>
          <t>Pontos do Memoespírito</t>
        </is>
      </c>
      <c r="L15" s="30" t="inlineStr">
        <is>
          <t>DT para descobrir Fraqueza</t>
        </is>
      </c>
    </row>
    <row r="16">
      <c r="A16" s="31">
        <f>INDEX('Dados'!$F$258:$F$277,$A$14)</f>
        <v/>
      </c>
      <c r="B16" s="32">
        <f>INDEX('Dados'!$H$258:$H$277,$A$14)</f>
        <v/>
      </c>
      <c r="C16" s="32">
        <f>INDEX('Dados'!$G$258:$G$277,$A$14)</f>
        <v/>
      </c>
      <c r="D16" s="32">
        <f>INDEX('Dados'!$J$258:$J$277,$A$14)</f>
        <v/>
      </c>
      <c r="E16" s="32">
        <f>1+$B$17+IF($A$14&gt;=17,2,IF($A$14&gt;=9,1,0))</f>
        <v/>
      </c>
      <c r="F16" s="32">
        <f>$E$16-2</f>
        <v/>
      </c>
      <c r="G16" s="32">
        <f>IF($A$14&lt;=8,1,2)</f>
        <v/>
      </c>
      <c r="H16" s="32">
        <f>INDEX('Dados'!$B$326:$B$330,$B$14)</f>
        <v/>
      </c>
      <c r="I16" s="32">
        <f>$B$14</f>
        <v/>
      </c>
      <c r="J16" s="32">
        <f>IF($A$14&lt;=6,1,IF($A$14&lt;=12,2,IF($A$14&lt;=17,3,4)))</f>
        <v/>
      </c>
      <c r="K16" s="32">
        <f>12+INT($A$14/2)</f>
        <v/>
      </c>
      <c r="L16" s="32">
        <f>INDEX('Dados'!$B$390:$B$394,$B$14)</f>
        <v/>
      </c>
    </row>
    <row r="17" ht="26" customHeight="1">
      <c r="A17" s="33" t="inlineStr">
        <is>
          <t>Nº de jogadores usado (vazio = 4)</t>
        </is>
      </c>
      <c r="B17" s="19">
        <f>IF(ISNUMBER($Q$9),MAX(1,MIN(6,INT($Q$9))),4)</f>
        <v/>
      </c>
      <c r="C17" s="34" t="inlineStr">
        <is>
          <t>Aumento de Atributo neste nível?</t>
        </is>
      </c>
      <c r="E17" s="19">
        <f>INDEX('Dados'!$I$258:$I$277,$A$14)</f>
        <v/>
      </c>
      <c r="F17" s="35" t="n"/>
      <c r="G17" s="35" t="n"/>
      <c r="H17" s="35" t="n"/>
      <c r="I17" s="35" t="n"/>
      <c r="J17" s="35" t="n"/>
      <c r="K17" s="35" t="n"/>
      <c r="L17" s="35" t="n"/>
    </row>
    <row r="18"/>
    <row r="19">
      <c r="A19" s="14" t="inlineStr">
        <is>
          <t>Passo 1 — Conceito e Propósito de Vida</t>
        </is>
      </c>
    </row>
    <row r="20" ht="26" customHeight="1">
      <c r="A20" s="8" t="inlineStr">
        <is>
          <t>Quem é esse sujeito? (conceito em uma frase)</t>
        </is>
      </c>
      <c r="B20" s="27" t="n"/>
      <c r="C20" s="28" t="n"/>
      <c r="D20" s="28" t="n"/>
      <c r="E20" s="28" t="n"/>
      <c r="F20" s="28" t="n"/>
      <c r="G20" s="28" t="n"/>
      <c r="H20" s="28" t="n"/>
      <c r="I20" s="28" t="n"/>
      <c r="J20" s="29" t="n"/>
      <c r="K20" s="13">
        <f>IF(T20&gt;0,"O Google leu como fórmula: digite de novo com ' na frente.","")</f>
        <v/>
      </c>
      <c r="T20">
        <f>ISERROR($B$20)*1</f>
        <v/>
      </c>
    </row>
    <row r="21" ht="26" customHeight="1">
      <c r="A21" s="8" t="inlineStr">
        <is>
          <t>Propósito de Vida (objetivo de longo prazo)</t>
        </is>
      </c>
      <c r="B21" s="27" t="n"/>
      <c r="C21" s="28" t="n"/>
      <c r="D21" s="28" t="n"/>
      <c r="E21" s="28" t="n"/>
      <c r="F21" s="28" t="n"/>
      <c r="G21" s="28" t="n"/>
      <c r="H21" s="28" t="n"/>
      <c r="I21" s="28" t="n"/>
      <c r="J21" s="29" t="n"/>
      <c r="K21" s="13">
        <f>IF(T21&gt;0,"O Google leu como fórmula: digite de novo com ' na frente.","")</f>
        <v/>
      </c>
      <c r="T21">
        <f>ISERROR($B$21)*1</f>
        <v/>
      </c>
    </row>
    <row r="22" ht="37" customHeight="1">
      <c r="A22" s="8" t="inlineStr">
        <is>
          <t>Em que você acredita (recarrega o Esforço; só Humano)</t>
        </is>
      </c>
      <c r="B22" s="27" t="n"/>
      <c r="C22" s="28" t="n"/>
      <c r="D22" s="28" t="n"/>
      <c r="E22" s="28" t="n"/>
      <c r="F22" s="28" t="n"/>
      <c r="G22" s="28" t="n"/>
      <c r="H22" s="28" t="n"/>
      <c r="I22" s="28" t="n"/>
      <c r="J22" s="29" t="n"/>
      <c r="K22" s="13">
        <f>IF(T22&gt;0,"O Google leu como fórmula: digite de novo com ' na frente.",IF(AND($Q$25&lt;&gt;"Humano",LEN($Q$22)&gt;0),"O Esforço é traço do Humano: esta linha só vale para Humano",""))</f>
        <v/>
      </c>
      <c r="Q22">
        <f>IF(ISERROR($B$22),"",IF(ISBLANK($B$22),"",$B$22))</f>
        <v/>
      </c>
      <c r="T22">
        <f>ISERROR($B$22)*1</f>
        <v/>
      </c>
    </row>
    <row r="23"/>
    <row r="24">
      <c r="A24" s="14" t="inlineStr">
        <is>
          <t>Passo 2 — Raça (capítulo 05)</t>
        </is>
      </c>
    </row>
    <row r="25" ht="26" customHeight="1">
      <c r="A25" s="8" t="inlineStr">
        <is>
          <t>Raça</t>
        </is>
      </c>
      <c r="B25" s="23" t="n"/>
      <c r="C25" s="22">
        <f>IF($Q$25="","Escolha a Raça",IF($Q$25="Humano",IF($Q$26="Dois Atributos (+1 cada)","Bônus racial: +1 em "&amp;IF($Q$27="","?",$Q$27)&amp;" e +1 em "&amp;IF($Q$28="","?",$Q$28),IF($Q$27="","Escolha onde vai o +2 (qualquer Atributo)","Bônus racial: +2 em "&amp;$Q$27)),IF($O$25="","Raça fora da lista do capítulo 05",IF($O$27="","Escolha onde vai o +2: "&amp;$O$25&amp;" ou "&amp;$O$26,"Bônus racial: +2 em "&amp;$O$27))))</f>
        <v/>
      </c>
      <c r="K25" s="13">
        <f>IF(T25&gt;0,"O Google leu como fórmula: escolha de novo na lista.",IF($Q$25="","",IF(COUNTIF('Dados'!$O$6:$O$12,$Q$25)=0,"Raça fora da lista do capítulo 05","")))</f>
        <v/>
      </c>
      <c r="N25" s="25">
        <f>IF($Q$25="Humano",INDEX('Dados'!$Q$6:$Q$11,1),$O$25)</f>
        <v/>
      </c>
      <c r="O25" s="25">
        <f>IF($Q$25="","",IFERROR(""&amp;INDEX('Dados'!$D$7:$D$13,MATCH($Q$25,'Dados'!$A$7:$A$13,0)),""))</f>
        <v/>
      </c>
      <c r="Q25">
        <f>IF(ISERROR($B$25),"",IF(ISBLANK($B$25),"",$B$25))</f>
        <v/>
      </c>
      <c r="T25">
        <f>ISERROR($B$25)*1</f>
        <v/>
      </c>
    </row>
    <row r="26" ht="26" customHeight="1">
      <c r="A26" s="8" t="inlineStr">
        <is>
          <t>Bônus do Humano: +2 em um ou +1 em dois</t>
        </is>
      </c>
      <c r="B26" s="23" t="n"/>
      <c r="C26" s="12" t="inlineStr">
        <is>
          <t>Só para Humano. As outras Raças têm +2 fixo ou à escolha entre duas opções.</t>
        </is>
      </c>
      <c r="K26" s="13">
        <f>IF(T26&gt;0,"O Google leu como fórmula: escolha de novo na lista.",IF(AND($Q$26&lt;&gt;"",$Q$25&lt;&gt;"Humano"),"O bônus livre é só do Humano",""))</f>
        <v/>
      </c>
      <c r="N26" s="25">
        <f>IF($Q$25="Humano",INDEX('Dados'!$Q$6:$Q$11,2),$O$26)</f>
        <v/>
      </c>
      <c r="O26" s="25">
        <f>IF($Q$25="","",IFERROR(""&amp;INDEX('Dados'!$E$7:$E$13,MATCH($Q$25,'Dados'!$A$7:$A$13,0)),""))</f>
        <v/>
      </c>
      <c r="Q26">
        <f>IF(ISERROR($B$26),"",IF(ISBLANK($B$26),"",$B$26))</f>
        <v/>
      </c>
      <c r="T26">
        <f>ISERROR($B$26)*1</f>
        <v/>
      </c>
    </row>
    <row r="27" ht="26" customHeight="1">
      <c r="A27" s="8" t="inlineStr">
        <is>
          <t>Atributo do +2 (Humano com Dois Atributos: o 1º)</t>
        </is>
      </c>
      <c r="B27" s="23" t="n"/>
      <c r="C27" s="12" t="inlineStr">
        <is>
          <t>A lista mostra só as opções da sua Raça.</t>
        </is>
      </c>
      <c r="K27" s="13">
        <f>IF(T27&gt;0,"O Google leu como fórmula: escolha de novo na lista.",IF(AND($Q$25="Humano",$Q$26="Dois Atributos (+1 cada)",$Q$27&lt;&gt;"",$Q$27=$Q$28),"+1 em dois exige atributos diferentes: contou só um +1",IF(AND($Q$25&lt;&gt;"",$Q$25&lt;&gt;"Humano",$O$25&lt;&gt;"",$Q$27&lt;&gt;"",$O$27=""),"Bônus fora das opções da Raça: "&amp;$O$25&amp;IF($O$26="",""," ou "&amp;$O$26),"")))</f>
        <v/>
      </c>
      <c r="N27" s="25">
        <f>IF($Q$25="Humano",INDEX('Dados'!$Q$6:$Q$11,3),"")</f>
        <v/>
      </c>
      <c r="O27" s="25">
        <f>IF(OR($Q$25="",$Q$25="Humano"),"",IF($O$26="",IF(OR($Q$27="",$Q$27=$O$25),$O$25,""),IF(OR($Q$27=$O$25,$Q$27=$O$26),$Q$27,"")))</f>
        <v/>
      </c>
      <c r="Q27">
        <f>IF(ISERROR($B$27),"",IF(ISBLANK($B$27),"",$B$27))</f>
        <v/>
      </c>
      <c r="T27">
        <f>ISERROR($B$27)*1</f>
        <v/>
      </c>
    </row>
    <row r="28" ht="26" customHeight="1">
      <c r="A28" s="8" t="inlineStr">
        <is>
          <t>Atributo 2 (só Humano com Dois Atributos)</t>
        </is>
      </c>
      <c r="B28" s="23" t="n"/>
      <c r="K28" s="13">
        <f>IF(T28&gt;0,"O Google leu como fórmula: escolha de novo na lista.",IF(AND($Q$28&lt;&gt;"",OR($Q$25&lt;&gt;"Humano",$Q$26&lt;&gt;"Dois Atributos (+1 cada)")),"Atributo 2 só vale para Humano com Dois Atributos (+1 cada)",""))</f>
        <v/>
      </c>
      <c r="N28" s="25">
        <f>IF($Q$25="Humano",INDEX('Dados'!$Q$6:$Q$11,4),"")</f>
        <v/>
      </c>
      <c r="Q28">
        <f>IF(ISERROR($B$28),"",IF(ISBLANK($B$28),"",$B$28))</f>
        <v/>
      </c>
      <c r="T28">
        <f>ISERROR($B$28)*1</f>
        <v/>
      </c>
    </row>
    <row r="29" ht="30" customHeight="1">
      <c r="A29" s="8" t="inlineStr">
        <is>
          <t>Traços (resumo)</t>
        </is>
      </c>
      <c r="B29" s="4">
        <f>IF($Q$25="","",IFERROR(INDEX('Dados'!$F$7:$F$13,MATCH($Q$25,'Dados'!$A$7:$A$13,0)),""))</f>
        <v/>
      </c>
      <c r="N29" s="25">
        <f>IF($Q$25="Humano",INDEX('Dados'!$Q$6:$Q$11,5),"")</f>
        <v/>
      </c>
    </row>
    <row r="30" ht="82" customHeight="1">
      <c r="A30" s="8" t="inlineStr">
        <is>
          <t>Traços (texto inteiro do livro)</t>
        </is>
      </c>
      <c r="B30" s="4">
        <f>IF($Q$25="","",IFERROR(INDEX('Dados'!$G$7:$G$13,MATCH($Q$25,'Dados'!$A$7:$A$13,0)),""))</f>
        <v/>
      </c>
      <c r="N30" s="25">
        <f>IF($Q$25="Humano",INDEX('Dados'!$Q$6:$Q$11,6),"")</f>
        <v/>
      </c>
    </row>
    <row r="31"/>
    <row r="32">
      <c r="A32" s="14" t="inlineStr">
        <is>
          <t>Passo 3 — Caminho (capítulo 06)</t>
        </is>
      </c>
    </row>
    <row r="33" ht="26" customHeight="1">
      <c r="A33" s="8" t="inlineStr">
        <is>
          <t>Caminho</t>
        </is>
      </c>
      <c r="B33" s="23" t="n"/>
      <c r="C33" s="22">
        <f>IF($Q$33="","Escolha o Caminho","Aeon: "&amp;IF($Q$33="","",IFERROR(INDEX('Dados'!$B$84:$B$92,MATCH($Q$33,'Dados'!$A$84:$A$92,0)),"")))</f>
        <v/>
      </c>
      <c r="K33" s="13">
        <f>IF(T33&gt;0,"O Google leu como fórmula: escolha de novo na lista.",IF($Q$33="","",IF(COUNTIF('Dados'!$P$6:$P$14,$Q$33)=0,"Caminho fora da lista do capítulo 06","")))</f>
        <v/>
      </c>
      <c r="Q33">
        <f>IF(ISERROR($B$33),"",IF(ISBLANK($B$33),"",$B$33))</f>
        <v/>
      </c>
      <c r="T33">
        <f>ISERROR($B$33)*1</f>
        <v/>
      </c>
    </row>
    <row r="34">
      <c r="A34" s="8" t="inlineStr">
        <is>
          <t>Aeon</t>
        </is>
      </c>
      <c r="B34" s="22">
        <f>IF($Q$33="","",IFERROR(INDEX('Dados'!$B$84:$B$92,MATCH($Q$33,'Dados'!$A$84:$A$92,0)),""))</f>
        <v/>
      </c>
    </row>
    <row r="35">
      <c r="A35" s="8" t="inlineStr">
        <is>
          <t>A ideia, em uma frase</t>
        </is>
      </c>
      <c r="B35" s="22">
        <f>IF($Q$33="","",IFERROR(INDEX('Dados'!$C$84:$C$92,MATCH($Q$33,'Dados'!$A$84:$A$92,0)),""))</f>
        <v/>
      </c>
    </row>
    <row r="36" ht="26" customHeight="1">
      <c r="A36" s="8" t="inlineStr">
        <is>
          <t>Índice de vitalidade N (entra no PV)</t>
        </is>
      </c>
      <c r="B36" s="17">
        <f>IF($Q$33="",0,IFERROR(INDEX('Dados'!$J$84:$J$92,MATCH($Q$33,'Dados'!$A$84:$A$92,0)),0))</f>
        <v/>
      </c>
    </row>
    <row r="37" ht="26" customHeight="1">
      <c r="A37" s="8" t="inlineStr">
        <is>
          <t>Bônus de Velocidade do Caminho</t>
        </is>
      </c>
      <c r="B37" s="17">
        <f>IF($Q$33="",0,IFERROR(INDEX('Dados'!$K$84:$K$92,MATCH($Q$33,'Dados'!$A$84:$A$92,0)),0))</f>
        <v/>
      </c>
    </row>
    <row r="38" ht="26" customHeight="1">
      <c r="A38" s="8" t="inlineStr">
        <is>
          <t>As 3 Perícias do Caminho (Eficiência de graça)</t>
        </is>
      </c>
      <c r="B38" s="22">
        <f>IF($Q$33="","",IFERROR(INDEX('Dados'!$G$84:$G$92,MATCH($Q$33,'Dados'!$A$84:$A$92,0)),""))</f>
        <v/>
      </c>
      <c r="D38" s="22">
        <f>IF($Q$33="","",IFERROR(INDEX('Dados'!$H$84:$H$92,MATCH($Q$33,'Dados'!$A$84:$A$92,0)),""))</f>
        <v/>
      </c>
      <c r="F38" s="22">
        <f>IF($Q$33="","",IFERROR(INDEX('Dados'!$I$84:$I$92,MATCH($Q$33,'Dados'!$A$84:$A$92,0)),""))</f>
        <v/>
      </c>
    </row>
    <row r="39" ht="26" customHeight="1">
      <c r="A39" s="8" t="inlineStr">
        <is>
          <t>Atributo de Habilidade que o Caminho permite</t>
        </is>
      </c>
      <c r="B39" s="22">
        <f>IF($Q$33="","",IFERROR(INDEX('Dados'!$D$84:$D$92,MATCH($Q$33,'Dados'!$A$84:$A$92,0)),""))</f>
        <v/>
      </c>
    </row>
    <row r="40" ht="26" customHeight="1">
      <c r="A40" s="8" t="inlineStr">
        <is>
          <t>Recurso próprio (detalhes na aba Caminho)</t>
        </is>
      </c>
      <c r="B40" s="22">
        <f>IF($Q$33="","",IFERROR(INDEX('Dados'!$L$84:$L$92,MATCH($Q$33,'Dados'!$A$84:$A$92,0)),""))</f>
        <v/>
      </c>
    </row>
    <row r="41"/>
    <row r="42">
      <c r="A42" s="14" t="inlineStr">
        <is>
          <t>Passo 4 — Atributos (teto 15 antes da Raça; teto 20 sempre)</t>
        </is>
      </c>
    </row>
    <row r="43" ht="40" customHeight="1">
      <c r="A43" s="7" t="inlineStr">
        <is>
          <t>Atributo</t>
        </is>
      </c>
      <c r="B43" s="7" t="inlineStr">
        <is>
          <t>Distribuído (preencha)</t>
        </is>
      </c>
      <c r="C43" s="7" t="inlineStr">
        <is>
          <t>Raça (automático)</t>
        </is>
      </c>
      <c r="D43" s="7" t="inlineStr">
        <is>
          <t>Aumentos (aba Progressão)</t>
        </is>
      </c>
      <c r="E43" s="7" t="inlineStr">
        <is>
          <t>Valor atual</t>
        </is>
      </c>
      <c r="F43" s="7" t="inlineStr">
        <is>
          <t>Bônus atual</t>
        </is>
      </c>
      <c r="G43" s="7" t="inlineStr">
        <is>
          <t>Valor na criação (com Raça)</t>
        </is>
      </c>
      <c r="H43" s="7" t="inlineStr">
        <is>
          <t>Bônus na criação</t>
        </is>
      </c>
      <c r="I43" s="7" t="inlineStr">
        <is>
          <t>Custo na Compra de Pontos</t>
        </is>
      </c>
      <c r="J43" s="7" t="inlineStr">
        <is>
          <t>Valor usado (8 a 20)</t>
        </is>
      </c>
      <c r="K43" s="7" t="inlineStr">
        <is>
          <t>Aviso</t>
        </is>
      </c>
      <c r="L43" s="15" t="n"/>
    </row>
    <row r="44" ht="49" customHeight="1">
      <c r="A44" s="16" t="inlineStr">
        <is>
          <t>Poder</t>
        </is>
      </c>
      <c r="B44" s="23" t="n"/>
      <c r="C44" s="22">
        <f>IF($Q$25="Humano",IF($Q$26="Dois Atributos (+1 cada)",($Q$27="Poder")*1+AND($Q$28="Poder",$Q$28&lt;&gt;$Q$27)*1,($Q$27="Poder")*2),IF($O$27="Poder",2,0))</f>
        <v/>
      </c>
      <c r="D44" s="22">
        <f>SUMIF('Progressão'!$U$57:$U$62,"Poder",'Progressão'!$F$57:$F$62)+SUMIF('Progressão'!$V$57:$V$62,"Poder",'Progressão'!$G$57:$G$62)</f>
        <v/>
      </c>
      <c r="E44" s="17">
        <f>MIN(20,$J$44+$C$44+$D$44)</f>
        <v/>
      </c>
      <c r="F44" s="17">
        <f>IF($E$44&lt;15,VLOOKUP($E$44,'Dados'!$A$27:$B$39,2,FALSE),INT(($E$44-15)/2)+3)</f>
        <v/>
      </c>
      <c r="G44" s="22">
        <f>MIN(20,$J$44+$C$44)</f>
        <v/>
      </c>
      <c r="H44" s="22">
        <f>IF($G$44&lt;15,VLOOKUP($G$44,'Dados'!$A$27:$B$39,2,FALSE),INT(($G$44-15)/2)+3)</f>
        <v/>
      </c>
      <c r="I44" s="22">
        <f>IF($Q$10="Compra de Pontos",VLOOKUP(MAX(8,MIN(15,$J$44)),'Dados'!$A$43:$B$50,2,FALSE),"")</f>
        <v/>
      </c>
      <c r="J44" s="22">
        <f>IF(ISNUMBER($Q$44),MAX(8,MIN(20,INT($Q$44))),8)</f>
        <v/>
      </c>
      <c r="K44" s="13">
        <f>IF(T44&gt;0,"O Google leu como fórmula: digite de novo com ' na frente.",IF($Q$44="","",IF(ISNUMBER($Q$44),IF(OR($Q$44&lt;8,$Q$44&gt;20),"Fora de 8 a 20: a ficha conta com "&amp;$J$44&amp;". ","")&amp;IF($Q$44&gt;15,"Acima de 15 antes da Raça. ",""),"Precisa ser um número. "))&amp;IF(AND($D$44&gt;0,$J$44+$C$44+$D$44&gt;20),"Aumento desperdiçado: passou do teto 20.",""))</f>
        <v/>
      </c>
      <c r="Q44">
        <f>IF(ISERROR($B$44),"",IF(ISBLANK($B$44),"",$B$44))</f>
        <v/>
      </c>
      <c r="T44">
        <f>ISERROR($B$44)*1</f>
        <v/>
      </c>
    </row>
    <row r="45" ht="49" customHeight="1">
      <c r="A45" s="18" t="inlineStr">
        <is>
          <t>Agilidade</t>
        </is>
      </c>
      <c r="B45" s="36" t="n"/>
      <c r="C45" s="21">
        <f>IF($Q$25="Humano",IF($Q$26="Dois Atributos (+1 cada)",($Q$27="Agilidade")*1+AND($Q$28="Agilidade",$Q$28&lt;&gt;$Q$27)*1,($Q$27="Agilidade")*2),IF($O$27="Agilidade",2,0))</f>
        <v/>
      </c>
      <c r="D45" s="21">
        <f>SUMIF('Progressão'!$U$57:$U$62,"Agilidade",'Progressão'!$F$57:$F$62)+SUMIF('Progressão'!$V$57:$V$62,"Agilidade",'Progressão'!$G$57:$G$62)</f>
        <v/>
      </c>
      <c r="E45" s="19">
        <f>MIN(20,$J$45+$C$45+$D$45)</f>
        <v/>
      </c>
      <c r="F45" s="19">
        <f>IF($E$45&lt;15,VLOOKUP($E$45,'Dados'!$A$27:$B$39,2,FALSE),INT(($E$45-15)/2)+3)</f>
        <v/>
      </c>
      <c r="G45" s="21">
        <f>MIN(20,$J$45+$C$45)</f>
        <v/>
      </c>
      <c r="H45" s="21">
        <f>IF($G$45&lt;15,VLOOKUP($G$45,'Dados'!$A$27:$B$39,2,FALSE),INT(($G$45-15)/2)+3)</f>
        <v/>
      </c>
      <c r="I45" s="21">
        <f>IF($Q$10="Compra de Pontos",VLOOKUP(MAX(8,MIN(15,$J$45)),'Dados'!$A$43:$B$50,2,FALSE),"")</f>
        <v/>
      </c>
      <c r="J45" s="21">
        <f>IF(ISNUMBER($Q$45),MAX(8,MIN(20,INT($Q$45))),8)</f>
        <v/>
      </c>
      <c r="K45" s="20">
        <f>IF(T45&gt;0,"O Google leu como fórmula: digite de novo com ' na frente.",IF($Q$45="","",IF(ISNUMBER($Q$45),IF(OR($Q$45&lt;8,$Q$45&gt;20),"Fora de 8 a 20: a ficha conta com "&amp;$J$45&amp;". ","")&amp;IF($Q$45&gt;15,"Acima de 15 antes da Raça. ",""),"Precisa ser um número. "))&amp;IF(AND($D$45&gt;0,$J$45+$C$45+$D$45&gt;20),"Aumento desperdiçado: passou do teto 20.",""))</f>
        <v/>
      </c>
      <c r="Q45">
        <f>IF(ISERROR($B$45),"",IF(ISBLANK($B$45),"",$B$45))</f>
        <v/>
      </c>
      <c r="T45">
        <f>ISERROR($B$45)*1</f>
        <v/>
      </c>
    </row>
    <row r="46" ht="49" customHeight="1">
      <c r="A46" s="16" t="inlineStr">
        <is>
          <t>Vigor</t>
        </is>
      </c>
      <c r="B46" s="23" t="n"/>
      <c r="C46" s="22">
        <f>IF($Q$25="Humano",IF($Q$26="Dois Atributos (+1 cada)",($Q$27="Vigor")*1+AND($Q$28="Vigor",$Q$28&lt;&gt;$Q$27)*1,($Q$27="Vigor")*2),IF($O$27="Vigor",2,0))</f>
        <v/>
      </c>
      <c r="D46" s="22">
        <f>SUMIF('Progressão'!$U$57:$U$62,"Vigor",'Progressão'!$F$57:$F$62)+SUMIF('Progressão'!$V$57:$V$62,"Vigor",'Progressão'!$G$57:$G$62)</f>
        <v/>
      </c>
      <c r="E46" s="17">
        <f>MIN(20,$J$46+$C$46+$D$46)</f>
        <v/>
      </c>
      <c r="F46" s="17">
        <f>IF($E$46&lt;15,VLOOKUP($E$46,'Dados'!$A$27:$B$39,2,FALSE),INT(($E$46-15)/2)+3)</f>
        <v/>
      </c>
      <c r="G46" s="22">
        <f>MIN(20,$J$46+$C$46)</f>
        <v/>
      </c>
      <c r="H46" s="22">
        <f>IF($G$46&lt;15,VLOOKUP($G$46,'Dados'!$A$27:$B$39,2,FALSE),INT(($G$46-15)/2)+3)</f>
        <v/>
      </c>
      <c r="I46" s="22">
        <f>IF($Q$10="Compra de Pontos",VLOOKUP(MAX(8,MIN(15,$J$46)),'Dados'!$A$43:$B$50,2,FALSE),"")</f>
        <v/>
      </c>
      <c r="J46" s="22">
        <f>IF(ISNUMBER($Q$46),MAX(8,MIN(20,INT($Q$46))),8)</f>
        <v/>
      </c>
      <c r="K46" s="13">
        <f>IF(T46&gt;0,"O Google leu como fórmula: digite de novo com ' na frente.",IF($Q$46="","",IF(ISNUMBER($Q$46),IF(OR($Q$46&lt;8,$Q$46&gt;20),"Fora de 8 a 20: a ficha conta com "&amp;$J$46&amp;". ","")&amp;IF($Q$46&gt;15,"Acima de 15 antes da Raça. ",""),"Precisa ser um número. "))&amp;IF(AND($D$46&gt;0,$J$46+$C$46+$D$46&gt;20),"Aumento desperdiçado: passou do teto 20.",""))</f>
        <v/>
      </c>
      <c r="Q46">
        <f>IF(ISERROR($B$46),"",IF(ISBLANK($B$46),"",$B$46))</f>
        <v/>
      </c>
      <c r="T46">
        <f>ISERROR($B$46)*1</f>
        <v/>
      </c>
    </row>
    <row r="47" ht="49" customHeight="1">
      <c r="A47" s="18" t="inlineStr">
        <is>
          <t>Sincronia</t>
        </is>
      </c>
      <c r="B47" s="36" t="n"/>
      <c r="C47" s="21">
        <f>IF($Q$25="Humano",IF($Q$26="Dois Atributos (+1 cada)",($Q$27="Sincronia")*1+AND($Q$28="Sincronia",$Q$28&lt;&gt;$Q$27)*1,($Q$27="Sincronia")*2),IF($O$27="Sincronia",2,0))</f>
        <v/>
      </c>
      <c r="D47" s="21">
        <f>SUMIF('Progressão'!$U$57:$U$62,"Sincronia",'Progressão'!$F$57:$F$62)+SUMIF('Progressão'!$V$57:$V$62,"Sincronia",'Progressão'!$G$57:$G$62)</f>
        <v/>
      </c>
      <c r="E47" s="19">
        <f>MIN(20,$J$47+$C$47+$D$47)</f>
        <v/>
      </c>
      <c r="F47" s="19">
        <f>IF($E$47&lt;15,VLOOKUP($E$47,'Dados'!$A$27:$B$39,2,FALSE),INT(($E$47-15)/2)+3)</f>
        <v/>
      </c>
      <c r="G47" s="21">
        <f>MIN(20,$J$47+$C$47)</f>
        <v/>
      </c>
      <c r="H47" s="21">
        <f>IF($G$47&lt;15,VLOOKUP($G$47,'Dados'!$A$27:$B$39,2,FALSE),INT(($G$47-15)/2)+3)</f>
        <v/>
      </c>
      <c r="I47" s="21">
        <f>IF($Q$10="Compra de Pontos",VLOOKUP(MAX(8,MIN(15,$J$47)),'Dados'!$A$43:$B$50,2,FALSE),"")</f>
        <v/>
      </c>
      <c r="J47" s="21">
        <f>IF(ISNUMBER($Q$47),MAX(8,MIN(20,INT($Q$47))),8)</f>
        <v/>
      </c>
      <c r="K47" s="20">
        <f>IF(T47&gt;0,"O Google leu como fórmula: digite de novo com ' na frente.",IF($Q$47="","",IF(ISNUMBER($Q$47),IF(OR($Q$47&lt;8,$Q$47&gt;20),"Fora de 8 a 20: a ficha conta com "&amp;$J$47&amp;". ","")&amp;IF($Q$47&gt;15,"Acima de 15 antes da Raça. ",""),"Precisa ser um número. "))&amp;IF(AND($D$47&gt;0,$J$47+$C$47+$D$47&gt;20),"Aumento desperdiçado: passou do teto 20.",""))</f>
        <v/>
      </c>
      <c r="Q47">
        <f>IF(ISERROR($B$47),"",IF(ISBLANK($B$47),"",$B$47))</f>
        <v/>
      </c>
      <c r="T47">
        <f>ISERROR($B$47)*1</f>
        <v/>
      </c>
    </row>
    <row r="48" ht="49" customHeight="1">
      <c r="A48" s="16" t="inlineStr">
        <is>
          <t>Discernimento</t>
        </is>
      </c>
      <c r="B48" s="23" t="n"/>
      <c r="C48" s="22">
        <f>IF($Q$25="Humano",IF($Q$26="Dois Atributos (+1 cada)",($Q$27="Discernimento")*1+AND($Q$28="Discernimento",$Q$28&lt;&gt;$Q$27)*1,($Q$27="Discernimento")*2),IF($O$27="Discernimento",2,0))</f>
        <v/>
      </c>
      <c r="D48" s="22">
        <f>SUMIF('Progressão'!$U$57:$U$62,"Discernimento",'Progressão'!$F$57:$F$62)+SUMIF('Progressão'!$V$57:$V$62,"Discernimento",'Progressão'!$G$57:$G$62)</f>
        <v/>
      </c>
      <c r="E48" s="17">
        <f>MIN(20,$J$48+$C$48+$D$48)</f>
        <v/>
      </c>
      <c r="F48" s="17">
        <f>IF($E$48&lt;15,VLOOKUP($E$48,'Dados'!$A$27:$B$39,2,FALSE),INT(($E$48-15)/2)+3)</f>
        <v/>
      </c>
      <c r="G48" s="22">
        <f>MIN(20,$J$48+$C$48)</f>
        <v/>
      </c>
      <c r="H48" s="22">
        <f>IF($G$48&lt;15,VLOOKUP($G$48,'Dados'!$A$27:$B$39,2,FALSE),INT(($G$48-15)/2)+3)</f>
        <v/>
      </c>
      <c r="I48" s="22">
        <f>IF($Q$10="Compra de Pontos",VLOOKUP(MAX(8,MIN(15,$J$48)),'Dados'!$A$43:$B$50,2,FALSE),"")</f>
        <v/>
      </c>
      <c r="J48" s="22">
        <f>IF(ISNUMBER($Q$48),MAX(8,MIN(20,INT($Q$48))),8)</f>
        <v/>
      </c>
      <c r="K48" s="13">
        <f>IF(T48&gt;0,"O Google leu como fórmula: digite de novo com ' na frente.",IF($Q$48="","",IF(ISNUMBER($Q$48),IF(OR($Q$48&lt;8,$Q$48&gt;20),"Fora de 8 a 20: a ficha conta com "&amp;$J$48&amp;". ","")&amp;IF($Q$48&gt;15,"Acima de 15 antes da Raça. ",""),"Precisa ser um número. "))&amp;IF(AND($D$48&gt;0,$J$48+$C$48+$D$48&gt;20),"Aumento desperdiçado: passou do teto 20.",""))</f>
        <v/>
      </c>
      <c r="Q48">
        <f>IF(ISERROR($B$48),"",IF(ISBLANK($B$48),"",$B$48))</f>
        <v/>
      </c>
      <c r="T48">
        <f>ISERROR($B$48)*1</f>
        <v/>
      </c>
    </row>
    <row r="49" ht="49" customHeight="1">
      <c r="A49" s="18" t="inlineStr">
        <is>
          <t>Presença</t>
        </is>
      </c>
      <c r="B49" s="36" t="n"/>
      <c r="C49" s="21">
        <f>IF($Q$25="Humano",IF($Q$26="Dois Atributos (+1 cada)",($Q$27="Presença")*1+AND($Q$28="Presença",$Q$28&lt;&gt;$Q$27)*1,($Q$27="Presença")*2),IF($O$27="Presença",2,0))</f>
        <v/>
      </c>
      <c r="D49" s="21">
        <f>SUMIF('Progressão'!$U$57:$U$62,"Presença",'Progressão'!$F$57:$F$62)+SUMIF('Progressão'!$V$57:$V$62,"Presença",'Progressão'!$G$57:$G$62)</f>
        <v/>
      </c>
      <c r="E49" s="19">
        <f>MIN(20,$J$49+$C$49+$D$49)</f>
        <v/>
      </c>
      <c r="F49" s="19">
        <f>IF($E$49&lt;15,VLOOKUP($E$49,'Dados'!$A$27:$B$39,2,FALSE),INT(($E$49-15)/2)+3)</f>
        <v/>
      </c>
      <c r="G49" s="21">
        <f>MIN(20,$J$49+$C$49)</f>
        <v/>
      </c>
      <c r="H49" s="21">
        <f>IF($G$49&lt;15,VLOOKUP($G$49,'Dados'!$A$27:$B$39,2,FALSE),INT(($G$49-15)/2)+3)</f>
        <v/>
      </c>
      <c r="I49" s="21">
        <f>IF($Q$10="Compra de Pontos",VLOOKUP(MAX(8,MIN(15,$J$49)),'Dados'!$A$43:$B$50,2,FALSE),"")</f>
        <v/>
      </c>
      <c r="J49" s="21">
        <f>IF(ISNUMBER($Q$49),MAX(8,MIN(20,INT($Q$49))),8)</f>
        <v/>
      </c>
      <c r="K49" s="20">
        <f>IF(T49&gt;0,"O Google leu como fórmula: digite de novo com ' na frente.",IF($Q$49="","",IF(ISNUMBER($Q$49),IF(OR($Q$49&lt;8,$Q$49&gt;20),"Fora de 8 a 20: a ficha conta com "&amp;$J$49&amp;". ","")&amp;IF($Q$49&gt;15,"Acima de 15 antes da Raça. ",""),"Precisa ser um número. "))&amp;IF(AND($D$49&gt;0,$J$49+$C$49+$D$49&gt;20),"Aumento desperdiçado: passou do teto 20.",""))</f>
        <v/>
      </c>
      <c r="Q49">
        <f>IF(ISERROR($B$49),"",IF(ISBLANK($B$49),"",$B$49))</f>
        <v/>
      </c>
      <c r="T49">
        <f>ISERROR($B$49)*1</f>
        <v/>
      </c>
    </row>
    <row r="50" ht="49" customHeight="1">
      <c r="A50" s="8" t="inlineStr">
        <is>
          <t>Conferência do array oficial</t>
        </is>
      </c>
      <c r="B50" s="22">
        <f>IF($Q$10&lt;&gt;"Array oficial","",IF((ISNUMBER($Q$44)*1+ISNUMBER($Q$45)*1+ISNUMBER($Q$46)*1+ISNUMBER($Q$47)*1+ISNUMBER($Q$48)*1+ISNUMBER($Q$49)*1)&lt;6,"Valores que faltam para fechar o array: "&amp;(6-(ISNUMBER($Q$44)*1+ISNUMBER($Q$45)*1+ISNUMBER($Q$46)*1+ISNUMBER($Q$47)*1+ISNUMBER($Q$48)*1+ISNUMBER($Q$49)*1)),IF(AND(COUNTIF($Q$44:$Q$49,15)=1,COUNTIF($Q$44:$Q$49,14)=1,COUNTIF($Q$44:$Q$49,13)=1,COUNTIF($Q$44:$Q$49,12)=1,COUNTIF($Q$44:$Q$49,10)=1,COUNTIF($Q$44:$Q$49,8)=1),"OK: cada valor usado uma vez","Confira o aviso ao lado")))</f>
        <v/>
      </c>
      <c r="K50" s="13">
        <f>IF(AND($Q$10="Array oficial",(ISNUMBER($Q$44)*1+ISNUMBER($Q$45)*1+ISNUMBER($Q$46)*1+ISNUMBER($Q$47)*1+ISNUMBER($Q$48)*1+ISNUMBER($Q$49)*1)=6),IF(AND(COUNTIF($Q$44:$Q$49,15)=1,COUNTIF($Q$44:$Q$49,14)=1,COUNTIF($Q$44:$Q$49,13)=1,COUNTIF($Q$44:$Q$49,12)=1,COUNTIF($Q$44:$Q$49,10)=1,COUNTIF($Q$44:$Q$49,8)=1),"","Array oficial: use 15, 14, 13, 12, 10 e 8 uma vez cada. Falta: "&amp;IF(COUNTIF($Q$44:$Q$49,15)=0,"15 ","")&amp;IF(COUNTIF($Q$44:$Q$49,14)=0,"14 ","")&amp;IF(COUNTIF($Q$44:$Q$49,13)=0,"13 ","")&amp;IF(COUNTIF($Q$44:$Q$49,12)=0,"12 ","")&amp;IF(COUNTIF($Q$44:$Q$49,10)=0,"10 ","")&amp;IF(COUNTIF($Q$44:$Q$49,8)=0,"8 ","")&amp;"· Repetido: "&amp;IF(COUNTIF($Q$44:$Q$49,15)&gt;1,"15 ","")&amp;IF(COUNTIF($Q$44:$Q$49,14)&gt;1,"14 ","")&amp;IF(COUNTIF($Q$44:$Q$49,13)&gt;1,"13 ","")&amp;IF(COUNTIF($Q$44:$Q$49,12)&gt;1,"12 ","")&amp;IF(COUNTIF($Q$44:$Q$49,10)&gt;1,"10 ","")&amp;IF(COUNTIF($Q$44:$Q$49,8)&gt;1,"8 ","")),"")</f>
        <v/>
      </c>
    </row>
    <row r="51" ht="26" customHeight="1">
      <c r="A51" s="33" t="inlineStr">
        <is>
          <t>Compra de Pontos: gastos de 28</t>
        </is>
      </c>
      <c r="B51" s="19">
        <f>IF($Q$10="Compra de Pontos",SUM($I$44:$I$49),"")</f>
        <v/>
      </c>
      <c r="C51" s="34" t="inlineStr">
        <is>
          <t>Sobram:</t>
        </is>
      </c>
      <c r="D51" s="19">
        <f>IF($Q$10="Compra de Pontos",28-SUM($I$44:$I$49),"")</f>
        <v/>
      </c>
      <c r="E51" s="35" t="n"/>
      <c r="F51" s="35" t="n"/>
      <c r="G51" s="35" t="n"/>
      <c r="H51" s="35" t="n"/>
      <c r="I51" s="35" t="n"/>
      <c r="J51" s="35" t="n"/>
      <c r="K51" s="20">
        <f>IF(AND($Q$10="Compra de Pontos",SUM($I$44:$I$49)&gt;28),"Compra de Pontos passou de 28 ("&amp;SUM($I$44:$I$49)&amp;" pontos)","")</f>
        <v/>
      </c>
    </row>
    <row r="52"/>
    <row r="53">
      <c r="A53" s="14" t="inlineStr">
        <is>
          <t>Passo 5 — Atributo de Habilidade (fixo pela campanha)</t>
        </is>
      </c>
    </row>
    <row r="54" ht="37" customHeight="1">
      <c r="A54" s="8" t="inlineStr">
        <is>
          <t>Atributo de Habilidade</t>
        </is>
      </c>
      <c r="B54" s="23" t="n"/>
      <c r="C54" s="12" t="inlineStr">
        <is>
          <t>Usado:</t>
        </is>
      </c>
      <c r="D54" s="17">
        <f>IF($N$54="","",IF(AND($Q$54="",$N$55=""),$N$54,IF(AND($Q$54&lt;&gt;"",OR($Q$54=$N$54,$Q$54=$N$55)),$Q$54,"")))</f>
        <v/>
      </c>
      <c r="K54" s="13">
        <f>IF(T54&gt;0,"O Google leu como fórmula: escolha de novo na lista.",IF(AND($N$54&lt;&gt;"",$D$54=""),IF($Q$54="","Escolha o Atributo de Habilidade: "&amp;$N$54&amp;" ou "&amp;$N$55,"Fora do que o Caminho permite: "&amp;$N$54&amp;IF($N$55="",""," ou "&amp;$N$55)),""))</f>
        <v/>
      </c>
      <c r="N54" s="25">
        <f>IF($Q$33="","",IFERROR(""&amp;INDEX('Dados'!$E$84:$E$92,MATCH($Q$33,'Dados'!$A$84:$A$92,0)),""))</f>
        <v/>
      </c>
      <c r="Q54">
        <f>IF(ISERROR($B$54),"",IF(ISBLANK($B$54),"",$B$54))</f>
        <v/>
      </c>
      <c r="T54">
        <f>ISERROR($B$54)*1</f>
        <v/>
      </c>
    </row>
    <row r="55" ht="26" customHeight="1">
      <c r="A55" s="8" t="inlineStr">
        <is>
          <t>Bônus do Atributo de Habilidade</t>
        </is>
      </c>
      <c r="B55" s="17">
        <f>IF($D$54="",0,IFERROR(INDEX($F$44:$F$49,MATCH($D$54,$A$44:$A$49,0)),0))</f>
        <v/>
      </c>
      <c r="N55" s="25">
        <f>IF($Q$33="","",IFERROR(""&amp;INDEX('Dados'!$F$84:$F$92,MATCH($Q$33,'Dados'!$A$84:$A$92,0)),""))</f>
        <v/>
      </c>
    </row>
    <row r="56" ht="26" customHeight="1">
      <c r="A56" s="8" t="inlineStr">
        <is>
          <t>DT das suas Habilidades (8 + Bônus + Eficiência)</t>
        </is>
      </c>
      <c r="B56" s="17">
        <f>8+$B$55+$C$14</f>
        <v/>
      </c>
    </row>
    <row r="57" ht="26" customHeight="1">
      <c r="A57" s="8" t="inlineStr">
        <is>
          <t>Teste de Ataque das Habilidades e da Ultimate</t>
        </is>
      </c>
      <c r="B57" s="17">
        <f>$B$55+$C$14+$G$14+$B$124</f>
        <v/>
      </c>
      <c r="C57" s="17">
        <f>"d20"&amp;IF($B$57&gt;=0,"+","")&amp;$B$57</f>
        <v/>
      </c>
      <c r="D57" s="12" t="inlineStr">
        <is>
          <t>Bônus + Eficiência + Especialização + equipamento (aba Equipamento)</t>
        </is>
      </c>
    </row>
    <row r="58"/>
    <row r="59">
      <c r="A59" s="14" t="inlineStr">
        <is>
          <t>Passo 6 — Elemento (capítulo 20)</t>
        </is>
      </c>
    </row>
    <row r="60" ht="26" customHeight="1">
      <c r="A60" s="8" t="inlineStr">
        <is>
          <t>Elemento</t>
        </is>
      </c>
      <c r="B60" s="23" t="n"/>
      <c r="C60" s="12" t="inlineStr">
        <is>
          <t>Suas Habilidades e a Ultimate causam dano deste Elemento.</t>
        </is>
      </c>
      <c r="K60" s="13">
        <f>IF(T60&gt;0,"O Google leu como fórmula: escolha de novo na lista.",IF($Q$60="","",IF(COUNTIF('Dados'!$R$6:$R$12,$Q$60)=0,"Elemento fora da lista do capítulo 20","")))</f>
        <v/>
      </c>
      <c r="Q60">
        <f>IF(ISERROR($B$60),"",IF(ISBLANK($B$60),"",$B$60))</f>
        <v/>
      </c>
      <c r="T60">
        <f>ISERROR($B$60)*1</f>
        <v/>
      </c>
    </row>
    <row r="61">
      <c r="A61" s="8" t="inlineStr">
        <is>
          <t>Efeito de Quebra</t>
        </is>
      </c>
      <c r="B61" s="22">
        <f>IF($Q$60="","",IFERROR(INDEX('Dados'!$H$374:$H$380,MATCH($Q$60,'Dados'!$A$374:$A$380,0)),""))</f>
        <v/>
      </c>
    </row>
    <row r="62">
      <c r="A62" s="8" t="inlineStr">
        <is>
          <t>Dano de Quebra (20.5)</t>
        </is>
      </c>
      <c r="B62" s="17">
        <f>IF($Q$60="","",IFERROR(IF(INDEX('Dados'!$E$374:$E$380,MATCH($Q$60,'Dados'!$A$374:$A$380,0))&lt;=0,""&amp;INDEX('Dados'!$G$374:$G$380,MATCH($Q$60,'Dados'!$A$374:$A$380,0))*$C$14,INDEX('Dados'!$E$374:$E$380,MATCH($Q$60,'Dados'!$A$374:$A$380,0))&amp;"d"&amp;INDEX('Dados'!$F$374:$F$380,MATCH($Q$60,'Dados'!$A$374:$A$380,0))&amp;IF(INDEX('Dados'!$G$374:$G$380,MATCH($Q$60,'Dados'!$A$374:$A$380,0))*$C$14&gt;0,"+"&amp;INDEX('Dados'!$G$374:$G$380,MATCH($Q$60,'Dados'!$A$374:$A$380,0))*$C$14,IF(INDEX('Dados'!$G$374:$G$380,MATCH($Q$60,'Dados'!$A$374:$A$380,0))*$C$14&lt;0,""&amp;INDEX('Dados'!$G$374:$G$380,MATCH($Q$60,'Dados'!$A$374:$A$380,0))*$C$14,""))),""))</f>
        <v/>
      </c>
      <c r="C62" s="12" t="inlineStr">
        <is>
          <t>média</t>
        </is>
      </c>
      <c r="D62" s="17">
        <f>IF($Q$60="","",IFERROR(INT(INDEX('Dados'!$E$374:$E$380,MATCH($Q$60,'Dados'!$A$374:$A$380,0))*(INDEX('Dados'!$F$374:$F$380,MATCH($Q$60,'Dados'!$A$374:$A$380,0))+1)/2)+INDEX('Dados'!$G$374:$G$380,MATCH($Q$60,'Dados'!$A$374:$A$380,0))*$C$14,""))</f>
        <v/>
      </c>
    </row>
    <row r="63"/>
    <row r="64">
      <c r="A64" s="14" t="inlineStr">
        <is>
          <t>Passo 7 — Perícias (3 do Caminho + 2 + Bônus de Sincronia escolhidas, mínimo 2)</t>
        </is>
      </c>
    </row>
    <row r="65" ht="26" customHeight="1">
      <c r="A65" s="8" t="inlineStr">
        <is>
          <t>Sintonia usa (fixo na criação)</t>
        </is>
      </c>
      <c r="B65" s="23" t="n"/>
      <c r="C65" s="12" t="inlineStr">
        <is>
          <t>Usado:</t>
        </is>
      </c>
      <c r="D65" s="22">
        <f>IF($Q$65="Sincronia","Sincronia","Discernimento")</f>
        <v/>
      </c>
      <c r="K65" s="13">
        <f>IF(T65&gt;0,"O Google leu como fórmula: escolha de novo na lista.","")</f>
        <v/>
      </c>
      <c r="Q65">
        <f>IF(ISERROR($B$65),"",IF(ISBLANK($B$65),"",$B$65))</f>
        <v/>
      </c>
      <c r="T65">
        <f>ISERROR($B$65)*1</f>
        <v/>
      </c>
    </row>
    <row r="66" ht="37" customHeight="1">
      <c r="A66" s="8" t="inlineStr">
        <is>
          <t>Perícias escolhidas permitidas (Sincronia da criação)</t>
        </is>
      </c>
      <c r="B66" s="17">
        <f>MAX(2,2+$H$47)</f>
        <v/>
      </c>
    </row>
    <row r="67" ht="37" customHeight="1">
      <c r="A67" s="8" t="inlineStr">
        <is>
          <t>Escolhidas / com Eficiência no total</t>
        </is>
      </c>
      <c r="B67" s="17">
        <f>COUNTIF($S$69:$S$88,"Sim")</f>
        <v/>
      </c>
      <c r="C67" s="12" t="inlineStr">
        <is>
          <t>com Eficiência:</t>
        </is>
      </c>
      <c r="D67" s="17">
        <f>COUNTIF($E$69:$E$88,"Sim")</f>
        <v/>
      </c>
      <c r="K67" s="13">
        <f>IF($B$67&gt;$B$66,"Perícias escolhidas acima do permitido ("&amp;$B$66&amp;"): as últimas ficam sem Eficiência","")</f>
        <v/>
      </c>
    </row>
    <row r="68" ht="37" customHeight="1">
      <c r="A68" s="7" t="inlineStr">
        <is>
          <t>Perícia (Poder, Agilidade e Vigor)</t>
        </is>
      </c>
      <c r="B68" s="7" t="inlineStr">
        <is>
          <t>Atributo</t>
        </is>
      </c>
      <c r="C68" s="7" t="inlineStr">
        <is>
          <t>Do Caminho?</t>
        </is>
      </c>
      <c r="D68" s="7" t="inlineStr">
        <is>
          <t>Escolhida (preencha Sim)</t>
        </is>
      </c>
      <c r="E68" s="7" t="inlineStr">
        <is>
          <t>Eficiência (automático)</t>
        </is>
      </c>
      <c r="F68" s="7" t="inlineStr">
        <is>
          <t>Origem</t>
        </is>
      </c>
      <c r="K68" s="7" t="inlineStr">
        <is>
          <t>Aviso</t>
        </is>
      </c>
      <c r="L68" s="15" t="n"/>
    </row>
    <row r="69" ht="26" customHeight="1">
      <c r="A69" s="16" t="inlineStr">
        <is>
          <t>Atletismo</t>
        </is>
      </c>
      <c r="B69" s="4">
        <f>INDEX('Dados'!$B$54:$B$71,1)</f>
        <v/>
      </c>
      <c r="C69" s="22">
        <f>IF(OR($B$38="Atletismo",$D$38="Atletismo",$F$38="Atletismo"),"Sim","Não")</f>
        <v/>
      </c>
      <c r="D69" s="23" t="n"/>
      <c r="E69" s="17">
        <f>IF(OR($C$69="Sim",AND($S$69="Sim",COUNTIF($S$69,"Sim")&lt;=$B$66)),"Sim","Não")</f>
        <v/>
      </c>
      <c r="F69" s="22">
        <f>IF($C$69="Sim","Caminho",IF($E$69="Sim","Escolhida",""))</f>
        <v/>
      </c>
      <c r="K69" s="13">
        <f>IF(T69&gt;0,"O Google leu como fórmula: escolha de novo na lista.",IF($S$69&lt;&gt;"Sim","",IF($C$69="Sim","Já vem do Caminho: escolha outra",IF($E$69="Não","Acima do permitido ("&amp;$B$66&amp;"): esta fica sem Eficiência",""))))</f>
        <v/>
      </c>
      <c r="S69">
        <f>IF(ISERROR($D$69),"",IF(ISBLANK($D$69),"",$D$69))</f>
        <v/>
      </c>
      <c r="T69">
        <f>ISERROR($D$69)*1</f>
        <v/>
      </c>
    </row>
    <row r="70" ht="26" customHeight="1">
      <c r="A70" s="18" t="inlineStr">
        <is>
          <t>Acrobacia</t>
        </is>
      </c>
      <c r="B70" s="9">
        <f>INDEX('Dados'!$B$54:$B$71,2)</f>
        <v/>
      </c>
      <c r="C70" s="21">
        <f>IF(OR($B$38="Acrobacia",$D$38="Acrobacia",$F$38="Acrobacia"),"Sim","Não")</f>
        <v/>
      </c>
      <c r="D70" s="36" t="n"/>
      <c r="E70" s="19">
        <f>IF(OR($C$70="Sim",AND($S$70="Sim",COUNTIF($S$69:$S$70,"Sim")&lt;=$B$66)),"Sim","Não")</f>
        <v/>
      </c>
      <c r="F70" s="21">
        <f>IF($C$70="Sim","Caminho",IF($E$70="Sim","Escolhida",""))</f>
        <v/>
      </c>
      <c r="G70" s="35" t="n"/>
      <c r="H70" s="35" t="n"/>
      <c r="I70" s="35" t="n"/>
      <c r="J70" s="35" t="n"/>
      <c r="K70" s="20">
        <f>IF(T70&gt;0,"O Google leu como fórmula: escolha de novo na lista.",IF($S$70&lt;&gt;"Sim","",IF($C$70="Sim","Já vem do Caminho: escolha outra",IF($E$70="Não","Acima do permitido ("&amp;$B$66&amp;"): esta fica sem Eficiência",""))))</f>
        <v/>
      </c>
      <c r="S70">
        <f>IF(ISERROR($D$70),"",IF(ISBLANK($D$70),"",$D$70))</f>
        <v/>
      </c>
      <c r="T70">
        <f>ISERROR($D$70)*1</f>
        <v/>
      </c>
    </row>
    <row r="71" ht="26" customHeight="1">
      <c r="A71" s="16" t="inlineStr">
        <is>
          <t>Furtividade</t>
        </is>
      </c>
      <c r="B71" s="4">
        <f>INDEX('Dados'!$B$54:$B$71,3)</f>
        <v/>
      </c>
      <c r="C71" s="22">
        <f>IF(OR($B$38="Furtividade",$D$38="Furtividade",$F$38="Furtividade"),"Sim","Não")</f>
        <v/>
      </c>
      <c r="D71" s="23" t="n"/>
      <c r="E71" s="17">
        <f>IF(OR($C$71="Sim",AND($S$71="Sim",COUNTIF($S$69:$S$71,"Sim")&lt;=$B$66)),"Sim","Não")</f>
        <v/>
      </c>
      <c r="F71" s="22">
        <f>IF($C$71="Sim","Caminho",IF($E$71="Sim","Escolhida",""))</f>
        <v/>
      </c>
      <c r="K71" s="13">
        <f>IF(T71&gt;0,"O Google leu como fórmula: escolha de novo na lista.",IF($S$71&lt;&gt;"Sim","",IF($C$71="Sim","Já vem do Caminho: escolha outra",IF($E$71="Não","Acima do permitido ("&amp;$B$66&amp;"): esta fica sem Eficiência",""))))</f>
        <v/>
      </c>
      <c r="S71">
        <f>IF(ISERROR($D$71),"",IF(ISBLANK($D$71),"",$D$71))</f>
        <v/>
      </c>
      <c r="T71">
        <f>ISERROR($D$71)*1</f>
        <v/>
      </c>
    </row>
    <row r="72" ht="26" customHeight="1">
      <c r="A72" s="18" t="inlineStr">
        <is>
          <t>Pilotagem</t>
        </is>
      </c>
      <c r="B72" s="9">
        <f>INDEX('Dados'!$B$54:$B$71,4)</f>
        <v/>
      </c>
      <c r="C72" s="21">
        <f>IF(OR($B$38="Pilotagem",$D$38="Pilotagem",$F$38="Pilotagem"),"Sim","Não")</f>
        <v/>
      </c>
      <c r="D72" s="36" t="n"/>
      <c r="E72" s="19">
        <f>IF(OR($C$72="Sim",AND($S$72="Sim",COUNTIF($S$69:$S$72,"Sim")&lt;=$B$66)),"Sim","Não")</f>
        <v/>
      </c>
      <c r="F72" s="21">
        <f>IF($C$72="Sim","Caminho",IF($E$72="Sim","Escolhida",""))</f>
        <v/>
      </c>
      <c r="G72" s="35" t="n"/>
      <c r="H72" s="35" t="n"/>
      <c r="I72" s="35" t="n"/>
      <c r="J72" s="35" t="n"/>
      <c r="K72" s="20">
        <f>IF(T72&gt;0,"O Google leu como fórmula: escolha de novo na lista.",IF($S$72&lt;&gt;"Sim","",IF($C$72="Sim","Já vem do Caminho: escolha outra",IF($E$72="Não","Acima do permitido ("&amp;$B$66&amp;"): esta fica sem Eficiência",""))))</f>
        <v/>
      </c>
      <c r="S72">
        <f>IF(ISERROR($D$72),"",IF(ISBLANK($D$72),"",$D$72))</f>
        <v/>
      </c>
      <c r="T72">
        <f>ISERROR($D$72)*1</f>
        <v/>
      </c>
    </row>
    <row r="73" ht="26" customHeight="1">
      <c r="A73" s="16" t="inlineStr">
        <is>
          <t>Resistência</t>
        </is>
      </c>
      <c r="B73" s="4">
        <f>INDEX('Dados'!$B$54:$B$71,5)</f>
        <v/>
      </c>
      <c r="C73" s="22">
        <f>IF(OR($B$38="Resistência",$D$38="Resistência",$F$38="Resistência"),"Sim","Não")</f>
        <v/>
      </c>
      <c r="D73" s="23" t="n"/>
      <c r="E73" s="17">
        <f>IF(OR($C$73="Sim",AND($S$73="Sim",COUNTIF($S$69:$S$73,"Sim")&lt;=$B$66)),"Sim","Não")</f>
        <v/>
      </c>
      <c r="F73" s="22">
        <f>IF($C$73="Sim","Caminho",IF($E$73="Sim","Escolhida",""))</f>
        <v/>
      </c>
      <c r="K73" s="13">
        <f>IF(T73&gt;0,"O Google leu como fórmula: escolha de novo na lista.",IF($S$73&lt;&gt;"Sim","",IF($C$73="Sim","Já vem do Caminho: escolha outra",IF($E$73="Não","Acima do permitido ("&amp;$B$66&amp;"): esta fica sem Eficiência",""))))</f>
        <v/>
      </c>
      <c r="S73">
        <f>IF(ISERROR($D$73),"",IF(ISBLANK($D$73),"",$D$73))</f>
        <v/>
      </c>
      <c r="T73">
        <f>ISERROR($D$73)*1</f>
        <v/>
      </c>
    </row>
    <row r="74" ht="37" customHeight="1">
      <c r="A74" s="7" t="inlineStr">
        <is>
          <t>Perícia (Sincronia e Discernimento)</t>
        </is>
      </c>
      <c r="B74" s="7" t="inlineStr">
        <is>
          <t>Atributo</t>
        </is>
      </c>
      <c r="C74" s="7" t="inlineStr">
        <is>
          <t>Do Caminho?</t>
        </is>
      </c>
      <c r="D74" s="7" t="inlineStr">
        <is>
          <t>Escolhida (preencha Sim)</t>
        </is>
      </c>
      <c r="E74" s="7" t="inlineStr">
        <is>
          <t>Eficiência (automático)</t>
        </is>
      </c>
      <c r="F74" s="7" t="inlineStr">
        <is>
          <t>Origem</t>
        </is>
      </c>
      <c r="K74" s="7" t="inlineStr">
        <is>
          <t>Aviso</t>
        </is>
      </c>
      <c r="L74" s="15" t="n"/>
      <c r="S74">
        <f>IF(ISERROR($D$74),"",IF(ISBLANK($D$74),"",$D$74))</f>
        <v/>
      </c>
    </row>
    <row r="75" ht="26" customHeight="1">
      <c r="A75" s="16" t="inlineStr">
        <is>
          <t>Tecnologia</t>
        </is>
      </c>
      <c r="B75" s="4">
        <f>INDEX('Dados'!$B$54:$B$71,6)</f>
        <v/>
      </c>
      <c r="C75" s="22">
        <f>IF(OR($B$38="Tecnologia",$D$38="Tecnologia",$F$38="Tecnologia"),"Sim","Não")</f>
        <v/>
      </c>
      <c r="D75" s="23" t="n"/>
      <c r="E75" s="17">
        <f>IF(OR($C$75="Sim",AND($S$75="Sim",COUNTIF($S$69:$S$75,"Sim")&lt;=$B$66)),"Sim","Não")</f>
        <v/>
      </c>
      <c r="F75" s="22">
        <f>IF($C$75="Sim","Caminho",IF($E$75="Sim","Escolhida",""))</f>
        <v/>
      </c>
      <c r="K75" s="13">
        <f>IF(T75&gt;0,"O Google leu como fórmula: escolha de novo na lista.",IF($S$75&lt;&gt;"Sim","",IF($C$75="Sim","Já vem do Caminho: escolha outra",IF($E$75="Não","Acima do permitido ("&amp;$B$66&amp;"): esta fica sem Eficiência",""))))</f>
        <v/>
      </c>
      <c r="S75">
        <f>IF(ISERROR($D$75),"",IF(ISBLANK($D$75),"",$D$75))</f>
        <v/>
      </c>
      <c r="T75">
        <f>ISERROR($D$75)*1</f>
        <v/>
      </c>
    </row>
    <row r="76" ht="26" customHeight="1">
      <c r="A76" s="18" t="inlineStr">
        <is>
          <t>Pesquisa</t>
        </is>
      </c>
      <c r="B76" s="9">
        <f>INDEX('Dados'!$B$54:$B$71,7)</f>
        <v/>
      </c>
      <c r="C76" s="21">
        <f>IF(OR($B$38="Pesquisa",$D$38="Pesquisa",$F$38="Pesquisa"),"Sim","Não")</f>
        <v/>
      </c>
      <c r="D76" s="36" t="n"/>
      <c r="E76" s="19">
        <f>IF(OR($C$76="Sim",AND($S$76="Sim",COUNTIF($S$69:$S$76,"Sim")&lt;=$B$66)),"Sim","Não")</f>
        <v/>
      </c>
      <c r="F76" s="21">
        <f>IF($C$76="Sim","Caminho",IF($E$76="Sim","Escolhida",""))</f>
        <v/>
      </c>
      <c r="G76" s="35" t="n"/>
      <c r="H76" s="35" t="n"/>
      <c r="I76" s="35" t="n"/>
      <c r="J76" s="35" t="n"/>
      <c r="K76" s="20">
        <f>IF(T76&gt;0,"O Google leu como fórmula: escolha de novo na lista.",IF($S$76&lt;&gt;"Sim","",IF($C$76="Sim","Já vem do Caminho: escolha outra",IF($E$76="Não","Acima do permitido ("&amp;$B$66&amp;"): esta fica sem Eficiência",""))))</f>
        <v/>
      </c>
      <c r="S76">
        <f>IF(ISERROR($D$76),"",IF(ISBLANK($D$76),"",$D$76))</f>
        <v/>
      </c>
      <c r="T76">
        <f>ISERROR($D$76)*1</f>
        <v/>
      </c>
    </row>
    <row r="77" ht="26" customHeight="1">
      <c r="A77" s="16" t="inlineStr">
        <is>
          <t>Ciência</t>
        </is>
      </c>
      <c r="B77" s="4">
        <f>INDEX('Dados'!$B$54:$B$71,8)</f>
        <v/>
      </c>
      <c r="C77" s="22">
        <f>IF(OR($B$38="Ciência",$D$38="Ciência",$F$38="Ciência"),"Sim","Não")</f>
        <v/>
      </c>
      <c r="D77" s="23" t="n"/>
      <c r="E77" s="17">
        <f>IF(OR($C$77="Sim",AND($S$77="Sim",COUNTIF($S$69:$S$77,"Sim")&lt;=$B$66)),"Sim","Não")</f>
        <v/>
      </c>
      <c r="F77" s="22">
        <f>IF($C$77="Sim","Caminho",IF($E$77="Sim","Escolhida",""))</f>
        <v/>
      </c>
      <c r="K77" s="13">
        <f>IF(T77&gt;0,"O Google leu como fórmula: escolha de novo na lista.",IF($S$77&lt;&gt;"Sim","",IF($C$77="Sim","Já vem do Caminho: escolha outra",IF($E$77="Não","Acima do permitido ("&amp;$B$66&amp;"): esta fica sem Eficiência",""))))</f>
        <v/>
      </c>
      <c r="S77">
        <f>IF(ISERROR($D$77),"",IF(ISBLANK($D$77),"",$D$77))</f>
        <v/>
      </c>
      <c r="T77">
        <f>ISERROR($D$77)*1</f>
        <v/>
      </c>
    </row>
    <row r="78" ht="26" customHeight="1">
      <c r="A78" s="18" t="inlineStr">
        <is>
          <t>Mecânica</t>
        </is>
      </c>
      <c r="B78" s="9">
        <f>INDEX('Dados'!$B$54:$B$71,9)</f>
        <v/>
      </c>
      <c r="C78" s="21">
        <f>IF(OR($B$38="Mecânica",$D$38="Mecânica",$F$38="Mecânica"),"Sim","Não")</f>
        <v/>
      </c>
      <c r="D78" s="36" t="n"/>
      <c r="E78" s="19">
        <f>IF(OR($C$78="Sim",AND($S$78="Sim",COUNTIF($S$69:$S$78,"Sim")&lt;=$B$66)),"Sim","Não")</f>
        <v/>
      </c>
      <c r="F78" s="21">
        <f>IF($C$78="Sim","Caminho",IF($E$78="Sim","Escolhida",""))</f>
        <v/>
      </c>
      <c r="G78" s="35" t="n"/>
      <c r="H78" s="35" t="n"/>
      <c r="I78" s="35" t="n"/>
      <c r="J78" s="35" t="n"/>
      <c r="K78" s="20">
        <f>IF(T78&gt;0,"O Google leu como fórmula: escolha de novo na lista.",IF($S$78&lt;&gt;"Sim","",IF($C$78="Sim","Já vem do Caminho: escolha outra",IF($E$78="Não","Acima do permitido ("&amp;$B$66&amp;"): esta fica sem Eficiência",""))))</f>
        <v/>
      </c>
      <c r="S78">
        <f>IF(ISERROR($D$78),"",IF(ISBLANK($D$78),"",$D$78))</f>
        <v/>
      </c>
      <c r="T78">
        <f>ISERROR($D$78)*1</f>
        <v/>
      </c>
    </row>
    <row r="79" ht="26" customHeight="1">
      <c r="A79" s="16" t="inlineStr">
        <is>
          <t>Percepção</t>
        </is>
      </c>
      <c r="B79" s="4">
        <f>INDEX('Dados'!$B$54:$B$71,10)</f>
        <v/>
      </c>
      <c r="C79" s="22">
        <f>IF(OR($B$38="Percepção",$D$38="Percepção",$F$38="Percepção"),"Sim","Não")</f>
        <v/>
      </c>
      <c r="D79" s="23" t="n"/>
      <c r="E79" s="17">
        <f>IF(OR($C$79="Sim",AND($S$79="Sim",COUNTIF($S$69:$S$79,"Sim")&lt;=$B$66)),"Sim","Não")</f>
        <v/>
      </c>
      <c r="F79" s="22">
        <f>IF($C$79="Sim","Caminho",IF($E$79="Sim","Escolhida",""))</f>
        <v/>
      </c>
      <c r="K79" s="13">
        <f>IF(T79&gt;0,"O Google leu como fórmula: escolha de novo na lista.",IF($S$79&lt;&gt;"Sim","",IF($C$79="Sim","Já vem do Caminho: escolha outra",IF($E$79="Não","Acima do permitido ("&amp;$B$66&amp;"): esta fica sem Eficiência",""))))</f>
        <v/>
      </c>
      <c r="S79">
        <f>IF(ISERROR($D$79),"",IF(ISBLANK($D$79),"",$D$79))</f>
        <v/>
      </c>
      <c r="T79">
        <f>ISERROR($D$79)*1</f>
        <v/>
      </c>
    </row>
    <row r="80" ht="26" customHeight="1">
      <c r="A80" s="18" t="inlineStr">
        <is>
          <t>Sobrevivência</t>
        </is>
      </c>
      <c r="B80" s="9">
        <f>INDEX('Dados'!$B$54:$B$71,11)</f>
        <v/>
      </c>
      <c r="C80" s="21">
        <f>IF(OR($B$38="Sobrevivência",$D$38="Sobrevivência",$F$38="Sobrevivência"),"Sim","Não")</f>
        <v/>
      </c>
      <c r="D80" s="36" t="n"/>
      <c r="E80" s="19">
        <f>IF(OR($C$80="Sim",AND($S$80="Sim",COUNTIF($S$69:$S$80,"Sim")&lt;=$B$66)),"Sim","Não")</f>
        <v/>
      </c>
      <c r="F80" s="21">
        <f>IF($C$80="Sim","Caminho",IF($E$80="Sim","Escolhida",""))</f>
        <v/>
      </c>
      <c r="G80" s="35" t="n"/>
      <c r="H80" s="35" t="n"/>
      <c r="I80" s="35" t="n"/>
      <c r="J80" s="35" t="n"/>
      <c r="K80" s="20">
        <f>IF(T80&gt;0,"O Google leu como fórmula: escolha de novo na lista.",IF($S$80&lt;&gt;"Sim","",IF($C$80="Sim","Já vem do Caminho: escolha outra",IF($E$80="Não","Acima do permitido ("&amp;$B$66&amp;"): esta fica sem Eficiência",""))))</f>
        <v/>
      </c>
      <c r="S80">
        <f>IF(ISERROR($D$80),"",IF(ISBLANK($D$80),"",$D$80))</f>
        <v/>
      </c>
      <c r="T80">
        <f>ISERROR($D$80)*1</f>
        <v/>
      </c>
    </row>
    <row r="81" ht="26" customHeight="1">
      <c r="A81" s="16" t="inlineStr">
        <is>
          <t>Intuição</t>
        </is>
      </c>
      <c r="B81" s="4">
        <f>INDEX('Dados'!$B$54:$B$71,12)</f>
        <v/>
      </c>
      <c r="C81" s="22">
        <f>IF(OR($B$38="Intuição",$D$38="Intuição",$F$38="Intuição"),"Sim","Não")</f>
        <v/>
      </c>
      <c r="D81" s="23" t="n"/>
      <c r="E81" s="17">
        <f>IF(OR($C$81="Sim",AND($S$81="Sim",COUNTIF($S$69:$S$81,"Sim")&lt;=$B$66)),"Sim","Não")</f>
        <v/>
      </c>
      <c r="F81" s="22">
        <f>IF($C$81="Sim","Caminho",IF($E$81="Sim","Escolhida",""))</f>
        <v/>
      </c>
      <c r="K81" s="13">
        <f>IF(T81&gt;0,"O Google leu como fórmula: escolha de novo na lista.",IF($S$81&lt;&gt;"Sim","",IF($C$81="Sim","Já vem do Caminho: escolha outra",IF($E$81="Não","Acima do permitido ("&amp;$B$66&amp;"): esta fica sem Eficiência",""))))</f>
        <v/>
      </c>
      <c r="S81">
        <f>IF(ISERROR($D$81),"",IF(ISBLANK($D$81),"",$D$81))</f>
        <v/>
      </c>
      <c r="T81">
        <f>ISERROR($D$81)*1</f>
        <v/>
      </c>
    </row>
    <row r="82" ht="26" customHeight="1">
      <c r="A82" s="18" t="inlineStr">
        <is>
          <t>Investigação</t>
        </is>
      </c>
      <c r="B82" s="9">
        <f>INDEX('Dados'!$B$54:$B$71,13)</f>
        <v/>
      </c>
      <c r="C82" s="21">
        <f>IF(OR($B$38="Investigação",$D$38="Investigação",$F$38="Investigação"),"Sim","Não")</f>
        <v/>
      </c>
      <c r="D82" s="36" t="n"/>
      <c r="E82" s="19">
        <f>IF(OR($C$82="Sim",AND($S$82="Sim",COUNTIF($S$69:$S$82,"Sim")&lt;=$B$66)),"Sim","Não")</f>
        <v/>
      </c>
      <c r="F82" s="21">
        <f>IF($C$82="Sim","Caminho",IF($E$82="Sim","Escolhida",""))</f>
        <v/>
      </c>
      <c r="G82" s="35" t="n"/>
      <c r="H82" s="35" t="n"/>
      <c r="I82" s="35" t="n"/>
      <c r="J82" s="35" t="n"/>
      <c r="K82" s="20">
        <f>IF(T82&gt;0,"O Google leu como fórmula: escolha de novo na lista.",IF($S$82&lt;&gt;"Sim","",IF($C$82="Sim","Já vem do Caminho: escolha outra",IF($E$82="Não","Acima do permitido ("&amp;$B$66&amp;"): esta fica sem Eficiência",""))))</f>
        <v/>
      </c>
      <c r="S82">
        <f>IF(ISERROR($D$82),"",IF(ISBLANK($D$82),"",$D$82))</f>
        <v/>
      </c>
      <c r="T82">
        <f>ISERROR($D$82)*1</f>
        <v/>
      </c>
    </row>
    <row r="83" ht="37" customHeight="1">
      <c r="A83" s="7" t="inlineStr">
        <is>
          <t>Perícia (Presença e Sintonia)</t>
        </is>
      </c>
      <c r="B83" s="7" t="inlineStr">
        <is>
          <t>Atributo</t>
        </is>
      </c>
      <c r="C83" s="7" t="inlineStr">
        <is>
          <t>Do Caminho?</t>
        </is>
      </c>
      <c r="D83" s="7" t="inlineStr">
        <is>
          <t>Escolhida (preencha Sim)</t>
        </is>
      </c>
      <c r="E83" s="7" t="inlineStr">
        <is>
          <t>Eficiência (automático)</t>
        </is>
      </c>
      <c r="F83" s="7" t="inlineStr">
        <is>
          <t>Origem</t>
        </is>
      </c>
      <c r="K83" s="7" t="inlineStr">
        <is>
          <t>Aviso</t>
        </is>
      </c>
      <c r="L83" s="15" t="n"/>
      <c r="S83">
        <f>IF(ISERROR($D$83),"",IF(ISBLANK($D$83),"",$D$83))</f>
        <v/>
      </c>
    </row>
    <row r="84" ht="26" customHeight="1">
      <c r="A84" s="16" t="inlineStr">
        <is>
          <t>Persuasão</t>
        </is>
      </c>
      <c r="B84" s="4">
        <f>INDEX('Dados'!$B$54:$B$71,14)</f>
        <v/>
      </c>
      <c r="C84" s="22">
        <f>IF(OR($B$38="Persuasão",$D$38="Persuasão",$F$38="Persuasão"),"Sim","Não")</f>
        <v/>
      </c>
      <c r="D84" s="23" t="n"/>
      <c r="E84" s="17">
        <f>IF(OR($C$84="Sim",AND($S$84="Sim",COUNTIF($S$69:$S$84,"Sim")&lt;=$B$66)),"Sim","Não")</f>
        <v/>
      </c>
      <c r="F84" s="22">
        <f>IF($C$84="Sim","Caminho",IF($E$84="Sim","Escolhida",""))</f>
        <v/>
      </c>
      <c r="K84" s="13">
        <f>IF(T84&gt;0,"O Google leu como fórmula: escolha de novo na lista.",IF($S$84&lt;&gt;"Sim","",IF($C$84="Sim","Já vem do Caminho: escolha outra",IF($E$84="Não","Acima do permitido ("&amp;$B$66&amp;"): esta fica sem Eficiência",""))))</f>
        <v/>
      </c>
      <c r="S84">
        <f>IF(ISERROR($D$84),"",IF(ISBLANK($D$84),"",$D$84))</f>
        <v/>
      </c>
      <c r="T84">
        <f>ISERROR($D$84)*1</f>
        <v/>
      </c>
    </row>
    <row r="85" ht="26" customHeight="1">
      <c r="A85" s="18" t="inlineStr">
        <is>
          <t>Intimidação</t>
        </is>
      </c>
      <c r="B85" s="9">
        <f>INDEX('Dados'!$B$54:$B$71,15)</f>
        <v/>
      </c>
      <c r="C85" s="21">
        <f>IF(OR($B$38="Intimidação",$D$38="Intimidação",$F$38="Intimidação"),"Sim","Não")</f>
        <v/>
      </c>
      <c r="D85" s="36" t="n"/>
      <c r="E85" s="19">
        <f>IF(OR($C$85="Sim",AND($S$85="Sim",COUNTIF($S$69:$S$85,"Sim")&lt;=$B$66)),"Sim","Não")</f>
        <v/>
      </c>
      <c r="F85" s="21">
        <f>IF($C$85="Sim","Caminho",IF($E$85="Sim","Escolhida",""))</f>
        <v/>
      </c>
      <c r="G85" s="35" t="n"/>
      <c r="H85" s="35" t="n"/>
      <c r="I85" s="35" t="n"/>
      <c r="J85" s="35" t="n"/>
      <c r="K85" s="20">
        <f>IF(T85&gt;0,"O Google leu como fórmula: escolha de novo na lista.",IF($S$85&lt;&gt;"Sim","",IF($C$85="Sim","Já vem do Caminho: escolha outra",IF($E$85="Não","Acima do permitido ("&amp;$B$66&amp;"): esta fica sem Eficiência",""))))</f>
        <v/>
      </c>
      <c r="S85">
        <f>IF(ISERROR($D$85),"",IF(ISBLANK($D$85),"",$D$85))</f>
        <v/>
      </c>
      <c r="T85">
        <f>ISERROR($D$85)*1</f>
        <v/>
      </c>
    </row>
    <row r="86" ht="26" customHeight="1">
      <c r="A86" s="16" t="inlineStr">
        <is>
          <t>Enganação</t>
        </is>
      </c>
      <c r="B86" s="4">
        <f>INDEX('Dados'!$B$54:$B$71,16)</f>
        <v/>
      </c>
      <c r="C86" s="22">
        <f>IF(OR($B$38="Enganação",$D$38="Enganação",$F$38="Enganação"),"Sim","Não")</f>
        <v/>
      </c>
      <c r="D86" s="23" t="n"/>
      <c r="E86" s="17">
        <f>IF(OR($C$86="Sim",AND($S$86="Sim",COUNTIF($S$69:$S$86,"Sim")&lt;=$B$66)),"Sim","Não")</f>
        <v/>
      </c>
      <c r="F86" s="22">
        <f>IF($C$86="Sim","Caminho",IF($E$86="Sim","Escolhida",""))</f>
        <v/>
      </c>
      <c r="K86" s="13">
        <f>IF(T86&gt;0,"O Google leu como fórmula: escolha de novo na lista.",IF($S$86&lt;&gt;"Sim","",IF($C$86="Sim","Já vem do Caminho: escolha outra",IF($E$86="Não","Acima do permitido ("&amp;$B$66&amp;"): esta fica sem Eficiência",""))))</f>
        <v/>
      </c>
      <c r="S86">
        <f>IF(ISERROR($D$86),"",IF(ISBLANK($D$86),"",$D$86))</f>
        <v/>
      </c>
      <c r="T86">
        <f>ISERROR($D$86)*1</f>
        <v/>
      </c>
    </row>
    <row r="87" ht="26" customHeight="1">
      <c r="A87" s="18" t="inlineStr">
        <is>
          <t>Liderança</t>
        </is>
      </c>
      <c r="B87" s="9">
        <f>INDEX('Dados'!$B$54:$B$71,17)</f>
        <v/>
      </c>
      <c r="C87" s="21">
        <f>IF(OR($B$38="Liderança",$D$38="Liderança",$F$38="Liderança"),"Sim","Não")</f>
        <v/>
      </c>
      <c r="D87" s="36" t="n"/>
      <c r="E87" s="19">
        <f>IF(OR($C$87="Sim",AND($S$87="Sim",COUNTIF($S$69:$S$87,"Sim")&lt;=$B$66)),"Sim","Não")</f>
        <v/>
      </c>
      <c r="F87" s="21">
        <f>IF($C$87="Sim","Caminho",IF($E$87="Sim","Escolhida",""))</f>
        <v/>
      </c>
      <c r="G87" s="35" t="n"/>
      <c r="H87" s="35" t="n"/>
      <c r="I87" s="35" t="n"/>
      <c r="J87" s="35" t="n"/>
      <c r="K87" s="20">
        <f>IF(T87&gt;0,"O Google leu como fórmula: escolha de novo na lista.",IF($S$87&lt;&gt;"Sim","",IF($C$87="Sim","Já vem do Caminho: escolha outra",IF($E$87="Não","Acima do permitido ("&amp;$B$66&amp;"): esta fica sem Eficiência",""))))</f>
        <v/>
      </c>
      <c r="S87">
        <f>IF(ISERROR($D$87),"",IF(ISBLANK($D$87),"",$D$87))</f>
        <v/>
      </c>
      <c r="T87">
        <f>ISERROR($D$87)*1</f>
        <v/>
      </c>
    </row>
    <row r="88" ht="26" customHeight="1">
      <c r="A88" s="16" t="inlineStr">
        <is>
          <t>Sintonia</t>
        </is>
      </c>
      <c r="B88" s="22">
        <f>$D$65</f>
        <v/>
      </c>
      <c r="C88" s="22">
        <f>IF(OR($B$38="Sintonia",$D$38="Sintonia",$F$38="Sintonia"),"Sim","Não")</f>
        <v/>
      </c>
      <c r="D88" s="23" t="n"/>
      <c r="E88" s="17">
        <f>IF(OR($C$88="Sim",AND($S$88="Sim",COUNTIF($S$69:$S$88,"Sim")&lt;=$B$66)),"Sim","Não")</f>
        <v/>
      </c>
      <c r="F88" s="22">
        <f>IF($C$88="Sim","Caminho",IF($E$88="Sim","Escolhida",""))</f>
        <v/>
      </c>
      <c r="K88" s="13">
        <f>IF(T88&gt;0,"O Google leu como fórmula: escolha de novo na lista.",IF($S$88&lt;&gt;"Sim","",IF($C$88="Sim","Já vem do Caminho: escolha outra",IF($E$88="Não","Acima do permitido ("&amp;$B$66&amp;"): esta fica sem Eficiência",""))))</f>
        <v/>
      </c>
      <c r="S88">
        <f>IF(ISERROR($D$88),"",IF(ISBLANK($D$88),"",$D$88))</f>
        <v/>
      </c>
      <c r="T88">
        <f>ISERROR($D$88)*1</f>
        <v/>
      </c>
    </row>
    <row r="89"/>
    <row r="90">
      <c r="A90" s="14" t="inlineStr">
        <is>
          <t>Passo 8 — As cinco estatísticas: PV, Defesa, Esquiva, RD e Velocidade</t>
        </is>
      </c>
    </row>
    <row r="91" ht="26" customHeight="1">
      <c r="A91" s="8" t="inlineStr">
        <is>
          <t>Armadura ou Vestimenta</t>
        </is>
      </c>
      <c r="B91" s="23" t="n"/>
      <c r="C91" s="22">
        <f>IF($Q$91="","Sem armadura: Defesa +0",IFERROR("Defesa +"&amp;VLOOKUP($Q$91,'Dados'!$A$474:$I$476,2,FALSE)&amp;" · "&amp;VLOOKUP($Q$91,'Dados'!$A$474:$I$476,3,FALSE),""))</f>
        <v/>
      </c>
      <c r="K91" s="13">
        <f>IF(T91&gt;0,"O Google leu como fórmula: escolha de novo na lista.",IF($Q$91="","",IF(COUNTIF('Dados'!$S$6:$S$8,$Q$91)=0,"Armadura fora da lista do capítulo 24","")))</f>
        <v/>
      </c>
      <c r="Q91">
        <f>IF(ISERROR($B$91),"",IF(ISBLANK($B$91),"",$B$91))</f>
        <v/>
      </c>
      <c r="T91">
        <f>ISERROR($B$91)*1</f>
        <v/>
      </c>
    </row>
    <row r="92" ht="60" customHeight="1">
      <c r="A92" s="7" t="inlineStr">
        <is>
          <t>Números da armadura</t>
        </is>
      </c>
      <c r="B92" s="7" t="inlineStr">
        <is>
          <t>Defesa</t>
        </is>
      </c>
      <c r="C92" s="7" t="inlineStr">
        <is>
          <t>Velocidade</t>
        </is>
      </c>
      <c r="D92" s="7" t="inlineStr">
        <is>
          <t>RD</t>
        </is>
      </c>
      <c r="E92" s="7" t="inlineStr">
        <is>
          <t>Penalidade em Reflexos e Perícias de Agilidade</t>
        </is>
      </c>
      <c r="F92" s="7" t="inlineStr">
        <is>
          <t>Esquiva</t>
        </is>
      </c>
    </row>
    <row r="93">
      <c r="A93" s="16" t="inlineStr">
        <is>
          <t>(automático, 24.1)</t>
        </is>
      </c>
      <c r="B93" s="22">
        <f>IFERROR(VLOOKUP($Q$91,'Dados'!$A$474:$I$476,2,FALSE),0)</f>
        <v/>
      </c>
      <c r="C93" s="22">
        <f>IFERROR(VLOOKUP($Q$91,'Dados'!$A$474:$I$476,7,FALSE),0)</f>
        <v/>
      </c>
      <c r="D93" s="22">
        <f>IFERROR(VLOOKUP($Q$91,'Dados'!$A$474:$I$476,8,FALSE),0)</f>
        <v/>
      </c>
      <c r="E93" s="22">
        <f>IFERROR(VLOOKUP($Q$91,'Dados'!$A$474:$I$476,9,FALSE),0)</f>
        <v/>
      </c>
      <c r="F93" s="22">
        <f>IFERROR(VLOOKUP($Q$91,'Dados'!$A$474:$I$476,4,FALSE),"Permitida")</f>
        <v/>
      </c>
    </row>
    <row r="94" ht="37" customHeight="1">
      <c r="A94" s="7" t="inlineStr">
        <is>
          <t>Estatística</t>
        </is>
      </c>
      <c r="B94" s="7" t="inlineStr">
        <is>
          <t>Base</t>
        </is>
      </c>
      <c r="C94" s="7" t="inlineStr">
        <is>
          <t>Extra (equipamento e Bênçãos)</t>
        </is>
      </c>
      <c r="D94" s="7" t="inlineStr">
        <is>
          <t>Total</t>
        </is>
      </c>
      <c r="E94" s="7" t="inlineStr">
        <is>
          <t>Como se calcula</t>
        </is>
      </c>
      <c r="F94" s="15" t="n"/>
      <c r="G94" s="15" t="n"/>
      <c r="H94" s="15" t="n"/>
      <c r="I94" s="15" t="n"/>
      <c r="J94" s="15" t="n"/>
      <c r="K94" s="7" t="inlineStr">
        <is>
          <t>Aviso</t>
        </is>
      </c>
      <c r="L94" s="15" t="n"/>
    </row>
    <row r="95">
      <c r="A95" s="16" t="inlineStr">
        <is>
          <t>PV máximos</t>
        </is>
      </c>
      <c r="B95" s="22">
        <f>25+5*$B$36+3*$F$46+($A$14-1)*(5+$B$36+$F$46)</f>
        <v/>
      </c>
      <c r="C95" s="22">
        <f>$B$120</f>
        <v/>
      </c>
      <c r="D95" s="17">
        <f>$B$95+$B$120</f>
        <v/>
      </c>
      <c r="E95" s="22" t="inlineStr">
        <is>
          <t>25 + 5 × N + 3 × Bônus de Vigor + (nível - 1) × (5 + N + Bônus de Vigor) — 06.4</t>
        </is>
      </c>
    </row>
    <row r="96">
      <c r="A96" s="18" t="inlineStr">
        <is>
          <t>Defesa</t>
        </is>
      </c>
      <c r="B96" s="21">
        <f>10+$F$45+$B$93</f>
        <v/>
      </c>
      <c r="C96" s="21">
        <f>$B$121</f>
        <v/>
      </c>
      <c r="D96" s="19">
        <f>$B$96+$B$121</f>
        <v/>
      </c>
      <c r="E96" s="21" t="inlineStr">
        <is>
          <t>10 + Bônus de Agilidade + armadura — 18.4</t>
        </is>
      </c>
      <c r="K96" s="35" t="n"/>
      <c r="L96" s="35" t="n"/>
    </row>
    <row r="97" ht="37" customHeight="1">
      <c r="A97" s="16" t="inlineStr">
        <is>
          <t>Esquiva (Reação)</t>
        </is>
      </c>
      <c r="D97" s="37">
        <f>IF($F$93="Proibida","Proibida (Armadura Pesada)",$D$96+$C$14)</f>
        <v/>
      </c>
      <c r="E97" s="22" t="inlineStr">
        <is>
          <t>Defesa + Eficiência; proibida com Armadura Pesada</t>
        </is>
      </c>
      <c r="K97" s="13">
        <f>IF($F$93="Proibida","Armadura Pesada não permite Esquiva","")</f>
        <v/>
      </c>
    </row>
    <row r="98">
      <c r="A98" s="18" t="inlineStr">
        <is>
          <t>RD</t>
        </is>
      </c>
      <c r="B98" s="21">
        <f>$D$93</f>
        <v/>
      </c>
      <c r="C98" s="21">
        <f>$B$122</f>
        <v/>
      </c>
      <c r="D98" s="19">
        <f>MIN($H$14,$B$98+$B$122)</f>
        <v/>
      </c>
      <c r="E98" s="21">
        <f>"Armadura + Bênçãos + equipamento, até o teto de RD ("&amp;$H$14&amp;") — 18.4"</f>
        <v/>
      </c>
      <c r="K98" s="20">
        <f>IF($B$98+$B$122&gt;$H$14,"RD limitada ao teto ("&amp;$H$14&amp;")","")</f>
        <v/>
      </c>
    </row>
    <row r="99">
      <c r="A99" s="16" t="inlineStr">
        <is>
          <t>Velocidade (VEL)</t>
        </is>
      </c>
      <c r="B99" s="22">
        <f>10+$F$45+$B$37+$C$93</f>
        <v/>
      </c>
      <c r="C99" s="22">
        <f>$B$123</f>
        <v/>
      </c>
      <c r="D99" s="17">
        <f>$B$99+$B$123</f>
        <v/>
      </c>
      <c r="E99" s="22" t="inlineStr">
        <is>
          <t>10 + Bônus de Agilidade + Bônus do Caminho + armadura — 19.1</t>
        </is>
      </c>
      <c r="K99" s="13">
        <f>IF(OR($D$99&lt;7,$D$99&gt;25),"Velocidade fora de 7 a 25 (19.1)","")</f>
        <v/>
      </c>
    </row>
    <row r="100"/>
    <row r="101">
      <c r="A101" s="14" t="inlineStr">
        <is>
          <t>Passos 9 a 11 — Habilidade, Ultimate e Bênção</t>
        </is>
      </c>
    </row>
    <row r="102" ht="26" customHeight="1">
      <c r="A102" s="8" t="inlineStr">
        <is>
          <t>Passo 9 — Sua primeira Habilidade</t>
        </is>
      </c>
      <c r="B102" s="22">
        <f>IF(LEN($B$125)=0,"Preencha a Habilidade 1 na aba Habilidades","OK: "&amp;$B$125)</f>
        <v/>
      </c>
    </row>
    <row r="103">
      <c r="A103" s="8" t="inlineStr">
        <is>
          <t>Passo 10 — Sua Ultimate</t>
        </is>
      </c>
      <c r="B103" s="22">
        <f>IF(LEN($B$126)=0,"Preencha a Ultimate na aba Habilidades","OK: "&amp;$B$126)</f>
        <v/>
      </c>
    </row>
    <row r="104" ht="26" customHeight="1">
      <c r="A104" s="8" t="inlineStr">
        <is>
          <t>Passo 11 — Sua primeira Bênção</t>
        </is>
      </c>
      <c r="B104" s="22">
        <f>IF(LEN('Caminho'!$Q$27)=0,"Preencha a Bênção do nível 1 na aba Caminho","OK: "&amp;'Caminho'!$Q$27)</f>
        <v/>
      </c>
    </row>
    <row r="105"/>
    <row r="106">
      <c r="A106" s="14" t="inlineStr">
        <is>
          <t>Passo 12 — Equipamento, nome e acabamento</t>
        </is>
      </c>
    </row>
    <row r="107" ht="26" customHeight="1">
      <c r="A107" s="8" t="inlineStr">
        <is>
          <t>Arma: nome e descrição</t>
        </is>
      </c>
      <c r="B107" s="27" t="n"/>
      <c r="C107" s="28" t="n"/>
      <c r="D107" s="28" t="n"/>
      <c r="E107" s="28" t="n"/>
      <c r="F107" s="28" t="n"/>
      <c r="G107" s="28" t="n"/>
      <c r="H107" s="28" t="n"/>
      <c r="I107" s="28" t="n"/>
      <c r="J107" s="29" t="n"/>
      <c r="K107" s="13">
        <f>IF(T107&gt;0,"O Google leu como fórmula: digite de novo com ' na frente.","")</f>
        <v/>
      </c>
      <c r="Q107">
        <f>IF(ISERROR($B$107),"",IF(ISBLANK($B$107),"",$B$107))</f>
        <v/>
      </c>
      <c r="T107">
        <f>ISERROR($B$107)*1</f>
        <v/>
      </c>
    </row>
    <row r="108" ht="26" customHeight="1">
      <c r="A108" s="8" t="inlineStr">
        <is>
          <t>Categoria da arma (capítulo 18)</t>
        </is>
      </c>
      <c r="B108" s="23" t="n"/>
      <c r="C108" s="22">
        <f>IF($Q$108="","",IFERROR(VLOOKUP($Q$108,'Dados'!$A$457:$J$462,2,FALSE)&amp;" · alcance "&amp;VLOOKUP($Q$108,'Dados'!$A$457:$J$462,5,FALSE)&amp;" · "&amp;VLOOKUP($Q$108,'Dados'!$A$457:$J$462,6,FALSE)&amp;IF(VLOOKUP($Q$108,'Dados'!$A$457:$J$462,10,FALSE)="Sim"," · duas mãos",""),""))</f>
        <v/>
      </c>
      <c r="K108" s="13">
        <f>IF(T108&gt;0,"O Google leu como fórmula: escolha de novo na lista.",IF($Q$108="","",IF(COUNTIF('Dados'!$T$6:$T$11,$Q$108)=0,"Categoria fora da lista do capítulo 24","")))</f>
        <v/>
      </c>
      <c r="Q108">
        <f>IF(ISERROR($B$108),"",IF(ISBLANK($B$108),"",$B$108))</f>
        <v/>
      </c>
      <c r="T108">
        <f>ISERROR($B$108)*1</f>
        <v/>
      </c>
    </row>
    <row r="109" ht="26" customHeight="1">
      <c r="A109" s="8" t="inlineStr">
        <is>
          <t>Atributo (só arma Média: Poder ou Agilidade)</t>
        </is>
      </c>
      <c r="B109" s="23" t="n"/>
      <c r="C109" s="12" t="inlineStr">
        <is>
          <t>Atributo de ataque:</t>
        </is>
      </c>
      <c r="D109" s="37">
        <f>IF($Q$108="","",IF($Q$108="Média",IF(OR($Q$109="Poder",$Q$109="Agilidade"),$Q$109,"Poder"),IFERROR(VLOOKUP($Q$108,'Dados'!$A$457:$J$462,6,FALSE),"")))</f>
        <v/>
      </c>
      <c r="K109" s="13">
        <f>IF(T109&gt;0,"O Google leu como fórmula: escolha de novo na lista.",IF(AND($Q$109&lt;&gt;"",$Q$108&lt;&gt;"Média"),"O atributo só se escolhe na arma Média",IF(AND($Q$108="Média",$Q$109=""),"Arma Média: escolha Poder ou Agilidade (contando Poder)","")))</f>
        <v/>
      </c>
      <c r="Q109">
        <f>IF(ISERROR($B$109),"",IF(ISBLANK($B$109),"",$B$109))</f>
        <v/>
      </c>
      <c r="T109">
        <f>ISERROR($B$109)*1</f>
        <v/>
      </c>
    </row>
    <row r="110" ht="37" customHeight="1">
      <c r="A110" s="8" t="inlineStr">
        <is>
          <t>Elemento próprio da arma (vazio = Físico)</t>
        </is>
      </c>
      <c r="B110" s="23" t="n"/>
      <c r="C110" s="12" t="inlineStr">
        <is>
          <t>Elemento do Ataque Básico:</t>
        </is>
      </c>
      <c r="D110" s="17">
        <f>IF($Q$110="","Físico",$Q$110)</f>
        <v/>
      </c>
      <c r="K110" s="13">
        <f>IF(T110&gt;0,"O Google leu como fórmula: escolha de novo na lista.",IF($Q$110="","",IF(COUNTIF('Dados'!$R$6:$R$12,$Q$110)=0,"Elemento fora da lista do capítulo 20","")))</f>
        <v/>
      </c>
      <c r="Q110">
        <f>IF(ISERROR($B$110),"",IF(ISBLANK($B$110),"",$B$110))</f>
        <v/>
      </c>
      <c r="T110">
        <f>ISERROR($B$110)*1</f>
        <v/>
      </c>
    </row>
    <row r="111" ht="37" customHeight="1">
      <c r="A111" s="8" t="inlineStr">
        <is>
          <t>Propriedade especial (no máximo 1)</t>
        </is>
      </c>
      <c r="B111" s="23" t="n"/>
      <c r="C111" s="4">
        <f>IF(OR($Q$111="",$Q$111="Nenhuma"),"",IFERROR(VLOOKUP($Q$111,'Dados'!$A$466:$B$470,2,FALSE),""))</f>
        <v/>
      </c>
      <c r="K111" s="13">
        <f>IF(T111&gt;0,"O Google leu como fórmula: escolha de novo na lista.",IF($Q$111="","",IF(COUNTIF('Dados'!$V$6:$V$11,$Q$111)=0,"Só uma propriedade especial por arma (24.2): escolha uma da lista","")))</f>
        <v/>
      </c>
      <c r="Q111">
        <f>IF(ISERROR($B$111),"",IF(ISBLANK($B$111),"",$B$111))</f>
        <v/>
      </c>
      <c r="T111">
        <f>ISERROR($B$111)*1</f>
        <v/>
      </c>
    </row>
    <row r="112" ht="26" customHeight="1">
      <c r="A112" s="8" t="inlineStr">
        <is>
          <t>Espaço da arma no inventário</t>
        </is>
      </c>
      <c r="B112" s="17">
        <f>IF($Q$111="Dissimulada",0.5,IFERROR(VLOOKUP($Q$108,'Dados'!$A$457:$J$462,8,FALSE),0))</f>
        <v/>
      </c>
    </row>
    <row r="113" ht="26" customHeight="1">
      <c r="A113" s="8" t="inlineStr">
        <is>
          <t>Técnica (24.6): nome</t>
        </is>
      </c>
      <c r="B113" s="27" t="n"/>
      <c r="C113" s="28" t="n"/>
      <c r="D113" s="28" t="n"/>
      <c r="E113" s="28" t="n"/>
      <c r="F113" s="28" t="n"/>
      <c r="G113" s="28" t="n"/>
      <c r="H113" s="28" t="n"/>
      <c r="I113" s="28" t="n"/>
      <c r="J113" s="29" t="n"/>
      <c r="K113" s="13">
        <f>IF(T113&gt;0,"O Google leu como fórmula: digite de novo com ' na frente.","")</f>
        <v/>
      </c>
      <c r="T113">
        <f>ISERROR($B$113)*1</f>
        <v/>
      </c>
    </row>
    <row r="114" ht="37" customHeight="1">
      <c r="A114" s="8" t="inlineStr">
        <is>
          <t>Técnica: o que ela faz</t>
        </is>
      </c>
      <c r="B114" s="27" t="n"/>
      <c r="C114" s="28" t="n"/>
      <c r="D114" s="28" t="n"/>
      <c r="E114" s="28" t="n"/>
      <c r="F114" s="28" t="n"/>
      <c r="G114" s="28" t="n"/>
      <c r="H114" s="28" t="n"/>
      <c r="I114" s="28" t="n"/>
      <c r="J114" s="29" t="n"/>
      <c r="K114" s="13">
        <f>IF(T114&gt;0,"O Google leu como fórmula: digite de novo com ' na frente.","")</f>
        <v/>
      </c>
      <c r="T114">
        <f>ISERROR($B$114)*1</f>
        <v/>
      </c>
    </row>
    <row r="115">
      <c r="A115" s="8" t="inlineStr">
        <is>
          <t>Técnica: usos</t>
        </is>
      </c>
      <c r="B115" s="22" t="inlineStr">
        <is>
          <t>2 usos por Descanso Longo, fora de combate (24.6)</t>
        </is>
      </c>
    </row>
    <row r="116" ht="37" customHeight="1">
      <c r="A116" s="8" t="inlineStr">
        <is>
          <t>Aparência e de onde você veio</t>
        </is>
      </c>
      <c r="B116" s="27" t="n"/>
      <c r="C116" s="28" t="n"/>
      <c r="D116" s="28" t="n"/>
      <c r="E116" s="28" t="n"/>
      <c r="F116" s="28" t="n"/>
      <c r="G116" s="28" t="n"/>
      <c r="H116" s="28" t="n"/>
      <c r="I116" s="28" t="n"/>
      <c r="J116" s="29" t="n"/>
      <c r="K116" s="13">
        <f>IF(T116&gt;0,"O Google leu como fórmula: digite de novo com ' na frente.","")</f>
        <v/>
      </c>
      <c r="T116">
        <f>ISERROR($B$116)*1</f>
        <v/>
      </c>
    </row>
    <row r="117" ht="26" customHeight="1">
      <c r="A117" s="8" t="inlineStr">
        <is>
          <t>Uma coisa que você carrega e não serve para nada</t>
        </is>
      </c>
      <c r="B117" s="27" t="n"/>
      <c r="C117" s="28" t="n"/>
      <c r="D117" s="28" t="n"/>
      <c r="E117" s="28" t="n"/>
      <c r="F117" s="28" t="n"/>
      <c r="G117" s="28" t="n"/>
      <c r="H117" s="28" t="n"/>
      <c r="I117" s="28" t="n"/>
      <c r="J117" s="29" t="n"/>
      <c r="K117" s="13">
        <f>IF(T117&gt;0,"O Google leu como fórmula: digite de novo com ' na frente.","")</f>
        <v/>
      </c>
      <c r="T117">
        <f>ISERROR($B$117)*1</f>
        <v/>
      </c>
    </row>
    <row r="118"/>
    <row r="119">
      <c r="A119" s="14" t="inlineStr">
        <is>
          <t>Ligações com outras abas (automático; não editar)</t>
        </is>
      </c>
    </row>
    <row r="120" ht="37" customHeight="1">
      <c r="A120" s="8" t="inlineStr">
        <is>
          <t>PV extra (Relíquia Cabeça, Cone de Luz, Corpo Imortal, Forma Sincronizada)</t>
        </is>
      </c>
      <c r="B120" s="22">
        <f>'Equipamento'!$G$36+'Equipamento'!$A$31+IF((COUNTIF('Caminho'!$I$27:$I$36,"Corpo Imortal")&gt;0),2*$A$14,0)+IF(AND((COUNTIF('Caminho'!$I$27:$I$36,"Avatar da Recordação")&gt;0),'Caminho'!$P$96="Sincronizada"),2*$A$14,0)</f>
        <v/>
      </c>
    </row>
    <row r="121" ht="37" customHeight="1">
      <c r="A121" s="8" t="inlineStr">
        <is>
          <t>Defesa extra (Relíquia Tronco, Cone de Luz, Forma Sincronizada)</t>
        </is>
      </c>
      <c r="B121" s="22">
        <f>'Equipamento'!$G$38+'Equipamento'!$B$31+IF(AND((COUNTIF('Caminho'!$I$27:$I$36,"Avatar da Recordação")&gt;0),'Caminho'!$P$96="Sincronizada"),1,0)</f>
        <v/>
      </c>
    </row>
    <row r="122" ht="37" customHeight="1">
      <c r="A122" s="8" t="inlineStr">
        <is>
          <t>RD extra (Cone de Luz, Conjunto, Pele de Pedra, Corpo Imortal)</t>
        </is>
      </c>
      <c r="B122" s="22">
        <f>'Equipamento'!$G$31+'Equipamento'!$E$48+IF((COUNTIF('Caminho'!$I$27:$I$36,"Pele de Pedra")&gt;0),2,0)+IF((COUNTIF('Caminho'!$I$27:$I$36,"Corpo Imortal")&gt;0),$C$14,0)</f>
        <v/>
      </c>
    </row>
    <row r="123" ht="48" customHeight="1">
      <c r="A123" s="8" t="inlineStr">
        <is>
          <t>Velocidade extra (Botas, Cone de Luz, Conjunto, Ressonância I, Avatar da Caça)</t>
        </is>
      </c>
      <c r="B123" s="22">
        <f>'Equipamento'!$G$39+'Equipamento'!$C$31+'Equipamento'!$C$48+IF('Progressão'!$R$67="Velocidade +1",1,0)+IF((COUNTIF('Caminho'!$I$27:$I$36,"Avatar da Caça")&gt;0),2,0)</f>
        <v/>
      </c>
    </row>
    <row r="124" ht="37" customHeight="1">
      <c r="A124" s="8" t="inlineStr">
        <is>
          <t>Teste de Ataque extra (Cone de Luz + bônus temporários no teto, aba Em Jogo)</t>
        </is>
      </c>
      <c r="B124" s="22">
        <f>'Equipamento'!$H$31+'Em Jogo'!$Q$14</f>
        <v/>
      </c>
    </row>
    <row r="125" ht="26" customHeight="1">
      <c r="A125" s="8" t="inlineStr">
        <is>
          <t>Nome da Habilidade 1 (aba Habilidades)</t>
        </is>
      </c>
      <c r="B125" s="22">
        <f>IF(LEN('Habilidades'!$Y$12)=0,"",""&amp;'Habilidades'!$Y$12)</f>
        <v/>
      </c>
    </row>
    <row r="126" ht="26" customHeight="1">
      <c r="A126" s="8" t="inlineStr">
        <is>
          <t>Nome da Ultimate (aba Habilidades)</t>
        </is>
      </c>
      <c r="B126" s="22">
        <f>IF(LEN('Habilidades'!$Z$54)=0,"",""&amp;'Habilidades'!$Z$54)</f>
        <v/>
      </c>
    </row>
  </sheetData>
  <mergeCells count="129">
    <mergeCell ref="K49:L49"/>
    <mergeCell ref="C33:J33"/>
    <mergeCell ref="K33:L33"/>
    <mergeCell ref="K113:L113"/>
    <mergeCell ref="K88:L88"/>
    <mergeCell ref="B34:D34"/>
    <mergeCell ref="K26:L26"/>
    <mergeCell ref="C25:J25"/>
    <mergeCell ref="K76:L76"/>
    <mergeCell ref="K50:L50"/>
    <mergeCell ref="K81:L81"/>
    <mergeCell ref="B40:J40"/>
    <mergeCell ref="K99:L99"/>
    <mergeCell ref="B38:C38"/>
    <mergeCell ref="B104:J104"/>
    <mergeCell ref="K67:L67"/>
    <mergeCell ref="E97:J97"/>
    <mergeCell ref="B35:J35"/>
    <mergeCell ref="E96:J96"/>
    <mergeCell ref="C17:D17"/>
    <mergeCell ref="E98:J98"/>
    <mergeCell ref="K116:L116"/>
    <mergeCell ref="K28:L28"/>
    <mergeCell ref="A119:L119"/>
    <mergeCell ref="K69:L69"/>
    <mergeCell ref="K78:L78"/>
    <mergeCell ref="B117:J117"/>
    <mergeCell ref="B125:F125"/>
    <mergeCell ref="K80:L80"/>
    <mergeCell ref="A3:L3"/>
    <mergeCell ref="E99:J99"/>
    <mergeCell ref="A12:L12"/>
    <mergeCell ref="B116:J116"/>
    <mergeCell ref="B29:J29"/>
    <mergeCell ref="K79:L79"/>
    <mergeCell ref="C26:J26"/>
    <mergeCell ref="K21:L21"/>
    <mergeCell ref="K51:L51"/>
    <mergeCell ref="B103:J103"/>
    <mergeCell ref="A5:L5"/>
    <mergeCell ref="C10:J10"/>
    <mergeCell ref="K72:L72"/>
    <mergeCell ref="A32:L32"/>
    <mergeCell ref="A106:L106"/>
    <mergeCell ref="B6:J6"/>
    <mergeCell ref="C9:J9"/>
    <mergeCell ref="K43:L43"/>
    <mergeCell ref="K27:L27"/>
    <mergeCell ref="D57:J57"/>
    <mergeCell ref="K98:L98"/>
    <mergeCell ref="K107:L107"/>
    <mergeCell ref="B7:J7"/>
    <mergeCell ref="A24:L24"/>
    <mergeCell ref="K82:L82"/>
    <mergeCell ref="K10:L10"/>
    <mergeCell ref="D38:E38"/>
    <mergeCell ref="K6:L6"/>
    <mergeCell ref="B126:F126"/>
    <mergeCell ref="K74:L74"/>
    <mergeCell ref="K68:L68"/>
    <mergeCell ref="K25:L25"/>
    <mergeCell ref="K83:L83"/>
    <mergeCell ref="B107:J107"/>
    <mergeCell ref="K9:L9"/>
    <mergeCell ref="K45:L45"/>
    <mergeCell ref="K54:L54"/>
    <mergeCell ref="D65:E65"/>
    <mergeCell ref="K60:L60"/>
    <mergeCell ref="A42:L42"/>
    <mergeCell ref="K109:L109"/>
    <mergeCell ref="K47:L47"/>
    <mergeCell ref="K44:L44"/>
    <mergeCell ref="K46:L46"/>
    <mergeCell ref="K111:L111"/>
    <mergeCell ref="B30:J30"/>
    <mergeCell ref="B20:J20"/>
    <mergeCell ref="K8:L8"/>
    <mergeCell ref="K71:L71"/>
    <mergeCell ref="C27:J27"/>
    <mergeCell ref="K97:L97"/>
    <mergeCell ref="C8:J8"/>
    <mergeCell ref="A59:L59"/>
    <mergeCell ref="K7:L7"/>
    <mergeCell ref="A64:L64"/>
    <mergeCell ref="K73:L73"/>
    <mergeCell ref="K65:L65"/>
    <mergeCell ref="J2:K2"/>
    <mergeCell ref="D54:E54"/>
    <mergeCell ref="B39:J39"/>
    <mergeCell ref="C111:J111"/>
    <mergeCell ref="E94:J94"/>
    <mergeCell ref="D109:E109"/>
    <mergeCell ref="A90:L90"/>
    <mergeCell ref="B61:D61"/>
    <mergeCell ref="C108:J108"/>
    <mergeCell ref="K108:L108"/>
    <mergeCell ref="K114:L114"/>
    <mergeCell ref="K110:L110"/>
    <mergeCell ref="A101:L101"/>
    <mergeCell ref="E95:J95"/>
    <mergeCell ref="K20:L20"/>
    <mergeCell ref="K91:L91"/>
    <mergeCell ref="K85:L85"/>
    <mergeCell ref="K94:L94"/>
    <mergeCell ref="K75:L75"/>
    <mergeCell ref="K84:L84"/>
    <mergeCell ref="K22:L22"/>
    <mergeCell ref="A53:L53"/>
    <mergeCell ref="B114:J114"/>
    <mergeCell ref="F38:G38"/>
    <mergeCell ref="K77:L77"/>
    <mergeCell ref="C2:D2"/>
    <mergeCell ref="K86:L86"/>
    <mergeCell ref="K117:L117"/>
    <mergeCell ref="E2:F2"/>
    <mergeCell ref="A19:L19"/>
    <mergeCell ref="B50:J50"/>
    <mergeCell ref="C60:J60"/>
    <mergeCell ref="B113:J113"/>
    <mergeCell ref="K70:L70"/>
    <mergeCell ref="K48:L48"/>
    <mergeCell ref="C91:J91"/>
    <mergeCell ref="B22:J22"/>
    <mergeCell ref="B115:J115"/>
    <mergeCell ref="A1:L1"/>
    <mergeCell ref="B102:J102"/>
    <mergeCell ref="D110:E110"/>
    <mergeCell ref="K87:L87"/>
    <mergeCell ref="B21:J21"/>
  </mergeCells>
  <conditionalFormatting sqref="K8">
    <cfRule type="expression" priority="1" dxfId="0">
      <formula>LEN(K8)&gt;0</formula>
    </cfRule>
  </conditionalFormatting>
  <conditionalFormatting sqref="K9">
    <cfRule type="expression" priority="2" dxfId="0">
      <formula>LEN(K9)&gt;0</formula>
    </cfRule>
  </conditionalFormatting>
  <conditionalFormatting sqref="K10">
    <cfRule type="expression" priority="3" dxfId="0">
      <formula>LEN(K10)&gt;0</formula>
    </cfRule>
  </conditionalFormatting>
  <conditionalFormatting sqref="K22">
    <cfRule type="expression" priority="4" dxfId="0">
      <formula>LEN(K22)&gt;0</formula>
    </cfRule>
  </conditionalFormatting>
  <conditionalFormatting sqref="K25">
    <cfRule type="expression" priority="5" dxfId="0">
      <formula>LEN(K25)&gt;0</formula>
    </cfRule>
  </conditionalFormatting>
  <conditionalFormatting sqref="K26">
    <cfRule type="expression" priority="6" dxfId="0">
      <formula>LEN(K26)&gt;0</formula>
    </cfRule>
  </conditionalFormatting>
  <conditionalFormatting sqref="K27">
    <cfRule type="expression" priority="7" dxfId="0">
      <formula>LEN(K27)&gt;0</formula>
    </cfRule>
  </conditionalFormatting>
  <conditionalFormatting sqref="K28">
    <cfRule type="expression" priority="8" dxfId="0">
      <formula>LEN(K28)&gt;0</formula>
    </cfRule>
  </conditionalFormatting>
  <conditionalFormatting sqref="K33">
    <cfRule type="expression" priority="9" dxfId="0">
      <formula>LEN(K33)&gt;0</formula>
    </cfRule>
  </conditionalFormatting>
  <conditionalFormatting sqref="K44">
    <cfRule type="expression" priority="10" dxfId="0">
      <formula>LEN(K44)&gt;0</formula>
    </cfRule>
  </conditionalFormatting>
  <conditionalFormatting sqref="K45">
    <cfRule type="expression" priority="11" dxfId="0">
      <formula>LEN(K45)&gt;0</formula>
    </cfRule>
  </conditionalFormatting>
  <conditionalFormatting sqref="K46">
    <cfRule type="expression" priority="12" dxfId="0">
      <formula>LEN(K46)&gt;0</formula>
    </cfRule>
  </conditionalFormatting>
  <conditionalFormatting sqref="K47">
    <cfRule type="expression" priority="13" dxfId="0">
      <formula>LEN(K47)&gt;0</formula>
    </cfRule>
  </conditionalFormatting>
  <conditionalFormatting sqref="K48">
    <cfRule type="expression" priority="14" dxfId="0">
      <formula>LEN(K48)&gt;0</formula>
    </cfRule>
  </conditionalFormatting>
  <conditionalFormatting sqref="K49">
    <cfRule type="expression" priority="15" dxfId="0">
      <formula>LEN(K49)&gt;0</formula>
    </cfRule>
  </conditionalFormatting>
  <conditionalFormatting sqref="K50">
    <cfRule type="expression" priority="16" dxfId="0">
      <formula>LEN(K50)&gt;0</formula>
    </cfRule>
  </conditionalFormatting>
  <conditionalFormatting sqref="K51">
    <cfRule type="expression" priority="17" dxfId="0">
      <formula>LEN(K51)&gt;0</formula>
    </cfRule>
  </conditionalFormatting>
  <conditionalFormatting sqref="K54">
    <cfRule type="expression" priority="18" dxfId="0">
      <formula>LEN(K54)&gt;0</formula>
    </cfRule>
  </conditionalFormatting>
  <conditionalFormatting sqref="K60">
    <cfRule type="expression" priority="19" dxfId="0">
      <formula>LEN(K60)&gt;0</formula>
    </cfRule>
  </conditionalFormatting>
  <conditionalFormatting sqref="K69">
    <cfRule type="expression" priority="20" dxfId="0">
      <formula>LEN(K69)&gt;0</formula>
    </cfRule>
  </conditionalFormatting>
  <conditionalFormatting sqref="K70">
    <cfRule type="expression" priority="21" dxfId="0">
      <formula>LEN(K70)&gt;0</formula>
    </cfRule>
  </conditionalFormatting>
  <conditionalFormatting sqref="K71">
    <cfRule type="expression" priority="22" dxfId="0">
      <formula>LEN(K71)&gt;0</formula>
    </cfRule>
  </conditionalFormatting>
  <conditionalFormatting sqref="K72">
    <cfRule type="expression" priority="23" dxfId="0">
      <formula>LEN(K72)&gt;0</formula>
    </cfRule>
  </conditionalFormatting>
  <conditionalFormatting sqref="K73">
    <cfRule type="expression" priority="24" dxfId="0">
      <formula>LEN(K73)&gt;0</formula>
    </cfRule>
  </conditionalFormatting>
  <conditionalFormatting sqref="K75">
    <cfRule type="expression" priority="25" dxfId="0">
      <formula>LEN(K75)&gt;0</formula>
    </cfRule>
  </conditionalFormatting>
  <conditionalFormatting sqref="K76">
    <cfRule type="expression" priority="26" dxfId="0">
      <formula>LEN(K76)&gt;0</formula>
    </cfRule>
  </conditionalFormatting>
  <conditionalFormatting sqref="K77">
    <cfRule type="expression" priority="27" dxfId="0">
      <formula>LEN(K77)&gt;0</formula>
    </cfRule>
  </conditionalFormatting>
  <conditionalFormatting sqref="K78">
    <cfRule type="expression" priority="28" dxfId="0">
      <formula>LEN(K78)&gt;0</formula>
    </cfRule>
  </conditionalFormatting>
  <conditionalFormatting sqref="K79">
    <cfRule type="expression" priority="29" dxfId="0">
      <formula>LEN(K79)&gt;0</formula>
    </cfRule>
  </conditionalFormatting>
  <conditionalFormatting sqref="K80">
    <cfRule type="expression" priority="30" dxfId="0">
      <formula>LEN(K80)&gt;0</formula>
    </cfRule>
  </conditionalFormatting>
  <conditionalFormatting sqref="K81">
    <cfRule type="expression" priority="31" dxfId="0">
      <formula>LEN(K81)&gt;0</formula>
    </cfRule>
  </conditionalFormatting>
  <conditionalFormatting sqref="K82">
    <cfRule type="expression" priority="32" dxfId="0">
      <formula>LEN(K82)&gt;0</formula>
    </cfRule>
  </conditionalFormatting>
  <conditionalFormatting sqref="K84">
    <cfRule type="expression" priority="33" dxfId="0">
      <formula>LEN(K84)&gt;0</formula>
    </cfRule>
  </conditionalFormatting>
  <conditionalFormatting sqref="K85">
    <cfRule type="expression" priority="34" dxfId="0">
      <formula>LEN(K85)&gt;0</formula>
    </cfRule>
  </conditionalFormatting>
  <conditionalFormatting sqref="K86">
    <cfRule type="expression" priority="35" dxfId="0">
      <formula>LEN(K86)&gt;0</formula>
    </cfRule>
  </conditionalFormatting>
  <conditionalFormatting sqref="K87">
    <cfRule type="expression" priority="36" dxfId="0">
      <formula>LEN(K87)&gt;0</formula>
    </cfRule>
  </conditionalFormatting>
  <conditionalFormatting sqref="K88">
    <cfRule type="expression" priority="37" dxfId="0">
      <formula>LEN(K88)&gt;0</formula>
    </cfRule>
  </conditionalFormatting>
  <conditionalFormatting sqref="K67">
    <cfRule type="expression" priority="38" dxfId="0">
      <formula>LEN(K67)&gt;0</formula>
    </cfRule>
  </conditionalFormatting>
  <conditionalFormatting sqref="K91">
    <cfRule type="expression" priority="39" dxfId="0">
      <formula>LEN(K91)&gt;0</formula>
    </cfRule>
  </conditionalFormatting>
  <conditionalFormatting sqref="K97">
    <cfRule type="expression" priority="40" dxfId="0">
      <formula>LEN(K97)&gt;0</formula>
    </cfRule>
  </conditionalFormatting>
  <conditionalFormatting sqref="K98">
    <cfRule type="expression" priority="41" dxfId="0">
      <formula>LEN(K98)&gt;0</formula>
    </cfRule>
  </conditionalFormatting>
  <conditionalFormatting sqref="K99">
    <cfRule type="expression" priority="42" dxfId="0">
      <formula>LEN(K99)&gt;0</formula>
    </cfRule>
  </conditionalFormatting>
  <conditionalFormatting sqref="K108">
    <cfRule type="expression" priority="43" dxfId="0">
      <formula>LEN(K108)&gt;0</formula>
    </cfRule>
  </conditionalFormatting>
  <conditionalFormatting sqref="K109">
    <cfRule type="expression" priority="44" dxfId="0">
      <formula>LEN(K109)&gt;0</formula>
    </cfRule>
  </conditionalFormatting>
  <conditionalFormatting sqref="K110">
    <cfRule type="expression" priority="45" dxfId="0">
      <formula>LEN(K110)&gt;0</formula>
    </cfRule>
  </conditionalFormatting>
  <conditionalFormatting sqref="K111">
    <cfRule type="expression" priority="46" dxfId="0">
      <formula>LEN(K111)&gt;0</formula>
    </cfRule>
  </conditionalFormatting>
  <conditionalFormatting sqref="K6">
    <cfRule type="expression" priority="47" dxfId="0">
      <formula>LEN(K6)&gt;0</formula>
    </cfRule>
  </conditionalFormatting>
  <conditionalFormatting sqref="K7">
    <cfRule type="expression" priority="48" dxfId="0">
      <formula>LEN(K7)&gt;0</formula>
    </cfRule>
  </conditionalFormatting>
  <conditionalFormatting sqref="K20">
    <cfRule type="expression" priority="49" dxfId="0">
      <formula>LEN(K20)&gt;0</formula>
    </cfRule>
  </conditionalFormatting>
  <conditionalFormatting sqref="K21">
    <cfRule type="expression" priority="50" dxfId="0">
      <formula>LEN(K21)&gt;0</formula>
    </cfRule>
  </conditionalFormatting>
  <conditionalFormatting sqref="K65">
    <cfRule type="expression" priority="51" dxfId="0">
      <formula>LEN(K65)&gt;0</formula>
    </cfRule>
  </conditionalFormatting>
  <conditionalFormatting sqref="K107">
    <cfRule type="expression" priority="52" dxfId="0">
      <formula>LEN(K107)&gt;0</formula>
    </cfRule>
  </conditionalFormatting>
  <conditionalFormatting sqref="K113">
    <cfRule type="expression" priority="53" dxfId="0">
      <formula>LEN(K113)&gt;0</formula>
    </cfRule>
  </conditionalFormatting>
  <conditionalFormatting sqref="K114">
    <cfRule type="expression" priority="54" dxfId="0">
      <formula>LEN(K114)&gt;0</formula>
    </cfRule>
  </conditionalFormatting>
  <conditionalFormatting sqref="K116">
    <cfRule type="expression" priority="55" dxfId="0">
      <formula>LEN(K116)&gt;0</formula>
    </cfRule>
  </conditionalFormatting>
  <conditionalFormatting sqref="K117">
    <cfRule type="expression" priority="56" dxfId="0">
      <formula>LEN(K117)&gt;0</formula>
    </cfRule>
  </conditionalFormatting>
  <dataValidations count="40">
    <dataValidation sqref="B8" showDropDown="0" showInputMessage="0" showErrorMessage="1" allowBlank="1" errorTitle="Valor fora da faixa" error="Nível: use um número inteiro de 1 a 20." type="whole" errorStyle="warning" operator="between">
      <formula1>1</formula1>
      <formula2>20</formula2>
    </dataValidation>
    <dataValidation sqref="B9" showDropDown="0" showInputMessage="0" showErrorMessage="1" allowBlank="1" errorTitle="Valor fora da faixa" error="Nº de jogadores: use um número inteiro de 1 a 6." type="whole" errorStyle="warning" operator="between">
      <formula1>1</formula1>
      <formula2>6</formula2>
    </dataValidation>
    <dataValidation sqref="B10" showDropDown="0" showInputMessage="0" showErrorMessage="1" allowBlank="1" errorTitle="Fora da lista" error="Método de atributos: escolha um valor da lista. A ficha pode não reconhecer outro valor." type="list" errorStyle="warning">
      <formula1>'Dados'!$AH$6:$AH$7</formula1>
    </dataValidation>
    <dataValidation sqref="B25" showDropDown="0" showInputMessage="0" showErrorMessage="1" allowBlank="1" errorTitle="Fora da lista" error="Raça: escolha um valor da lista. A ficha pode não reconhecer outro valor." type="list" errorStyle="warning">
      <formula1>'Dados'!$O$6:$O$12</formula1>
    </dataValidation>
    <dataValidation sqref="B26" showDropDown="0" showInputMessage="0" showErrorMessage="1" allowBlank="1" errorTitle="Fora da lista" error="Bônus do Humano: escolha um valor da lista. A ficha pode não reconhecer outro valor." type="list" errorStyle="warning">
      <formula1>'Dados'!$AI$6:$AI$7</formula1>
    </dataValidation>
    <dataValidation sqref="B27" showDropDown="0" showInputMessage="0" showErrorMessage="1" allowBlank="1" errorTitle="Fora da lista" error="Atributo do bônus racial: escolha um valor da lista. A ficha pode não reconhecer outro valor." type="list" errorStyle="warning">
      <formula1>$N$25:$N$30</formula1>
    </dataValidation>
    <dataValidation sqref="B28" showDropDown="0" showInputMessage="0" showErrorMessage="1" allowBlank="1" errorTitle="Fora da lista" error="Atributo 2: escolha um valor da lista. A ficha pode não reconhecer outro valor." type="list" errorStyle="warning">
      <formula1>'Dados'!$Q$6:$Q$11</formula1>
    </dataValidation>
    <dataValidation sqref="B33" showDropDown="0" showInputMessage="0" showErrorMessage="1" allowBlank="1" errorTitle="Fora da lista" error="Caminho: escolha um valor da lista. A ficha pode não reconhecer outro valor." type="list" errorStyle="warning">
      <formula1>'Dados'!$P$6:$P$14</formula1>
    </dataValidation>
    <dataValidation sqref="B44" showDropDown="0" showInputMessage="0" showErrorMessage="1" allowBlank="1" errorTitle="Valor fora da faixa" error="Poder: use um número inteiro de 8 a 15." type="whole" errorStyle="warning" operator="between">
      <formula1>8</formula1>
      <formula2>15</formula2>
    </dataValidation>
    <dataValidation sqref="B45" showDropDown="0" showInputMessage="0" showErrorMessage="1" allowBlank="1" errorTitle="Valor fora da faixa" error="Agilidade: use um número inteiro de 8 a 15." type="whole" errorStyle="warning" operator="between">
      <formula1>8</formula1>
      <formula2>15</formula2>
    </dataValidation>
    <dataValidation sqref="B46" showDropDown="0" showInputMessage="0" showErrorMessage="1" allowBlank="1" errorTitle="Valor fora da faixa" error="Vigor: use um número inteiro de 8 a 15." type="whole" errorStyle="warning" operator="between">
      <formula1>8</formula1>
      <formula2>15</formula2>
    </dataValidation>
    <dataValidation sqref="B47" showDropDown="0" showInputMessage="0" showErrorMessage="1" allowBlank="1" errorTitle="Valor fora da faixa" error="Sincronia: use um número inteiro de 8 a 15." type="whole" errorStyle="warning" operator="between">
      <formula1>8</formula1>
      <formula2>15</formula2>
    </dataValidation>
    <dataValidation sqref="B48" showDropDown="0" showInputMessage="0" showErrorMessage="1" allowBlank="1" errorTitle="Valor fora da faixa" error="Discernimento: use um número inteiro de 8 a 15." type="whole" errorStyle="warning" operator="between">
      <formula1>8</formula1>
      <formula2>15</formula2>
    </dataValidation>
    <dataValidation sqref="B49" showDropDown="0" showInputMessage="0" showErrorMessage="1" allowBlank="1" errorTitle="Valor fora da faixa" error="Presença: use um número inteiro de 8 a 15." type="whole" errorStyle="warning" operator="between">
      <formula1>8</formula1>
      <formula2>15</formula2>
    </dataValidation>
    <dataValidation sqref="B54" showDropDown="0" showInputMessage="0" showErrorMessage="1" allowBlank="1" errorTitle="Fora da lista" error="Atributo de Habilidade: escolha um valor da lista. A ficha pode não reconhecer outro valor." type="list" errorStyle="warning">
      <formula1>$N$54:$N$55</formula1>
    </dataValidation>
    <dataValidation sqref="B60" showDropDown="0" showInputMessage="0" showErrorMessage="1" allowBlank="1" errorTitle="Fora da lista" error="Elemento: escolha um valor da lista. A ficha pode não reconhecer outro valor." type="list" errorStyle="warning">
      <formula1>'Dados'!$R$6:$R$12</formula1>
    </dataValidation>
    <dataValidation sqref="B65" showDropDown="0" showInputMessage="0" showErrorMessage="1" allowBlank="1" errorTitle="Fora da lista" error="Sintonia: escolha um valor da lista. A ficha pode não reconhecer outro valor." type="list" errorStyle="warning">
      <formula1>'Dados'!$AL$6:$AL$7</formula1>
    </dataValidation>
    <dataValidation sqref="D69" showDropDown="0" showInputMessage="0" showErrorMessage="1" allowBlank="1" errorTitle="Fora da lista" error="Atletismo: escolha um valor da lista. A ficha pode não reconhecer outro valor." type="list" errorStyle="warning">
      <formula1>'Dados'!$AG$6:$AG$7</formula1>
    </dataValidation>
    <dataValidation sqref="D70" showDropDown="0" showInputMessage="0" showErrorMessage="1" allowBlank="1" errorTitle="Fora da lista" error="Acrobacia: escolha um valor da lista. A ficha pode não reconhecer outro valor." type="list" errorStyle="warning">
      <formula1>'Dados'!$AG$6:$AG$7</formula1>
    </dataValidation>
    <dataValidation sqref="D71" showDropDown="0" showInputMessage="0" showErrorMessage="1" allowBlank="1" errorTitle="Fora da lista" error="Furtividade: escolha um valor da lista. A ficha pode não reconhecer outro valor." type="list" errorStyle="warning">
      <formula1>'Dados'!$AG$6:$AG$7</formula1>
    </dataValidation>
    <dataValidation sqref="D72" showDropDown="0" showInputMessage="0" showErrorMessage="1" allowBlank="1" errorTitle="Fora da lista" error="Pilotagem: escolha um valor da lista. A ficha pode não reconhecer outro valor." type="list" errorStyle="warning">
      <formula1>'Dados'!$AG$6:$AG$7</formula1>
    </dataValidation>
    <dataValidation sqref="D73" showDropDown="0" showInputMessage="0" showErrorMessage="1" allowBlank="1" errorTitle="Fora da lista" error="Resistência: escolha um valor da lista. A ficha pode não reconhecer outro valor." type="list" errorStyle="warning">
      <formula1>'Dados'!$AG$6:$AG$7</formula1>
    </dataValidation>
    <dataValidation sqref="D75" showDropDown="0" showInputMessage="0" showErrorMessage="1" allowBlank="1" errorTitle="Fora da lista" error="Tecnologia: escolha um valor da lista. A ficha pode não reconhecer outro valor." type="list" errorStyle="warning">
      <formula1>'Dados'!$AG$6:$AG$7</formula1>
    </dataValidation>
    <dataValidation sqref="D76" showDropDown="0" showInputMessage="0" showErrorMessage="1" allowBlank="1" errorTitle="Fora da lista" error="Pesquisa: escolha um valor da lista. A ficha pode não reconhecer outro valor." type="list" errorStyle="warning">
      <formula1>'Dados'!$AG$6:$AG$7</formula1>
    </dataValidation>
    <dataValidation sqref="D77" showDropDown="0" showInputMessage="0" showErrorMessage="1" allowBlank="1" errorTitle="Fora da lista" error="Ciência: escolha um valor da lista. A ficha pode não reconhecer outro valor." type="list" errorStyle="warning">
      <formula1>'Dados'!$AG$6:$AG$7</formula1>
    </dataValidation>
    <dataValidation sqref="D78" showDropDown="0" showInputMessage="0" showErrorMessage="1" allowBlank="1" errorTitle="Fora da lista" error="Mecânica: escolha um valor da lista. A ficha pode não reconhecer outro valor." type="list" errorStyle="warning">
      <formula1>'Dados'!$AG$6:$AG$7</formula1>
    </dataValidation>
    <dataValidation sqref="D79" showDropDown="0" showInputMessage="0" showErrorMessage="1" allowBlank="1" errorTitle="Fora da lista" error="Percepção: escolha um valor da lista. A ficha pode não reconhecer outro valor." type="list" errorStyle="warning">
      <formula1>'Dados'!$AG$6:$AG$7</formula1>
    </dataValidation>
    <dataValidation sqref="D80" showDropDown="0" showInputMessage="0" showErrorMessage="1" allowBlank="1" errorTitle="Fora da lista" error="Sobrevivência: escolha um valor da lista. A ficha pode não reconhecer outro valor." type="list" errorStyle="warning">
      <formula1>'Dados'!$AG$6:$AG$7</formula1>
    </dataValidation>
    <dataValidation sqref="D81" showDropDown="0" showInputMessage="0" showErrorMessage="1" allowBlank="1" errorTitle="Fora da lista" error="Intuição: escolha um valor da lista. A ficha pode não reconhecer outro valor." type="list" errorStyle="warning">
      <formula1>'Dados'!$AG$6:$AG$7</formula1>
    </dataValidation>
    <dataValidation sqref="D82" showDropDown="0" showInputMessage="0" showErrorMessage="1" allowBlank="1" errorTitle="Fora da lista" error="Investigação: escolha um valor da lista. A ficha pode não reconhecer outro valor." type="list" errorStyle="warning">
      <formula1>'Dados'!$AG$6:$AG$7</formula1>
    </dataValidation>
    <dataValidation sqref="D84" showDropDown="0" showInputMessage="0" showErrorMessage="1" allowBlank="1" errorTitle="Fora da lista" error="Persuasão: escolha um valor da lista. A ficha pode não reconhecer outro valor." type="list" errorStyle="warning">
      <formula1>'Dados'!$AG$6:$AG$7</formula1>
    </dataValidation>
    <dataValidation sqref="D85" showDropDown="0" showInputMessage="0" showErrorMessage="1" allowBlank="1" errorTitle="Fora da lista" error="Intimidação: escolha um valor da lista. A ficha pode não reconhecer outro valor." type="list" errorStyle="warning">
      <formula1>'Dados'!$AG$6:$AG$7</formula1>
    </dataValidation>
    <dataValidation sqref="D86" showDropDown="0" showInputMessage="0" showErrorMessage="1" allowBlank="1" errorTitle="Fora da lista" error="Enganação: escolha um valor da lista. A ficha pode não reconhecer outro valor." type="list" errorStyle="warning">
      <formula1>'Dados'!$AG$6:$AG$7</formula1>
    </dataValidation>
    <dataValidation sqref="D87" showDropDown="0" showInputMessage="0" showErrorMessage="1" allowBlank="1" errorTitle="Fora da lista" error="Liderança: escolha um valor da lista. A ficha pode não reconhecer outro valor." type="list" errorStyle="warning">
      <formula1>'Dados'!$AG$6:$AG$7</formula1>
    </dataValidation>
    <dataValidation sqref="D88" showDropDown="0" showInputMessage="0" showErrorMessage="1" allowBlank="1" errorTitle="Fora da lista" error="Sintonia: escolha um valor da lista. A ficha pode não reconhecer outro valor." type="list" errorStyle="warning">
      <formula1>'Dados'!$AG$6:$AG$7</formula1>
    </dataValidation>
    <dataValidation sqref="B91" showDropDown="0" showInputMessage="0" showErrorMessage="1" allowBlank="1" errorTitle="Fora da lista" error="Armadura: escolha um valor da lista. A ficha pode não reconhecer outro valor." type="list" errorStyle="warning">
      <formula1>'Dados'!$S$6:$S$8</formula1>
    </dataValidation>
    <dataValidation sqref="B108" showDropDown="0" showInputMessage="0" showErrorMessage="1" allowBlank="1" errorTitle="Fora da lista" error="Categoria da arma: escolha um valor da lista. A ficha pode não reconhecer outro valor." type="list" errorStyle="warning">
      <formula1>'Dados'!$T$6:$T$11</formula1>
    </dataValidation>
    <dataValidation sqref="B109" showDropDown="0" showInputMessage="0" showErrorMessage="1" allowBlank="1" errorTitle="Fora da lista" error="Atributo da arma: escolha um valor da lista. A ficha pode não reconhecer outro valor." type="list" errorStyle="warning">
      <formula1>'Dados'!$U$6:$U$7</formula1>
    </dataValidation>
    <dataValidation sqref="B110" showDropDown="0" showInputMessage="0" showErrorMessage="1" allowBlank="1" errorTitle="Fora da lista" error="Elemento da arma: escolha um valor da lista. A ficha pode não reconhecer outro valor." type="list" errorStyle="warning">
      <formula1>'Dados'!$R$6:$R$12</formula1>
    </dataValidation>
    <dataValidation sqref="B111" showDropDown="0" showInputMessage="0" showErrorMessage="1" allowBlank="1" errorTitle="Fora da lista" error="Propriedade especial: escolha um valor da lista. A ficha pode não reconhecer outro valor." type="list" errorStyle="warning">
      <formula1>'Dados'!$V$6:$V$11</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44"/>
  <sheetViews>
    <sheetView showGridLines="1" workbookViewId="0">
      <selection activeCell="A1" sqref="A1"/>
    </sheetView>
  </sheetViews>
  <sheetFormatPr baseColWidth="8" defaultRowHeight="15"/>
  <cols>
    <col width="20.786" customWidth="1" min="1" max="1"/>
    <col width="19.357" customWidth="1" min="2" max="2"/>
    <col width="12.929" customWidth="1" min="3" max="3"/>
    <col width="14.357" customWidth="1" min="4" max="4"/>
    <col width="12.214" customWidth="1" min="5" max="5"/>
    <col width="12.214" customWidth="1" min="6" max="6"/>
    <col width="21.643" customWidth="1" min="7" max="7"/>
    <col width="18.5" customWidth="1" min="8" max="8"/>
    <col width="14.357" customWidth="1" min="9" max="9"/>
    <col width="14.357" customWidth="1" min="10" max="10"/>
    <col width="17.357" customWidth="1" min="11" max="11"/>
    <col width="8.5" customWidth="1" min="12" max="12"/>
    <col width="2" customWidth="1" min="13" max="13"/>
    <col width="150" customWidth="1" min="14" max="14"/>
    <col hidden="1" width="2" customWidth="1" min="15" max="15"/>
    <col hidden="1" width="48" customWidth="1" min="16" max="16"/>
    <col hidden="1" width="10" customWidth="1" min="17" max="17"/>
    <col hidden="1" width="2" customWidth="1" min="18" max="18"/>
    <col hidden="1" width="34" customWidth="1" min="19" max="19"/>
    <col hidden="1" width="30" customWidth="1" min="20" max="20"/>
    <col hidden="1" width="6" customWidth="1" min="21" max="21"/>
    <col hidden="1" width="6" customWidth="1" min="22" max="22"/>
    <col hidden="1" width="16" customWidth="1" min="23" max="23"/>
    <col hidden="1" width="6" customWidth="1" min="24" max="24"/>
    <col hidden="1" width="6" customWidth="1" min="25" max="25"/>
    <col hidden="1" width="12" customWidth="1" min="26" max="26"/>
    <col hidden="1" width="30" customWidth="1" min="27" max="27"/>
    <col hidden="1" width="13" customWidth="1" min="28" max="28"/>
    <col hidden="1" width="13" customWidth="1" min="29" max="29"/>
    <col hidden="1" width="13" customWidth="1" min="30" max="30"/>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s>
  <sheetData>
    <row r="1" ht="14.25" customHeight="1">
      <c r="A1" s="14" t="inlineStr">
        <is>
          <t>Resumo para o Jogador</t>
        </is>
      </c>
      <c r="E1" s="14" t="inlineStr">
        <is>
          <t>Recursos (preencha os amarelos)</t>
        </is>
      </c>
      <c r="I1" s="14" t="inlineStr">
        <is>
          <t>Calculadora de dano (23.1 e 23.3)</t>
        </is>
      </c>
      <c r="N1" s="2" t="inlineStr">
        <is>
          <t>Avisos desta aba (automático; o resumo aparece na linha 13)</t>
        </is>
      </c>
      <c r="P1" s="2" t="inlineStr">
        <is>
          <t>Valores auxiliares (automático)</t>
        </is>
      </c>
      <c r="S1" s="2" t="inlineStr">
        <is>
          <t>Usos (auxiliar): nome</t>
        </is>
      </c>
      <c r="T1" s="2" t="inlineStr">
        <is>
          <t>frequência</t>
        </is>
      </c>
      <c r="U1" s="2" t="inlineStr">
        <is>
          <t>entra?</t>
        </is>
      </c>
      <c r="V1" s="2" t="inlineStr">
        <is>
          <t>ordem</t>
        </is>
      </c>
      <c r="W1" s="2" t="inlineStr">
        <is>
          <t>Perícias (auxiliar)</t>
        </is>
      </c>
      <c r="AC1" s="2" t="inlineStr">
        <is>
          <t>Usos (auxiliar): frequência por linha</t>
        </is>
      </c>
    </row>
    <row r="2" ht="14.25" customHeight="1">
      <c r="A2" s="38" t="inlineStr">
        <is>
          <t>Nome</t>
        </is>
      </c>
      <c r="B2" s="39">
        <f>IF(LEN('Criação'!$Q$6)=0,"(sem nome)",""&amp;'Criação'!$Q$6)</f>
        <v/>
      </c>
      <c r="C2" s="40" t="n"/>
      <c r="D2" s="40" t="n"/>
      <c r="E2" s="41" t="inlineStr">
        <is>
          <t>PV atual</t>
        </is>
      </c>
      <c r="F2" s="42" t="n"/>
      <c r="G2" s="39">
        <f>"de "&amp;'Criação'!$D$95&amp;IF($Q$3="Sim"," · Morrendo"," · vazio = cheio")</f>
        <v/>
      </c>
      <c r="H2" s="40" t="n"/>
      <c r="I2" s="41" t="inlineStr">
        <is>
          <t>Dano recebido</t>
        </is>
      </c>
      <c r="J2" s="42" t="n"/>
      <c r="K2" s="41" t="inlineStr">
        <is>
          <t>depois de dados e bônus</t>
        </is>
      </c>
      <c r="L2" s="40" t="n"/>
      <c r="N2" s="13">
        <f>IF(AP2&gt;0,"O Google leu como fórmula: digite de novo com ' na frente.",IF(LEN($AK$2)=0,"",IF(ISNUMBER($AK$2),IF($AK$2&gt;'Criação'!$D$95,"PV atual acima do máximo ("&amp;'Criação'!$D$95&amp;"). ","")&amp;IF($AK$2&lt;0,"PV não fica abaixo de 0 (23.4). ",""),"PV atual precisa ser um número.")))</f>
        <v/>
      </c>
      <c r="P2" s="43" t="inlineStr">
        <is>
          <t>PV atual usado (vazio = cheio)</t>
        </is>
      </c>
      <c r="Q2" s="25">
        <f>IF(ISNUMBER($AK$2),MAX(0,INT($AK$2)),'Criação'!$D$95)</f>
        <v/>
      </c>
      <c r="S2" s="25">
        <f>"Descanso Curto"</f>
        <v/>
      </c>
      <c r="T2" s="25">
        <f>"2/dia"</f>
        <v/>
      </c>
      <c r="U2" s="25">
        <f>1</f>
        <v/>
      </c>
      <c r="V2" s="25">
        <f>IF(U2=1,0+1,0)</f>
        <v/>
      </c>
      <c r="W2" s="25" t="inlineStr">
        <is>
          <t>Atletismo</t>
        </is>
      </c>
      <c r="X2" s="25">
        <f>0+IF('Criação'!$E$69="Sim",1,0)</f>
        <v/>
      </c>
      <c r="Y2" s="25">
        <f>IF('Criação'!$E$69="Sim",X2,0)</f>
        <v/>
      </c>
      <c r="Z2" s="25">
        <f>'Testes'!$I$16</f>
        <v/>
      </c>
      <c r="AA2" s="25">
        <f>IF(LEN('Testes'!$J$16)&gt;0,"Vantagem","")</f>
        <v/>
      </c>
      <c r="AB2" s="25">
        <f>IFERROR(INDEX($AA$2:$AA$19,MATCH(1,$Y$2:$Y$19,0)),"")</f>
        <v/>
      </c>
      <c r="AC2" s="25">
        <f>IFERROR(INDEX($T$2:$T$16,MATCH(1,$V$2:$V$16,0)),"")</f>
        <v/>
      </c>
      <c r="AD2" s="25">
        <f>IF($AF$37="","",IF($AF$37="Sangramento",IF(ISNUMBER($AI$37),MIN(INT('Criação'!$D$95*5/100),3*IF(ISNUMBER($AI$37),$AI$37,0))&amp;" por turno","5% PV, teto 3×Ef"),IF($AF$37="Queimadura","2d6+"&amp;IF(ISNUMBER($AI$37),IF(ISNUMBER($AI$37),$AI$37,0),"Ef"),IF(OR($AF$37="Choque",$AF$37="Aprisionamento"),"1d6+"&amp;IF(ISNUMBER($AI$37),IF(ISNUMBER($AI$37),$AI$37,0),"Ef"),IF(OR($AF$37="Cisalhamento de Vento",$AF$37="Embaraço"),"1d6 por acúmulo",IF($AF$37="Surpreso","casa pulada no 1º Ciclo","—"))))))</f>
        <v/>
      </c>
      <c r="AK2">
        <f>IF(ISERROR($F$2),"",IF(ISBLANK($F$2),"",$F$2))</f>
        <v/>
      </c>
      <c r="AO2">
        <f>IF(ISERROR($J$2),"",IF(ISBLANK($J$2),"",$J$2))</f>
        <v/>
      </c>
      <c r="AP2">
        <f>ISERROR($F$2)*1+ISERROR($J$2)*1</f>
        <v/>
      </c>
    </row>
    <row r="3" ht="14.25" customHeight="1">
      <c r="A3" s="38" t="inlineStr">
        <is>
          <t>Raça · Caminho</t>
        </is>
      </c>
      <c r="B3" s="39">
        <f>IF('Criação'!$Q$25="","Raça?",'Criação'!$Q$25)&amp;" · "&amp;IF('Criação'!$Q$33="","Caminho?",'Criação'!$Q$33)&amp;" · nível "&amp;'Criação'!$A$14</f>
        <v/>
      </c>
      <c r="C3" s="40" t="n"/>
      <c r="D3" s="40" t="n"/>
      <c r="E3" s="41" t="inlineStr">
        <is>
          <t>Temporários</t>
        </is>
      </c>
      <c r="F3" s="42" t="n"/>
      <c r="G3" s="39">
        <f>"ou Barreira · teto "&amp;'Criação'!$I$14&amp;" · não acumulam"</f>
        <v/>
      </c>
      <c r="H3" s="40" t="n"/>
      <c r="I3" s="41" t="inlineStr">
        <is>
          <t>Contínuo?</t>
        </is>
      </c>
      <c r="J3" s="42" t="n"/>
      <c r="K3" s="41" t="inlineStr">
        <is>
          <t>Contínuo ignora a RD</t>
        </is>
      </c>
      <c r="L3" s="40" t="n"/>
      <c r="N3" s="13">
        <f>IF(AP3&gt;0,"O Google leu como fórmula: escolha de novo ou digite com ' na frente.",IF(LEN($AK$3)=0,"",IF(ISNUMBER($AK$3),IF($AK$3&gt;'Criação'!$I$14,"PV temporários acima do teto ("&amp;'Criação'!$I$14&amp;", 23.3): conta o teto.",""),"PV temporários precisa ser um número.")))</f>
        <v/>
      </c>
      <c r="P3" s="43" t="inlineStr">
        <is>
          <t>Morrendo (PV 0)</t>
        </is>
      </c>
      <c r="Q3" s="25">
        <f>IF($Q$2=0,"Sim","Não")</f>
        <v/>
      </c>
      <c r="S3" s="25">
        <f>"Técnica"</f>
        <v/>
      </c>
      <c r="T3" s="25">
        <f>"2/Desc. Longo"</f>
        <v/>
      </c>
      <c r="U3" s="25">
        <f>1</f>
        <v/>
      </c>
      <c r="V3" s="25">
        <f>IF(U3=1,MAX($V$2:V2)+1,0)</f>
        <v/>
      </c>
      <c r="W3" s="25" t="inlineStr">
        <is>
          <t>Acrobacia</t>
        </is>
      </c>
      <c r="X3" s="25">
        <f>X2+IF('Criação'!$E$70="Sim",1,0)</f>
        <v/>
      </c>
      <c r="Y3" s="25">
        <f>IF('Criação'!$E$70="Sim",X3,0)</f>
        <v/>
      </c>
      <c r="Z3" s="25">
        <f>'Testes'!$I$17</f>
        <v/>
      </c>
      <c r="AA3" s="25">
        <f>IF(LEN('Testes'!$J$17)&gt;0,"Vantagem","")</f>
        <v/>
      </c>
      <c r="AB3" s="25">
        <f>IFERROR(INDEX($AA$2:$AA$19,MATCH(2,$Y$2:$Y$19,0)),"")</f>
        <v/>
      </c>
      <c r="AC3" s="25">
        <f>IFERROR(INDEX($T$2:$T$16,MATCH(2,$V$2:$V$16,0)),"")</f>
        <v/>
      </c>
      <c r="AD3" s="25">
        <f>IF($AF$38="","",IF($AF$38="Sangramento",IF(ISNUMBER($AI$38),MIN(INT('Criação'!$D$95*5/100),3*IF(ISNUMBER($AI$38),$AI$38,0))&amp;" por turno","5% PV, teto 3×Ef"),IF($AF$38="Queimadura","2d6+"&amp;IF(ISNUMBER($AI$38),IF(ISNUMBER($AI$38),$AI$38,0),"Ef"),IF(OR($AF$38="Choque",$AF$38="Aprisionamento"),"1d6+"&amp;IF(ISNUMBER($AI$38),IF(ISNUMBER($AI$38),$AI$38,0),"Ef"),IF(OR($AF$38="Cisalhamento de Vento",$AF$38="Embaraço"),"1d6 por acúmulo",IF($AF$38="Surpreso","casa pulada no 1º Ciclo","—"))))))</f>
        <v/>
      </c>
      <c r="AK3">
        <f>IF(ISERROR($F$3),"",IF(ISBLANK($F$3),"",$F$3))</f>
        <v/>
      </c>
      <c r="AO3">
        <f>IF(ISERROR($J$3),"",IF(ISBLANK($J$3),"",$J$3))</f>
        <v/>
      </c>
      <c r="AP3">
        <f>ISERROR($F$3)*1+ISERROR($J$3)*1</f>
        <v/>
      </c>
    </row>
    <row r="4" ht="14.25" customHeight="1">
      <c r="A4" s="44" t="inlineStr">
        <is>
          <t>Elemento</t>
        </is>
      </c>
      <c r="B4" s="39">
        <f>IF('Criação'!$Q$60="","—",'Criação'!$Q$60)&amp;" (Ataque Básico: "&amp;'Criação'!$D$110&amp;")"</f>
        <v/>
      </c>
      <c r="C4" s="40" t="n"/>
      <c r="D4" s="40" t="n"/>
      <c r="E4" s="41" t="inlineStr">
        <is>
          <t>Energia</t>
        </is>
      </c>
      <c r="F4" s="42" t="n"/>
      <c r="G4" s="39">
        <f>"0 a 100 · Ultimate pronta: "&amp;IF($Q$22="Sim","Sim","Não ("&amp;'Habilidades'!$G$61&amp;")")</f>
        <v/>
      </c>
      <c r="H4" s="40" t="n"/>
      <c r="I4" s="41" t="inlineStr">
        <is>
          <t>RD aplicada</t>
        </is>
      </c>
      <c r="J4" s="45">
        <f>IF($AO$3="Sim",0,'Criação'!$D$98)</f>
        <v/>
      </c>
      <c r="K4" s="40" t="n"/>
      <c r="L4" s="40" t="n"/>
      <c r="N4" s="13">
        <f>IF(AP4&gt;0,"O Google leu como fórmula: digite de novo com ' na frente.",IF(LEN($AK$4)=0,"",IF(ISNUMBER($AK$4),IF($AK$4&gt;100,"Energia acima de 100 é perdida (17.1).","")&amp;IF($AK$4&lt;0,"Energia não fica abaixo de 0.",""),"Energia precisa ser um número.")))</f>
        <v/>
      </c>
      <c r="P4" s="43" t="inlineStr">
        <is>
          <t>PV temporários usados (teto)</t>
        </is>
      </c>
      <c r="Q4" s="25">
        <f>IF(ISNUMBER($AK$3),MAX(0,MIN('Criação'!$I$14,INT($AK$3))),0)</f>
        <v/>
      </c>
      <c r="S4" s="25">
        <f>"To na sua mente"</f>
        <v/>
      </c>
      <c r="T4" s="25">
        <f>"2/dia"</f>
        <v/>
      </c>
      <c r="U4" s="25">
        <f>IF('Criação'!$Q$25="Haloviano",1,0)</f>
        <v/>
      </c>
      <c r="V4" s="25">
        <f>IF(U4=1,MAX($V$2:V3)+1,0)</f>
        <v/>
      </c>
      <c r="W4" s="25" t="inlineStr">
        <is>
          <t>Furtividade</t>
        </is>
      </c>
      <c r="X4" s="25">
        <f>X3+IF('Criação'!$E$71="Sim",1,0)</f>
        <v/>
      </c>
      <c r="Y4" s="25">
        <f>IF('Criação'!$E$71="Sim",X4,0)</f>
        <v/>
      </c>
      <c r="Z4" s="25">
        <f>'Testes'!$I$18</f>
        <v/>
      </c>
      <c r="AA4" s="25">
        <f>IF(LEN('Testes'!$J$18)&gt;0,"Vantagem","")</f>
        <v/>
      </c>
      <c r="AB4" s="25">
        <f>IFERROR(INDEX($AA$2:$AA$19,MATCH(3,$Y$2:$Y$19,0)),"")</f>
        <v/>
      </c>
      <c r="AC4" s="25">
        <f>IFERROR(INDEX($T$2:$T$16,MATCH(3,$V$2:$V$16,0)),"")</f>
        <v/>
      </c>
      <c r="AD4" s="25">
        <f>IF($AF$39="","",IF($AF$39="Sangramento",IF(ISNUMBER($AI$39),MIN(INT('Criação'!$D$95*5/100),3*IF(ISNUMBER($AI$39),$AI$39,0))&amp;" por turno","5% PV, teto 3×Ef"),IF($AF$39="Queimadura","2d6+"&amp;IF(ISNUMBER($AI$39),IF(ISNUMBER($AI$39),$AI$39,0),"Ef"),IF(OR($AF$39="Choque",$AF$39="Aprisionamento"),"1d6+"&amp;IF(ISNUMBER($AI$39),IF(ISNUMBER($AI$39),$AI$39,0),"Ef"),IF(OR($AF$39="Cisalhamento de Vento",$AF$39="Embaraço"),"1d6 por acúmulo",IF($AF$39="Surpreso","casa pulada no 1º Ciclo","—"))))))</f>
        <v/>
      </c>
      <c r="AK4">
        <f>IF(ISERROR($F$4),"",IF(ISBLANK($F$4),"",$F$4))</f>
        <v/>
      </c>
      <c r="AP4">
        <f>ISERROR($F$4)*1</f>
        <v/>
      </c>
    </row>
    <row r="5" ht="14.25" customHeight="1">
      <c r="A5" s="44" t="inlineStr">
        <is>
          <t>PV</t>
        </is>
      </c>
      <c r="B5" s="39">
        <f>$Q$2&amp;" / "&amp;'Criação'!$D$95&amp;IF($Q$4&gt;0," (+"&amp;$Q$4&amp;" temporários)","")&amp;IF($Q$3="Sim"," · Morrendo","")</f>
        <v/>
      </c>
      <c r="C5" s="40" t="n"/>
      <c r="D5" s="40" t="n"/>
      <c r="E5" s="41" t="inlineStr">
        <is>
          <t>PH do grupo</t>
        </is>
      </c>
      <c r="F5" s="42" t="n"/>
      <c r="G5" s="39">
        <f>"máx "&amp;'Criação'!$E$16&amp;" · início "&amp;'Criação'!$F$16&amp;" · +"&amp;'Criação'!$G$16&amp;" por acerto"</f>
        <v/>
      </c>
      <c r="H5" s="40" t="n"/>
      <c r="I5" s="41" t="inlineStr">
        <is>
          <t>Após a RD</t>
        </is>
      </c>
      <c r="J5" s="45">
        <f>IF(ISNUMBER($AO$2),IF($AO$2&lt;=0,0,MAX(1,$AO$2-$J$4)),0)</f>
        <v/>
      </c>
      <c r="K5" s="41" t="inlineStr">
        <is>
          <t>mínimo 1</t>
        </is>
      </c>
      <c r="L5" s="40" t="n"/>
      <c r="N5" s="13">
        <f>IF(AP5&gt;0,"O Google leu como fórmula: digite de novo com ' na frente.",IF(LEN($AK$5)=0,"",IF(ISNUMBER($AK$5),IF($AK$5&gt;'Criação'!$E$16,"PH acima do máximo do grupo ("&amp;'Criação'!$E$16&amp;", 16.2).",""),"PH precisa ser um número.")))</f>
        <v/>
      </c>
      <c r="P5" s="43" t="inlineStr">
        <is>
          <t>Energia usada (0 a 100)</t>
        </is>
      </c>
      <c r="Q5" s="25">
        <f>IF(ISNUMBER($AK$4),MAX(0,MIN(100,INT($AK$4))),0)</f>
        <v/>
      </c>
      <c r="S5" s="25">
        <f>"Efeito do Cone de Luz"</f>
        <v/>
      </c>
      <c r="T5" s="25">
        <f>IF('Equipamento'!$P$28=1,"1/combate","1/Ciclo")</f>
        <v/>
      </c>
      <c r="U5" s="25">
        <f>IF('Equipamento'!$P$28&gt;0,1,0)</f>
        <v/>
      </c>
      <c r="V5" s="25">
        <f>IF(U5=1,MAX($V$2:V4)+1,0)</f>
        <v/>
      </c>
      <c r="W5" s="25" t="inlineStr">
        <is>
          <t>Pilotagem</t>
        </is>
      </c>
      <c r="X5" s="25">
        <f>X4+IF('Criação'!$E$72="Sim",1,0)</f>
        <v/>
      </c>
      <c r="Y5" s="25">
        <f>IF('Criação'!$E$72="Sim",X5,0)</f>
        <v/>
      </c>
      <c r="Z5" s="25">
        <f>'Testes'!$I$19</f>
        <v/>
      </c>
      <c r="AA5" s="25">
        <f>IF(LEN('Testes'!$J$19)&gt;0,"Vantagem","")</f>
        <v/>
      </c>
      <c r="AB5" s="25">
        <f>IFERROR(INDEX($AA$2:$AA$19,MATCH(4,$Y$2:$Y$19,0)),"")</f>
        <v/>
      </c>
      <c r="AC5" s="25">
        <f>IFERROR(INDEX($T$2:$T$16,MATCH(4,$V$2:$V$16,0)),"")</f>
        <v/>
      </c>
      <c r="AD5" s="25">
        <f>IF($AF$40="","",IF($AF$40="Sangramento",IF(ISNUMBER($AI$40),MIN(INT('Criação'!$D$95*5/100),3*IF(ISNUMBER($AI$40),$AI$40,0))&amp;" por turno","5% PV, teto 3×Ef"),IF($AF$40="Queimadura","2d6+"&amp;IF(ISNUMBER($AI$40),IF(ISNUMBER($AI$40),$AI$40,0),"Ef"),IF(OR($AF$40="Choque",$AF$40="Aprisionamento"),"1d6+"&amp;IF(ISNUMBER($AI$40),IF(ISNUMBER($AI$40),$AI$40,0),"Ef"),IF(OR($AF$40="Cisalhamento de Vento",$AF$40="Embaraço"),"1d6 por acúmulo",IF($AF$40="Surpreso","casa pulada no 1º Ciclo","—"))))))</f>
        <v/>
      </c>
      <c r="AK5">
        <f>IF(ISERROR($F$5),"",IF(ISBLANK($F$5),"",$F$5))</f>
        <v/>
      </c>
      <c r="AP5">
        <f>ISERROR($F$5)*1</f>
        <v/>
      </c>
    </row>
    <row r="6" ht="14.25" customHeight="1">
      <c r="A6" s="44" t="inlineStr">
        <is>
          <t>Defesa · Esquiva</t>
        </is>
      </c>
      <c r="B6" s="39">
        <f>'Criação'!$D$96&amp;IF($Q$16&gt;'Criação'!$D$96," ("&amp;$Q$16&amp;" com temporários)","")&amp;" · Esquiva "&amp;IF(ISNUMBER('Criação'!$D$97),'Criação'!$D$97,"proibida")</f>
        <v/>
      </c>
      <c r="C6" s="40" t="n"/>
      <c r="D6" s="40" t="n"/>
      <c r="E6" s="41" t="inlineStr">
        <is>
          <t>Esforço</t>
        </is>
      </c>
      <c r="F6" s="42" t="n"/>
      <c r="G6" s="39">
        <f>IF('Criação'!$Q$25="Humano","máx 1 · volta no Descanso Longo","só para Humano")</f>
        <v/>
      </c>
      <c r="H6" s="40" t="n"/>
      <c r="I6" s="41" t="inlineStr">
        <is>
          <t>Absorvido</t>
        </is>
      </c>
      <c r="J6" s="45">
        <f>MIN($Q$4,$J$5)</f>
        <v/>
      </c>
      <c r="K6" s="41" t="inlineStr">
        <is>
          <t>pelos temporários</t>
        </is>
      </c>
      <c r="L6" s="40" t="n"/>
      <c r="N6" s="13">
        <f>IF(AP6&gt;0,"O Google leu como fórmula: digite de novo com ' na frente.",IF(LEN($AK$6)=0,"",IF(ISNUMBER($AK$6),IF('Criação'!$Q$25&lt;&gt;"Humano","O Esforço é traço do Humano (05). ","")&amp;IF($AK$6&gt;1,"Esforço máximo 1 (05).",""),"Esforço precisa ser um número.")))</f>
        <v/>
      </c>
      <c r="P6" s="43" t="inlineStr">
        <is>
          <t>Memoespírito ativo (só A Recordação)</t>
        </is>
      </c>
      <c r="Q6" s="25">
        <f>IF(AND($AK$7="Sim",'Criação'!$Q$33="A Recordação"),"Sim","Não")</f>
        <v/>
      </c>
      <c r="S6" s="25">
        <f>"Corda de Ligação"</f>
        <v/>
      </c>
      <c r="T6" s="25">
        <f>"1/combate"</f>
        <v/>
      </c>
      <c r="U6" s="25">
        <f>IF('Equipamento'!$G$41&gt;0,1,0)</f>
        <v/>
      </c>
      <c r="V6" s="25">
        <f>IF(U6=1,MAX($V$2:V5)+1,0)</f>
        <v/>
      </c>
      <c r="W6" s="25" t="inlineStr">
        <is>
          <t>Resistência</t>
        </is>
      </c>
      <c r="X6" s="25">
        <f>X5+IF('Criação'!$E$73="Sim",1,0)</f>
        <v/>
      </c>
      <c r="Y6" s="25">
        <f>IF('Criação'!$E$73="Sim",X6,0)</f>
        <v/>
      </c>
      <c r="Z6" s="25">
        <f>'Testes'!$I$20</f>
        <v/>
      </c>
      <c r="AA6" s="25">
        <f>IF(LEN('Testes'!$J$20)&gt;0,"Vantagem","")</f>
        <v/>
      </c>
      <c r="AB6" s="25">
        <f>IFERROR(INDEX($AA$2:$AA$19,MATCH(5,$Y$2:$Y$19,0)),"")</f>
        <v/>
      </c>
      <c r="AC6" s="25">
        <f>IFERROR(INDEX($T$2:$T$16,MATCH(5,$V$2:$V$16,0)),"")</f>
        <v/>
      </c>
      <c r="AK6">
        <f>IF(ISERROR($F$6),"",IF(ISBLANK($F$6),"",$F$6))</f>
        <v/>
      </c>
      <c r="AP6">
        <f>ISERROR($F$6)*1</f>
        <v/>
      </c>
    </row>
    <row r="7" ht="14.25" customHeight="1">
      <c r="A7" s="44" t="inlineStr">
        <is>
          <t>RD · Velocidade</t>
        </is>
      </c>
      <c r="B7" s="39">
        <f>"RD "&amp;'Criação'!$D$98&amp;" · VEL "&amp;'Criação'!$D$99</f>
        <v/>
      </c>
      <c r="C7" s="40" t="n"/>
      <c r="D7" s="40" t="n"/>
      <c r="E7" s="41" t="inlineStr">
        <is>
          <t>Memoespírito</t>
        </is>
      </c>
      <c r="F7" s="42" t="n"/>
      <c r="G7" s="39">
        <f>IF('Criação'!$Q$33="A Recordação","PV dele (máx "&amp;'Caminho'!$B$80&amp;")","só A Recordação")</f>
        <v/>
      </c>
      <c r="H7" s="42" t="n"/>
      <c r="I7" s="41" t="inlineStr">
        <is>
          <t>PV perdidos</t>
        </is>
      </c>
      <c r="J7" s="45">
        <f>$J$5-$J$6</f>
        <v/>
      </c>
      <c r="K7" s="40" t="n"/>
      <c r="L7" s="40" t="n"/>
      <c r="N7" s="13">
        <f>IF(AP7&gt;0,"O Google leu como fórmula: escolha de novo ou digite com ' na frente.",IF(AND(OR($AK$7="Sim",LEN($AM$7)&gt;0),'Criação'!$Q$33&lt;&gt;"A Recordação"),"Memoespírito só na Recordação: não conta. ","")&amp;IF(LEN($AM$7)=0,"",IF(ISNUMBER($AM$7),IF(AND('Criação'!$Q$33="A Recordação",$AM$7&gt;'Caminho'!$B$80),"PV do Memoespírito acima do máximo ("&amp;'Caminho'!$B$80&amp;"). ",""),"PV do Memoespírito precisa ser um número.")))</f>
        <v/>
      </c>
      <c r="P7" s="43" t="inlineStr">
        <is>
          <t>Fúria (Sacrifício Desesperado, máx. 2)</t>
        </is>
      </c>
      <c r="Q7" s="25">
        <f>IF($G$8="Fúria",MIN(2,IF(ISNUMBER($AK$8),MAX(0,INT($AK$8)),0)),0)</f>
        <v/>
      </c>
      <c r="S7" s="25">
        <f>""&amp;'Caminho'!$I$27</f>
        <v/>
      </c>
      <c r="T7" s="25">
        <f>IF('Caminho'!$H$27="Uma vez por turno","1/turno",IF('Caminho'!$H$27="Uma vez por Ciclo","1/Ciclo",IF('Caminho'!$H$27="Uma vez por combate por alvo","1/combate/alvo",IF('Caminho'!$H$27="Uma vez por combate","1/combate",IF('Caminho'!$H$27="Uma vez por Descanso Longo","1/Desc. Longo",IF('Caminho'!$H$27="Uma vez por sessão","1/sessão",IF('Caminho'!$H$27="Duas vezes por dia","2/dia",""&amp;'Caminho'!$H$27)))))))</f>
        <v/>
      </c>
      <c r="U7" s="25">
        <f>IF(AND(LEN('Caminho'!$I$27)&gt;0,LEN('Caminho'!$H$27)&gt;0,'Caminho'!$H$27&lt;&gt;"Sem limite declarado"),1,0)</f>
        <v/>
      </c>
      <c r="V7" s="25">
        <f>IF(U7=1,MAX($V$2:V6)+1,0)</f>
        <v/>
      </c>
      <c r="W7" s="25" t="inlineStr">
        <is>
          <t>Tecnologia</t>
        </is>
      </c>
      <c r="X7" s="25">
        <f>X6+IF('Criação'!$E$75="Sim",1,0)</f>
        <v/>
      </c>
      <c r="Y7" s="25">
        <f>IF('Criação'!$E$75="Sim",X7,0)</f>
        <v/>
      </c>
      <c r="Z7" s="25">
        <f>'Testes'!$I$22</f>
        <v/>
      </c>
      <c r="AA7" s="25">
        <f>IF(LEN('Testes'!$J$22)&gt;0,"Vantagem","")</f>
        <v/>
      </c>
      <c r="AB7" s="25">
        <f>IFERROR(INDEX($AA$2:$AA$19,MATCH(6,$Y$2:$Y$19,0)),"")</f>
        <v/>
      </c>
      <c r="AC7" s="25">
        <f>IFERROR(INDEX($T$2:$T$16,MATCH(6,$V$2:$V$16,0)),"")</f>
        <v/>
      </c>
      <c r="AK7">
        <f>IF(ISERROR($F$7),"",IF(ISBLANK($F$7),"",$F$7))</f>
        <v/>
      </c>
      <c r="AM7">
        <f>IF(ISERROR($H$7),"",IF(ISBLANK($H$7),"",$H$7))</f>
        <v/>
      </c>
      <c r="AP7">
        <f>ISERROR($F$7)*1+ISERROR($H$7)*1</f>
        <v/>
      </c>
    </row>
    <row r="8" ht="14.25" customHeight="1">
      <c r="A8" s="44" t="inlineStr">
        <is>
          <t>DT das Habilidades</t>
        </is>
      </c>
      <c r="B8" s="39">
        <f>'Criação'!$B$56&amp;" · ataque de Habilidade "&amp;'Criação'!$C$57</f>
        <v/>
      </c>
      <c r="C8" s="40" t="n"/>
      <c r="D8" s="40" t="n"/>
      <c r="E8" s="41" t="inlineStr">
        <is>
          <t>Acúmulos</t>
        </is>
      </c>
      <c r="F8" s="42" t="n"/>
      <c r="G8" s="39">
        <f>IF((COUNTIF('Caminho'!$I$27:$I$36,"Sacrifício Desesperado")&gt;0),"Fúria",IF((COUNTIF('Caminho'!$I$27:$I$36,"Florescimento da Alma")&gt;0),"Florescimento",IF((COUNTIF('Caminho'!$I$27:$I$36,"Memória Devastadora")&gt;0),"Fragmentos de Memória",IF('Criação'!$Q$33="A Erudição","Acúmulos de Cálculo","—"))))</f>
        <v/>
      </c>
      <c r="H8" s="39">
        <f>IF($G$8="—","sem acúmulo","máx "&amp;IF($G$8="Fúria",2,IF($G$8="Acúmulos de Cálculo",IF((COUNTIF('Caminho'!$I$27:$I$36,"Teto Rompido")&gt;0),7,5),IF($G$8="—",0,5))))</f>
        <v/>
      </c>
      <c r="I8" s="41" t="inlineStr">
        <is>
          <t>PV novo</t>
        </is>
      </c>
      <c r="J8" s="45">
        <f>MAX(0,$Q$2-$J$7)</f>
        <v/>
      </c>
      <c r="K8" s="39">
        <f>"PV novo: "&amp;$J$8&amp;" · temp. "&amp;($Q$4-$J$6)</f>
        <v/>
      </c>
      <c r="L8" s="40" t="n"/>
      <c r="N8" s="13">
        <f>IF(AP8&gt;0,"O Google leu como fórmula: digite de novo com ' na frente.",IF(LEN($AK$8)=0,"",IF(ISNUMBER($AK$8),IF($G$8="—","Nenhuma Bênção sua tem acúmulo neste campo.",IF($AK$8&gt;IF($G$8="Fúria",2,IF($G$8="Acúmulos de Cálculo",IF((COUNTIF('Caminho'!$I$27:$I$36,"Teto Rompido")&gt;0),7,5),IF($G$8="—",0,5))),"Máximo "&amp;IF($G$8="Fúria",2,IF($G$8="Acúmulos de Cálculo",IF((COUNTIF('Caminho'!$I$27:$I$36,"Teto Rompido")&gt;0),7,5),IF($G$8="—",0,5)))&amp;" acúmulos de "&amp;$G$8&amp;".","")),"Acúmulos precisa ser um número.")))</f>
        <v/>
      </c>
      <c r="P8" s="43" t="inlineStr">
        <is>
          <t>Florescimento (máx. 5)</t>
        </is>
      </c>
      <c r="Q8" s="25">
        <f>IF($G$8="Florescimento",MIN(5,IF(ISNUMBER($AK$8),MAX(0,INT($AK$8)),0)),0)</f>
        <v/>
      </c>
      <c r="S8" s="25">
        <f>""&amp;'Caminho'!$I$28</f>
        <v/>
      </c>
      <c r="T8" s="25">
        <f>IF('Caminho'!$H$28="Uma vez por turno","1/turno",IF('Caminho'!$H$28="Uma vez por Ciclo","1/Ciclo",IF('Caminho'!$H$28="Uma vez por combate por alvo","1/combate/alvo",IF('Caminho'!$H$28="Uma vez por combate","1/combate",IF('Caminho'!$H$28="Uma vez por Descanso Longo","1/Desc. Longo",IF('Caminho'!$H$28="Uma vez por sessão","1/sessão",IF('Caminho'!$H$28="Duas vezes por dia","2/dia",""&amp;'Caminho'!$H$28)))))))</f>
        <v/>
      </c>
      <c r="U8" s="25">
        <f>IF(AND(LEN('Caminho'!$I$28)&gt;0,LEN('Caminho'!$H$28)&gt;0,'Caminho'!$H$28&lt;&gt;"Sem limite declarado"),1,0)</f>
        <v/>
      </c>
      <c r="V8" s="25">
        <f>IF(U8=1,MAX($V$2:V7)+1,0)</f>
        <v/>
      </c>
      <c r="W8" s="25" t="inlineStr">
        <is>
          <t>Pesquisa</t>
        </is>
      </c>
      <c r="X8" s="25">
        <f>X7+IF('Criação'!$E$76="Sim",1,0)</f>
        <v/>
      </c>
      <c r="Y8" s="25">
        <f>IF('Criação'!$E$76="Sim",X8,0)</f>
        <v/>
      </c>
      <c r="Z8" s="25">
        <f>'Testes'!$I$23</f>
        <v/>
      </c>
      <c r="AA8" s="25">
        <f>IF(LEN('Testes'!$J$23)&gt;0,"Vantagem","")</f>
        <v/>
      </c>
      <c r="AB8" s="25">
        <f>IFERROR(INDEX($AA$2:$AA$19,MATCH(7,$Y$2:$Y$19,0)),"")</f>
        <v/>
      </c>
      <c r="AC8" s="25">
        <f>IFERROR(INDEX($T$2:$T$16,MATCH(7,$V$2:$V$16,0)),"")</f>
        <v/>
      </c>
      <c r="AK8">
        <f>IF(ISERROR($F$8),"",IF(ISBLANK($F$8),"",$F$8))</f>
        <v/>
      </c>
      <c r="AP8">
        <f>ISERROR($F$8)*1</f>
        <v/>
      </c>
    </row>
    <row r="9" ht="14.25" customHeight="1">
      <c r="A9" s="44" t="inlineStr">
        <is>
          <t>Melhor ataque</t>
        </is>
      </c>
      <c r="B9" s="39">
        <f>IF('Criação'!$Q$108="","Habilidades "&amp;'Criação'!$C$57,"Ataque Básico "&amp;'Equipamento'!$B$13&amp;" · "&amp;'Equipamento'!$C$13&amp;" (média "&amp;'Equipamento'!$D$13&amp;")")</f>
        <v/>
      </c>
      <c r="C9" s="40" t="n"/>
      <c r="D9" s="40" t="n"/>
      <c r="E9" s="41" t="inlineStr">
        <is>
          <t>Marcas</t>
        </is>
      </c>
      <c r="F9" s="42" t="n"/>
      <c r="G9" s="39">
        <f>IF((COUNTIF('Caminho'!$I$27:$I$36,"Cicatriz da Destruição")&gt;0),"Marcas da Ruína","—")</f>
        <v/>
      </c>
      <c r="H9" s="39">
        <f>IF($G$9="—","sem acúmulo","máx 5")</f>
        <v/>
      </c>
      <c r="I9" s="39">
        <f>IF($J$5=0,"Preencha o dano para ver o resultado",IF($Q$3="Sim","Já Morrendo: 1 falha (2 se crítico ou Nível 5+)",IF($J$8=0,"Cai a 0 PV: fica Morrendo (23.4)","Continua de pé")))</f>
        <v/>
      </c>
      <c r="J9" s="40" t="n"/>
      <c r="K9" s="40" t="n"/>
      <c r="L9" s="40" t="n"/>
      <c r="N9" s="13">
        <f>IF(AP9&gt;0,"O Google leu como fórmula: digite de novo com ' na frente.",IF(LEN($AK$9)=0,"",IF(ISNUMBER($AK$9),IF($G$9="—","Nenhuma Bênção sua tem acúmulo neste campo.",IF($AK$9&gt;5,"Máximo 5 Marcas da Ruína.","")),"Acúmulos precisa ser um número.")))</f>
        <v/>
      </c>
      <c r="P9" s="43" t="inlineStr">
        <is>
          <t>Fragmentos de Memória (máx. 5)</t>
        </is>
      </c>
      <c r="Q9" s="25">
        <f>IF($G$8="Fragmentos de Memória",MIN(5,IF(ISNUMBER($AK$8),MAX(0,INT($AK$8)),0)),0)</f>
        <v/>
      </c>
      <c r="S9" s="25">
        <f>""&amp;'Caminho'!$I$29</f>
        <v/>
      </c>
      <c r="T9" s="25">
        <f>IF('Caminho'!$H$29="Uma vez por turno","1/turno",IF('Caminho'!$H$29="Uma vez por Ciclo","1/Ciclo",IF('Caminho'!$H$29="Uma vez por combate por alvo","1/combate/alvo",IF('Caminho'!$H$29="Uma vez por combate","1/combate",IF('Caminho'!$H$29="Uma vez por Descanso Longo","1/Desc. Longo",IF('Caminho'!$H$29="Uma vez por sessão","1/sessão",IF('Caminho'!$H$29="Duas vezes por dia","2/dia",""&amp;'Caminho'!$H$29)))))))</f>
        <v/>
      </c>
      <c r="U9" s="25">
        <f>IF(AND(LEN('Caminho'!$I$29)&gt;0,LEN('Caminho'!$H$29)&gt;0,'Caminho'!$H$29&lt;&gt;"Sem limite declarado"),1,0)</f>
        <v/>
      </c>
      <c r="V9" s="25">
        <f>IF(U9=1,MAX($V$2:V8)+1,0)</f>
        <v/>
      </c>
      <c r="W9" s="25" t="inlineStr">
        <is>
          <t>Ciência</t>
        </is>
      </c>
      <c r="X9" s="25">
        <f>X8+IF('Criação'!$E$77="Sim",1,0)</f>
        <v/>
      </c>
      <c r="Y9" s="25">
        <f>IF('Criação'!$E$77="Sim",X9,0)</f>
        <v/>
      </c>
      <c r="Z9" s="25">
        <f>'Testes'!$I$24</f>
        <v/>
      </c>
      <c r="AA9" s="25">
        <f>IF(LEN('Testes'!$J$24)&gt;0,"Vantagem","")</f>
        <v/>
      </c>
      <c r="AB9" s="25">
        <f>IFERROR(INDEX($AA$2:$AA$19,MATCH(8,$Y$2:$Y$19,0)),"")</f>
        <v/>
      </c>
      <c r="AC9" s="25">
        <f>IFERROR(INDEX($T$2:$T$16,MATCH(8,$V$2:$V$16,0)),"")</f>
        <v/>
      </c>
      <c r="AK9">
        <f>IF(ISERROR($F$9),"",IF(ISBLANK($F$9),"",$F$9))</f>
        <v/>
      </c>
      <c r="AP9">
        <f>ISERROR($F$9)*1</f>
        <v/>
      </c>
    </row>
    <row r="10" ht="14.25" customHeight="1">
      <c r="A10" s="44" t="inlineStr">
        <is>
          <t>Vantagens raciais</t>
        </is>
      </c>
      <c r="B10" s="39">
        <f>IF('Criação'!$Q$25="Humano","Esforço (máximo 1 ponto)",IF('Criação'!$Q$25="Intellitron","Tecnologia, Mecânica, descobrir Fraqueza",IF('Criação'!$Q$25="Avginiano","Resistência e Percepção Mental, Força de Vontade",IF('Criação'!$Q$25="Vulpes","Perícias de Presença e Força de Vontade",IF('Criação'!$Q$25="Vidyadhara","Resistência Física contra água, frio e afogamento",IF('Criação'!$Q$25="Xianzhouíta","todo Teste de Resistência, inclusive Morrendo","—"))))))</f>
        <v/>
      </c>
      <c r="C10" s="40" t="n"/>
      <c r="D10" s="40" t="n"/>
      <c r="E10" s="39">
        <f>IF('Criação'!$Q$33="","Recurso do Caminho: escolha o Caminho",IF('Criação'!$Q$33="A Destruição","PV como moeda: "&amp;(2*'Criação'!$A$14)&amp;" PV por ativação",IF('Criação'!$Q$33="A Preservação","Barreira: teto "&amp;$Q$17,IF('Criação'!$Q$33="A Erudição","Acúmulos de Cálculo: máx "&amp;IF((COUNTIF('Caminho'!$I$27:$I$36,"Teto Rompido")&gt;0),7,5),IF('Criação'!$Q$33="A Caça","Marcação de Presa: 1 alvo · crítico "&amp;IF((COUNTIF('Caminho'!$I$27:$I$36,"Olho de Lan")&gt;0),"19-20","20"),IF('Criação'!$Q$33="A Euforia","Tabela do Riso: 1d6 (aba Caminho)",IF('Criação'!$Q$33="A Recordação","Memoespírito: ficha na aba Caminho",IF('Criação'!$Q$33="A Inexistência","Recurso: acúmulos de Marca do Vazio e Corrupção",IF('Criação'!$Q$33="A Harmonia","Recurso: acúmulos de Eco da Vitória (máx 3)",IF('Criação'!$Q$33="A Abundância","Recurso: acúmulos de Florescimento (máx 5)","Recurso do Caminho: escolha um Caminho da lista"))))))))))</f>
        <v/>
      </c>
      <c r="F10" s="40" t="n"/>
      <c r="G10" s="40" t="n"/>
      <c r="H10" s="40" t="n"/>
      <c r="I10" s="41" t="inlineStr">
        <is>
          <t>Cura recebida</t>
        </is>
      </c>
      <c r="J10" s="42" t="n"/>
      <c r="K10" s="39">
        <f>"PV depois: "&amp;IF(ISNUMBER($AO$10),MIN('Criação'!$D$95,$Q$2+MAX(0,$AO$10)),$Q$2)</f>
        <v/>
      </c>
      <c r="L10" s="40" t="n"/>
      <c r="N10" s="13">
        <f>IF(AP10&gt;0,"O Google leu como fórmula: digite de novo com ' na frente.",IF(LEN($AO$2)=0,"",IF(ISNUMBER($AO$2),IF($AO$2&lt;0,"Dano não é negativo: use a cura.",""),"Dano recebido precisa ser um número.")))</f>
        <v/>
      </c>
      <c r="P10" s="43" t="inlineStr">
        <is>
          <t>Acúmulos de Cálculo (máx. 5 ou 7)</t>
        </is>
      </c>
      <c r="Q10" s="25">
        <f>IF($G$8="Acúmulos de Cálculo",MIN(IF((COUNTIF('Caminho'!$I$27:$I$36,"Teto Rompido")&gt;0),7,5),IF(ISNUMBER($AK$8),MAX(0,INT($AK$8)),0)),0)</f>
        <v/>
      </c>
      <c r="S10" s="25">
        <f>""&amp;'Caminho'!$I$30</f>
        <v/>
      </c>
      <c r="T10" s="25">
        <f>IF('Caminho'!$H$30="Uma vez por turno","1/turno",IF('Caminho'!$H$30="Uma vez por Ciclo","1/Ciclo",IF('Caminho'!$H$30="Uma vez por combate por alvo","1/combate/alvo",IF('Caminho'!$H$30="Uma vez por combate","1/combate",IF('Caminho'!$H$30="Uma vez por Descanso Longo","1/Desc. Longo",IF('Caminho'!$H$30="Uma vez por sessão","1/sessão",IF('Caminho'!$H$30="Duas vezes por dia","2/dia",""&amp;'Caminho'!$H$30)))))))</f>
        <v/>
      </c>
      <c r="U10" s="25">
        <f>IF(AND(LEN('Caminho'!$I$30)&gt;0,LEN('Caminho'!$H$30)&gt;0,'Caminho'!$H$30&lt;&gt;"Sem limite declarado"),1,0)</f>
        <v/>
      </c>
      <c r="V10" s="25">
        <f>IF(U10=1,MAX($V$2:V9)+1,0)</f>
        <v/>
      </c>
      <c r="W10" s="25" t="inlineStr">
        <is>
          <t>Mecânica</t>
        </is>
      </c>
      <c r="X10" s="25">
        <f>X9+IF('Criação'!$E$78="Sim",1,0)</f>
        <v/>
      </c>
      <c r="Y10" s="25">
        <f>IF('Criação'!$E$78="Sim",X10,0)</f>
        <v/>
      </c>
      <c r="Z10" s="25">
        <f>'Testes'!$I$25</f>
        <v/>
      </c>
      <c r="AA10" s="25">
        <f>IF(LEN('Testes'!$J$25)&gt;0,"Vantagem","")</f>
        <v/>
      </c>
      <c r="AB10" s="25">
        <f>IFERROR(INDEX($AA$2:$AA$19,MATCH(9,$Y$2:$Y$19,0)),"")</f>
        <v/>
      </c>
      <c r="AO10">
        <f>IF(ISERROR($J$10),"",IF(ISBLANK($J$10),"",$J$10))</f>
        <v/>
      </c>
      <c r="AP10">
        <f>ISERROR($J$10)*1</f>
        <v/>
      </c>
    </row>
    <row r="11" ht="14.25" customHeight="1">
      <c r="A11" s="44" t="inlineStr">
        <is>
          <t>Condições ativas</t>
        </is>
      </c>
      <c r="B11" s="39">
        <f>IF($Q$24=0,"Nenhuma",$Q$25&amp;IF($Q$24&gt;1," + "&amp;($Q$24-1)&amp;" (linhas 37-40)",""))</f>
        <v/>
      </c>
      <c r="C11" s="40" t="n"/>
      <c r="D11" s="40" t="n"/>
      <c r="E11" s="39">
        <f>"Energia de equipamento: "&amp;IF('Equipamento'!$G$41&gt;0,"Corda +"&amp;'Equipamento'!$G$41&amp;" ao entrar na Fila","sem Corda")&amp;IF('Equipamento'!$P$28&gt;=3," · Cone +5 por Ciclo","")</f>
        <v/>
      </c>
      <c r="F11" s="40" t="n"/>
      <c r="G11" s="40" t="n"/>
      <c r="H11" s="40" t="n"/>
      <c r="I11" s="41" t="inlineStr">
        <is>
          <t>Descanso Curto</t>
        </is>
      </c>
      <c r="J11" s="45">
        <f>2*'Criação'!$A$14+'Criação'!$F$46</f>
        <v/>
      </c>
      <c r="K11" s="39">
        <f>"PV depois: "&amp;MIN('Criação'!$D$95,$Q$2+$J$11)</f>
        <v/>
      </c>
      <c r="L11" s="40" t="n"/>
      <c r="N11" s="13">
        <f>IF(AND(LEN($AO$10)&gt;0,NOT(ISNUMBER($AO$10))),"Cura precisa ser um número.","")</f>
        <v/>
      </c>
      <c r="P11" s="43" t="inlineStr">
        <is>
          <t>Marcas da Ruína (máx. 5)</t>
        </is>
      </c>
      <c r="Q11" s="25">
        <f>IF($G$9="Marcas da Ruína",MIN(5,IF(ISNUMBER($AK$9),MAX(0,INT($AK$9)),0)),0)</f>
        <v/>
      </c>
      <c r="S11" s="25">
        <f>""&amp;'Caminho'!$I$31</f>
        <v/>
      </c>
      <c r="T11" s="25">
        <f>IF('Caminho'!$H$31="Uma vez por turno","1/turno",IF('Caminho'!$H$31="Uma vez por Ciclo","1/Ciclo",IF('Caminho'!$H$31="Uma vez por combate por alvo","1/combate/alvo",IF('Caminho'!$H$31="Uma vez por combate","1/combate",IF('Caminho'!$H$31="Uma vez por Descanso Longo","1/Desc. Longo",IF('Caminho'!$H$31="Uma vez por sessão","1/sessão",IF('Caminho'!$H$31="Duas vezes por dia","2/dia",""&amp;'Caminho'!$H$31)))))))</f>
        <v/>
      </c>
      <c r="U11" s="25">
        <f>IF(AND(LEN('Caminho'!$I$31)&gt;0,LEN('Caminho'!$H$31)&gt;0,'Caminho'!$H$31&lt;&gt;"Sem limite declarado"),1,0)</f>
        <v/>
      </c>
      <c r="V11" s="25">
        <f>IF(U11=1,MAX($V$2:V10)+1,0)</f>
        <v/>
      </c>
      <c r="W11" s="25" t="inlineStr">
        <is>
          <t>Percepção</t>
        </is>
      </c>
      <c r="X11" s="25">
        <f>X10+IF('Criação'!$E$79="Sim",1,0)</f>
        <v/>
      </c>
      <c r="Y11" s="25">
        <f>IF('Criação'!$E$79="Sim",X11,0)</f>
        <v/>
      </c>
      <c r="Z11" s="25">
        <f>'Testes'!$I$26</f>
        <v/>
      </c>
      <c r="AA11" s="25">
        <f>IF(LEN('Testes'!$J$26)&gt;0,"Vantagem","")</f>
        <v/>
      </c>
      <c r="AB11" s="25">
        <f>IFERROR(INDEX($AA$2:$AA$19,MATCH(10,$Y$2:$Y$19,0)),"")</f>
        <v/>
      </c>
    </row>
    <row r="12" ht="14.25" customHeight="1">
      <c r="A12" s="44" t="inlineStr">
        <is>
          <t>Pode ser Executado?</t>
        </is>
      </c>
      <c r="B12" s="39">
        <f>IF('Criação'!$Q$25="Xianzhouíta","Não (Xianzhouíta, 23.5)",IF($Q$3="Sim","Sim: está Morrendo (23.5)","Só se estiver Morrendo (23.5)"))</f>
        <v/>
      </c>
      <c r="C12" s="40" t="n"/>
      <c r="D12" s="40" t="n"/>
      <c r="E12" s="39">
        <f>IF('Equipamento'!$B$58="Não consegue se mover","Movimento: não se move (carga)",IF($Q$20=1,"Movimento: Lentidão, só Esforço Total move 1 passo","Movimento: 1 Distância por ação · Esforço Total: 2"))</f>
        <v/>
      </c>
      <c r="F12" s="40" t="n"/>
      <c r="G12" s="40" t="n"/>
      <c r="H12" s="40" t="n"/>
      <c r="I12" s="39">
        <f>"Descanso Longo: PV cheios, sem condições, Esforço de volta"</f>
        <v/>
      </c>
      <c r="J12" s="40" t="n"/>
      <c r="K12" s="40" t="n"/>
      <c r="L12" s="40" t="n"/>
      <c r="N12" s="13">
        <f>IF(OR(AND(LEN($AI$33)&gt;0,NOT(ISNUMBER($AI$33))),AND(LEN($AK$33)&gt;0,NOT(ISNUMBER($AK$33)))),"Sucessos e falhas precisam ser números de 0 a 3. ",IF(OR(IF(ISNUMBER($AI$33),$AI$33,0)&gt;3,IF(ISNUMBER($AK$33),$AK$33,0)&gt;3),"Sucessos e falhas vão de 0 a 3. ",""))&amp;IF(AND($Q$3="Não",IF(ISNUMBER($AI$33),$AI$33,0)+IF(ISNUMBER($AK$33),$AK$33,0)&gt;0),"Contador de Morrendo preenchido com PV acima de 0: a cura zera o contador (23.4).","")</f>
        <v/>
      </c>
      <c r="P12" s="43" t="inlineStr">
        <is>
          <t>Instinto de Sobrevivência ligado (PV ≤ 1/3)</t>
        </is>
      </c>
      <c r="Q12" s="25">
        <f>IF(AND((COUNTIF('Caminho'!$I$27:$I$36,"Instinto de Sobrevivência")&gt;0),ISNUMBER($AK$2),$Q$2*3&lt;='Criação'!$D$95),1,0)</f>
        <v/>
      </c>
      <c r="S12" s="25">
        <f>""&amp;'Caminho'!$I$32</f>
        <v/>
      </c>
      <c r="T12" s="25">
        <f>IF('Caminho'!$H$32="Uma vez por turno","1/turno",IF('Caminho'!$H$32="Uma vez por Ciclo","1/Ciclo",IF('Caminho'!$H$32="Uma vez por combate por alvo","1/combate/alvo",IF('Caminho'!$H$32="Uma vez por combate","1/combate",IF('Caminho'!$H$32="Uma vez por Descanso Longo","1/Desc. Longo",IF('Caminho'!$H$32="Uma vez por sessão","1/sessão",IF('Caminho'!$H$32="Duas vezes por dia","2/dia",""&amp;'Caminho'!$H$32)))))))</f>
        <v/>
      </c>
      <c r="U12" s="25">
        <f>IF(AND(LEN('Caminho'!$I$32)&gt;0,LEN('Caminho'!$H$32)&gt;0,'Caminho'!$H$32&lt;&gt;"Sem limite declarado"),1,0)</f>
        <v/>
      </c>
      <c r="V12" s="25">
        <f>IF(U12=1,MAX($V$2:V11)+1,0)</f>
        <v/>
      </c>
      <c r="W12" s="25" t="inlineStr">
        <is>
          <t>Sobrevivência</t>
        </is>
      </c>
      <c r="X12" s="25">
        <f>X11+IF('Criação'!$E$80="Sim",1,0)</f>
        <v/>
      </c>
      <c r="Y12" s="25">
        <f>IF('Criação'!$E$80="Sim",X12,0)</f>
        <v/>
      </c>
      <c r="Z12" s="25">
        <f>'Testes'!$I$27</f>
        <v/>
      </c>
      <c r="AA12" s="25">
        <f>IF(LEN('Testes'!$J$27)&gt;0,"Vantagem","")</f>
        <v/>
      </c>
    </row>
    <row r="13" ht="14.25" customHeight="1">
      <c r="A13" s="46">
        <f>IF((IF(LEN(N2)&gt;0,1,0)+IF(LEN(N3)&gt;0,1,0)+IF(LEN(N4)&gt;0,1,0)+IF(LEN(N5)&gt;0,1,0)+IF(LEN(N6)&gt;0,1,0)+IF(LEN(N7)&gt;0,1,0)+IF(LEN(N8)&gt;0,1,0)+IF(LEN(N9)&gt;0,1,0)+IF(LEN(N10)&gt;0,1,0)+IF(LEN(N11)&gt;0,1,0)+IF(LEN(N12)&gt;0,1,0)+IF(LEN(N13)&gt;0,1,0)+IF(LEN(N14)&gt;0,1,0)+IF(LEN(N15)&gt;0,1,0)+IF(LEN(N16)&gt;0,1,0)+IF(LEN(N17)&gt;0,1,0)+IF(LEN(N18)&gt;0,1,0)+IF(LEN(N19)&gt;0,1,0)+IF(LEN(N20)&gt;0,1,0)+IF(LEN(N33)&gt;0,1,0)+IF(LEN(N34)&gt;0,1,0)+IF(LEN(N35)&gt;0,1,0)+IF(LEN(N36)&gt;0,1,0)+IF(LEN(N37)&gt;0,1,0)+IF(LEN(N38)&gt;0,1,0)+IF(LEN(N39)&gt;0,1,0)+IF(LEN(N40)&gt;0,1,0))=0,"","Avisos ("&amp;(IF(LEN(N2)&gt;0,1,0)+IF(LEN(N3)&gt;0,1,0)+IF(LEN(N4)&gt;0,1,0)+IF(LEN(N5)&gt;0,1,0)+IF(LEN(N6)&gt;0,1,0)+IF(LEN(N7)&gt;0,1,0)+IF(LEN(N8)&gt;0,1,0)+IF(LEN(N9)&gt;0,1,0)+IF(LEN(N10)&gt;0,1,0)+IF(LEN(N11)&gt;0,1,0)+IF(LEN(N12)&gt;0,1,0)+IF(LEN(N13)&gt;0,1,0)+IF(LEN(N14)&gt;0,1,0)+IF(LEN(N15)&gt;0,1,0)+IF(LEN(N16)&gt;0,1,0)+IF(LEN(N17)&gt;0,1,0)+IF(LEN(N18)&gt;0,1,0)+IF(LEN(N19)&gt;0,1,0)+IF(LEN(N20)&gt;0,1,0)+IF(LEN(N33)&gt;0,1,0)+IF(LEN(N34)&gt;0,1,0)+IF(LEN(N35)&gt;0,1,0)+IF(LEN(N36)&gt;0,1,0)+IF(LEN(N37)&gt;0,1,0)+IF(LEN(N38)&gt;0,1,0)+IF(LEN(N39)&gt;0,1,0)+IF(LEN(N40)&gt;0,1,0))&amp;"): "&amp;IF(LEN(N2)&gt;0,N2,IF(LEN(N3)&gt;0,N3,IF(LEN(N4)&gt;0,N4,IF(LEN(N5)&gt;0,N5,IF(LEN(N6)&gt;0,N6,IF(LEN(N7)&gt;0,N7,IF(LEN(N8)&gt;0,N8,IF(LEN(N9)&gt;0,N9,IF(LEN(N10)&gt;0,N10,IF(LEN(N11)&gt;0,N11,IF(LEN(N12)&gt;0,N12,IF(LEN(N13)&gt;0,N13,IF(LEN(N14)&gt;0,N14,IF(LEN(N15)&gt;0,N15,IF(LEN(N16)&gt;0,N16,IF(LEN(N17)&gt;0,N17,IF(LEN(N18)&gt;0,N18,IF(LEN(N19)&gt;0,N19,IF(LEN(N20)&gt;0,N20,IF(LEN(N33)&gt;0,N33,IF(LEN(N34)&gt;0,N34,IF(LEN(N35)&gt;0,N35,IF(LEN(N36)&gt;0,N36,IF(LEN(N37)&gt;0,N37,IF(LEN(N38)&gt;0,N38,IF(LEN(N39)&gt;0,N39,IF(LEN(N40)&gt;0,N40,"")))))))))))))))))))))))))))&amp;IF((IF(LEN(N2)&gt;0,1,0)+IF(LEN(N3)&gt;0,1,0)+IF(LEN(N4)&gt;0,1,0)+IF(LEN(N5)&gt;0,1,0)+IF(LEN(N6)&gt;0,1,0)+IF(LEN(N7)&gt;0,1,0)+IF(LEN(N8)&gt;0,1,0)+IF(LEN(N9)&gt;0,1,0)+IF(LEN(N10)&gt;0,1,0)+IF(LEN(N11)&gt;0,1,0)+IF(LEN(N12)&gt;0,1,0)+IF(LEN(N13)&gt;0,1,0)+IF(LEN(N14)&gt;0,1,0)+IF(LEN(N15)&gt;0,1,0)+IF(LEN(N16)&gt;0,1,0)+IF(LEN(N17)&gt;0,1,0)+IF(LEN(N18)&gt;0,1,0)+IF(LEN(N19)&gt;0,1,0)+IF(LEN(N20)&gt;0,1,0)+IF(LEN(N33)&gt;0,1,0)+IF(LEN(N34)&gt;0,1,0)+IF(LEN(N35)&gt;0,1,0)+IF(LEN(N36)&gt;0,1,0)+IF(LEN(N37)&gt;0,1,0)+IF(LEN(N38)&gt;0,1,0)+IF(LEN(N39)&gt;0,1,0)+IF(LEN(N40)&gt;0,1,0))&gt;1," · os outros estão na coluna N",""))</f>
        <v/>
      </c>
      <c r="B13" s="40" t="n"/>
      <c r="C13" s="40" t="n"/>
      <c r="D13" s="40" t="n"/>
      <c r="E13" s="40" t="n"/>
      <c r="F13" s="40" t="n"/>
      <c r="G13" s="40" t="n"/>
      <c r="H13" s="40" t="n"/>
      <c r="I13" s="40" t="n"/>
      <c r="J13" s="40" t="n"/>
      <c r="K13" s="40" t="n"/>
      <c r="L13" s="40" t="n"/>
      <c r="N13" s="13">
        <f>IF($AF$37="","",IF($AF$37="Quebrado","Quebrado é só de inimigos (20.3).",IF($AF$37="Morrendo","Morrendo liga sozinho com PV 0.",IF(COUNTIF('Dados'!$Y$6:$Y$18,$AF$37)=0,"Condição fora da lista de 21.5.",""))))</f>
        <v/>
      </c>
      <c r="P13" s="43" t="inlineStr">
        <is>
          <t>Bônus temporário no Teste de Ataque (antes do teto)</t>
        </is>
      </c>
      <c r="Q13" s="25">
        <f>2*$Q$12+IF(AND(($Q$6="Sim"),'Caminho'!$P$57="Catalisador"),1,0)+IF(AND(($Q$6="Sim"),COUNTIF('Caminho'!$Q$75:$Q$77,"Fusão de Memórias")&gt;0),1,0)+IF(AND(($Q$6="Sim"),(COUNTIF('Caminho'!$I$27:$I$36,"Memória Compartilhada")&gt;0)),1,0)+COUNTIF('Equipamento'!$P$45:$P$47,"Teste de Ataque")</f>
        <v/>
      </c>
      <c r="S13" s="25">
        <f>""&amp;'Caminho'!$I$33</f>
        <v/>
      </c>
      <c r="T13" s="25">
        <f>IF('Caminho'!$H$33="Uma vez por turno","1/turno",IF('Caminho'!$H$33="Uma vez por Ciclo","1/Ciclo",IF('Caminho'!$H$33="Uma vez por combate por alvo","1/combate/alvo",IF('Caminho'!$H$33="Uma vez por combate","1/combate",IF('Caminho'!$H$33="Uma vez por Descanso Longo","1/Desc. Longo",IF('Caminho'!$H$33="Uma vez por sessão","1/sessão",IF('Caminho'!$H$33="Duas vezes por dia","2/dia",""&amp;'Caminho'!$H$33)))))))</f>
        <v/>
      </c>
      <c r="U13" s="25">
        <f>IF(AND(LEN('Caminho'!$I$33)&gt;0,LEN('Caminho'!$H$33)&gt;0,'Caminho'!$H$33&lt;&gt;"Sem limite declarado"),1,0)</f>
        <v/>
      </c>
      <c r="V13" s="25">
        <f>IF(U13=1,MAX($V$2:V12)+1,0)</f>
        <v/>
      </c>
      <c r="W13" s="25" t="inlineStr">
        <is>
          <t>Intuição</t>
        </is>
      </c>
      <c r="X13" s="25">
        <f>X12+IF('Criação'!$E$81="Sim",1,0)</f>
        <v/>
      </c>
      <c r="Y13" s="25">
        <f>IF('Criação'!$E$81="Sim",X13,0)</f>
        <v/>
      </c>
      <c r="Z13" s="25">
        <f>'Testes'!$I$28</f>
        <v/>
      </c>
      <c r="AA13" s="25">
        <f>IF(LEN('Testes'!$J$28)&gt;0,"Vantagem","")</f>
        <v/>
      </c>
    </row>
    <row r="14" ht="14.25" customHeight="1">
      <c r="A14" s="14" t="inlineStr">
        <is>
          <t>Ações — Ataque Básico (18), Habilidades (16) e Ultimate (17)</t>
        </is>
      </c>
      <c r="N14" s="13">
        <f>IF($AF$38="","",IF($AF$38="Quebrado","Quebrado é só de inimigos (20.3).",IF($AF$38="Morrendo","Morrendo liga sozinho com PV 0.",IF(COUNTIF('Dados'!$Y$6:$Y$18,$AF$38)=0,"Condição fora da lista de 21.5.",""))))</f>
        <v/>
      </c>
      <c r="P14" s="43" t="inlineStr">
        <is>
          <t>Bônus temporário no Teste de Ataque (no teto)</t>
        </is>
      </c>
      <c r="Q14" s="25">
        <f>MIN('Criação'!$J$14,$Q$13)</f>
        <v/>
      </c>
      <c r="S14" s="25">
        <f>""&amp;'Caminho'!$I$34</f>
        <v/>
      </c>
      <c r="T14" s="25">
        <f>IF('Caminho'!$H$34="Uma vez por turno","1/turno",IF('Caminho'!$H$34="Uma vez por Ciclo","1/Ciclo",IF('Caminho'!$H$34="Uma vez por combate por alvo","1/combate/alvo",IF('Caminho'!$H$34="Uma vez por combate","1/combate",IF('Caminho'!$H$34="Uma vez por Descanso Longo","1/Desc. Longo",IF('Caminho'!$H$34="Uma vez por sessão","1/sessão",IF('Caminho'!$H$34="Duas vezes por dia","2/dia",""&amp;'Caminho'!$H$34)))))))</f>
        <v/>
      </c>
      <c r="U14" s="25">
        <f>IF(AND(LEN('Caminho'!$I$34)&gt;0,LEN('Caminho'!$H$34)&gt;0,'Caminho'!$H$34&lt;&gt;"Sem limite declarado"),1,0)</f>
        <v/>
      </c>
      <c r="V14" s="25">
        <f>IF(U14=1,MAX($V$2:V13)+1,0)</f>
        <v/>
      </c>
      <c r="W14" s="25" t="inlineStr">
        <is>
          <t>Investigação</t>
        </is>
      </c>
      <c r="X14" s="25">
        <f>X13+IF('Criação'!$E$82="Sim",1,0)</f>
        <v/>
      </c>
      <c r="Y14" s="25">
        <f>IF('Criação'!$E$82="Sim",X14,0)</f>
        <v/>
      </c>
      <c r="Z14" s="25">
        <f>'Testes'!$I$29</f>
        <v/>
      </c>
      <c r="AA14" s="25">
        <f>IF(LEN('Testes'!$J$29)&gt;0,"Vantagem","")</f>
        <v/>
      </c>
    </row>
    <row r="15" ht="14.25" customHeight="1">
      <c r="A15" s="47" t="inlineStr">
        <is>
          <t>Ataque Básico</t>
        </is>
      </c>
      <c r="B15" s="48" t="n"/>
      <c r="C15" s="47" t="inlineStr">
        <is>
          <t>Ataque</t>
        </is>
      </c>
      <c r="D15" s="47" t="inlineStr">
        <is>
          <t>Dano</t>
        </is>
      </c>
      <c r="E15" s="47" t="inlineStr">
        <is>
          <t>Média</t>
        </is>
      </c>
      <c r="F15" s="47" t="inlineStr">
        <is>
          <t>Do atributo</t>
        </is>
      </c>
      <c r="G15" s="47" t="inlineStr">
        <is>
          <t>Equipamento</t>
        </is>
      </c>
      <c r="H15" s="47" t="inlineStr">
        <is>
          <t>Contra Fraqueza</t>
        </is>
      </c>
      <c r="I15" s="47" t="inlineStr">
        <is>
          <t>Crítico</t>
        </is>
      </c>
      <c r="J15" s="47" t="inlineStr">
        <is>
          <t>RT</t>
        </is>
      </c>
      <c r="K15" s="47" t="inlineStr">
        <is>
          <t>Alcance · Elemento</t>
        </is>
      </c>
      <c r="L15" s="48" t="n"/>
      <c r="N15" s="13">
        <f>IF($AF$39="","",IF($AF$39="Quebrado","Quebrado é só de inimigos (20.3).",IF($AF$39="Morrendo","Morrendo liga sozinho com PV 0.",IF(COUNTIF('Dados'!$Y$6:$Y$18,$AF$39)=0,"Condição fora da lista de 21.5.",""))))</f>
        <v/>
      </c>
      <c r="P15" s="43" t="inlineStr">
        <is>
          <t>Defesa temporária (Florescimento, Memória da Guarda)</t>
        </is>
      </c>
      <c r="Q15" s="25">
        <f>$Q$8+IF(AND((COUNTIF('Caminho'!$I$27:$I$36,"Fragmentos do Eu Perdido")&gt;0),($Q$6="Sim"),'Caminho'!$P$95="Guarda"),'Criação'!$C$14,0)</f>
        <v/>
      </c>
      <c r="S15" s="25">
        <f>""&amp;'Caminho'!$I$35</f>
        <v/>
      </c>
      <c r="T15" s="25">
        <f>IF('Caminho'!$H$35="Uma vez por turno","1/turno",IF('Caminho'!$H$35="Uma vez por Ciclo","1/Ciclo",IF('Caminho'!$H$35="Uma vez por combate por alvo","1/combate/alvo",IF('Caminho'!$H$35="Uma vez por combate","1/combate",IF('Caminho'!$H$35="Uma vez por Descanso Longo","1/Desc. Longo",IF('Caminho'!$H$35="Uma vez por sessão","1/sessão",IF('Caminho'!$H$35="Duas vezes por dia","2/dia",""&amp;'Caminho'!$H$35)))))))</f>
        <v/>
      </c>
      <c r="U15" s="25">
        <f>IF(AND(LEN('Caminho'!$I$35)&gt;0,LEN('Caminho'!$H$35)&gt;0,'Caminho'!$H$35&lt;&gt;"Sem limite declarado"),1,0)</f>
        <v/>
      </c>
      <c r="V15" s="25">
        <f>IF(U15=1,MAX($V$2:V14)+1,0)</f>
        <v/>
      </c>
      <c r="W15" s="25" t="inlineStr">
        <is>
          <t>Persuasão</t>
        </is>
      </c>
      <c r="X15" s="25">
        <f>X14+IF('Criação'!$E$84="Sim",1,0)</f>
        <v/>
      </c>
      <c r="Y15" s="25">
        <f>IF('Criação'!$E$84="Sim",X15,0)</f>
        <v/>
      </c>
      <c r="Z15" s="25">
        <f>'Testes'!$I$31</f>
        <v/>
      </c>
      <c r="AA15" s="25">
        <f>IF(LEN('Testes'!$J$31)&gt;0,"Vantagem","")</f>
        <v/>
      </c>
    </row>
    <row r="16" ht="14.25" customHeight="1">
      <c r="A16" s="49">
        <f>IF('Criação'!$Q$108="","Arma principal: —",IF(LEN('Criação'!$Q$107)=0,"Arma "&amp;'Criação'!$Q$108,""&amp;'Criação'!$Q$107))</f>
        <v/>
      </c>
      <c r="B16" s="40" t="n"/>
      <c r="C16" s="45">
        <f>'Equipamento'!$B$13</f>
        <v/>
      </c>
      <c r="D16" s="45">
        <f>'Equipamento'!$C$13</f>
        <v/>
      </c>
      <c r="E16" s="39">
        <f>'Equipamento'!$D$13</f>
        <v/>
      </c>
      <c r="F16" s="39">
        <f>'Equipamento'!$E$13</f>
        <v/>
      </c>
      <c r="G16" s="39">
        <f>'Equipamento'!$F$13</f>
        <v/>
      </c>
      <c r="H16" s="39">
        <f>IF(LEN('Equipamento'!$G$13)=0,"",'Equipamento'!$G$13&amp;" ("&amp;'Equipamento'!$H$13&amp;")")</f>
        <v/>
      </c>
      <c r="I16" s="39">
        <f>'Equipamento'!$I$13</f>
        <v/>
      </c>
      <c r="J16" s="39">
        <f>'Equipamento'!$J$13</f>
        <v/>
      </c>
      <c r="K16" s="39">
        <f>IF(LEN('Equipamento'!$K$13)=0,"",'Equipamento'!$K$13&amp;" · "&amp;'Equipamento'!$L$13)</f>
        <v/>
      </c>
      <c r="L16" s="40" t="n"/>
      <c r="N16" s="13">
        <f>IF($AF$40="","",IF($AF$40="Quebrado","Quebrado é só de inimigos (20.3).",IF($AF$40="Morrendo","Morrendo liga sozinho com PV 0.",IF(COUNTIF('Dados'!$Y$6:$Y$18,$AF$40)=0,"Condição fora da lista de 21.5.",""))))</f>
        <v/>
      </c>
      <c r="P16" s="43" t="inlineStr">
        <is>
          <t>Defesa com temporários</t>
        </is>
      </c>
      <c r="Q16" s="25">
        <f>'Criação'!$D$96+MIN('Criação'!$J$14,$Q$15)</f>
        <v/>
      </c>
      <c r="S16" s="25">
        <f>""&amp;'Caminho'!$I$36</f>
        <v/>
      </c>
      <c r="T16" s="25">
        <f>IF('Caminho'!$H$36="Uma vez por turno","1/turno",IF('Caminho'!$H$36="Uma vez por Ciclo","1/Ciclo",IF('Caminho'!$H$36="Uma vez por combate por alvo","1/combate/alvo",IF('Caminho'!$H$36="Uma vez por combate","1/combate",IF('Caminho'!$H$36="Uma vez por Descanso Longo","1/Desc. Longo",IF('Caminho'!$H$36="Uma vez por sessão","1/sessão",IF('Caminho'!$H$36="Duas vezes por dia","2/dia",""&amp;'Caminho'!$H$36)))))))</f>
        <v/>
      </c>
      <c r="U16" s="25">
        <f>IF(AND(LEN('Caminho'!$I$36)&gt;0,LEN('Caminho'!$H$36)&gt;0,'Caminho'!$H$36&lt;&gt;"Sem limite declarado"),1,0)</f>
        <v/>
      </c>
      <c r="V16" s="25">
        <f>IF(U16=1,MAX($V$2:V15)+1,0)</f>
        <v/>
      </c>
      <c r="W16" s="25" t="inlineStr">
        <is>
          <t>Intimidação</t>
        </is>
      </c>
      <c r="X16" s="25">
        <f>X15+IF('Criação'!$E$85="Sim",1,0)</f>
        <v/>
      </c>
      <c r="Y16" s="25">
        <f>IF('Criação'!$E$85="Sim",X16,0)</f>
        <v/>
      </c>
      <c r="Z16" s="25">
        <f>'Testes'!$I$32</f>
        <v/>
      </c>
      <c r="AA16" s="25">
        <f>IF(LEN('Testes'!$J$32)&gt;0,"Vantagem","")</f>
        <v/>
      </c>
    </row>
    <row r="17" ht="14.25" customHeight="1">
      <c r="A17" s="50">
        <f>IF('Equipamento'!$AE$8="","Arma secundária: —",IF(LEN('Equipamento'!$AD$8)=0,"Arma "&amp;'Equipamento'!$AE$8,""&amp;'Equipamento'!$AD$8))</f>
        <v/>
      </c>
      <c r="B17" s="40" t="n"/>
      <c r="C17" s="51">
        <f>'Equipamento'!$B$14</f>
        <v/>
      </c>
      <c r="D17" s="51">
        <f>'Equipamento'!$C$14</f>
        <v/>
      </c>
      <c r="E17" s="52">
        <f>'Equipamento'!$D$14</f>
        <v/>
      </c>
      <c r="F17" s="52">
        <f>'Equipamento'!$E$14</f>
        <v/>
      </c>
      <c r="G17" s="52">
        <f>'Equipamento'!$F$14</f>
        <v/>
      </c>
      <c r="H17" s="52">
        <f>IF(LEN('Equipamento'!$G$14)=0,"",'Equipamento'!$G$14&amp;" ("&amp;'Equipamento'!$H$14&amp;")")</f>
        <v/>
      </c>
      <c r="I17" s="52">
        <f>'Equipamento'!$I$14</f>
        <v/>
      </c>
      <c r="J17" s="52">
        <f>'Equipamento'!$J$14</f>
        <v/>
      </c>
      <c r="K17" s="52">
        <f>IF(LEN('Equipamento'!$K$14)=0,"",'Equipamento'!$K$14&amp;" · "&amp;'Equipamento'!$L$14)</f>
        <v/>
      </c>
      <c r="L17" s="40" t="n"/>
      <c r="N17" s="13">
        <f>IF(MAX($V$2:$V$16)&gt;8,"Mais usos do que cabem aqui: veja a frequência das Bênçãos na aba Caminho.","")</f>
        <v/>
      </c>
      <c r="P17" s="43" t="inlineStr">
        <is>
          <t>Teto de Barreira (Preservação)</t>
        </is>
      </c>
      <c r="Q17" s="25">
        <f>IF('Criação'!$Q$33="A Preservação",3*'Criação'!$C$14,"")</f>
        <v/>
      </c>
      <c r="W17" s="25" t="inlineStr">
        <is>
          <t>Enganação</t>
        </is>
      </c>
      <c r="X17" s="25">
        <f>X16+IF('Criação'!$E$86="Sim",1,0)</f>
        <v/>
      </c>
      <c r="Y17" s="25">
        <f>IF('Criação'!$E$86="Sim",X17,0)</f>
        <v/>
      </c>
      <c r="Z17" s="25">
        <f>'Testes'!$I$33</f>
        <v/>
      </c>
      <c r="AA17" s="25">
        <f>IF(LEN('Testes'!$J$33)&gt;0,"Vantagem","")</f>
        <v/>
      </c>
    </row>
    <row r="18" ht="14.25" customHeight="1">
      <c r="A18" s="47" t="inlineStr">
        <is>
          <t>Habilidade</t>
        </is>
      </c>
      <c r="B18" s="48" t="n"/>
      <c r="C18" s="47" t="inlineStr">
        <is>
          <t>Rolagem</t>
        </is>
      </c>
      <c r="D18" s="47" t="inlineStr">
        <is>
          <t>Dano · média</t>
        </is>
      </c>
      <c r="E18" s="47" t="inlineStr">
        <is>
          <t>Nível · PH · RT · alvos</t>
        </is>
      </c>
      <c r="F18" s="48" t="n"/>
      <c r="G18" s="47" t="inlineStr">
        <is>
          <t>Habilidade</t>
        </is>
      </c>
      <c r="H18" s="48" t="n"/>
      <c r="I18" s="47" t="inlineStr">
        <is>
          <t>Rolagem</t>
        </is>
      </c>
      <c r="J18" s="47" t="inlineStr">
        <is>
          <t>Dano · média</t>
        </is>
      </c>
      <c r="K18" s="47" t="inlineStr">
        <is>
          <t>Nível · PH · RT · alvos</t>
        </is>
      </c>
      <c r="L18" s="48" t="n"/>
      <c r="N18" s="13">
        <f>IF(AND(ISNUMBER($AO$33),$AO$33&gt;2),"Descanso Curto: até 2 por dia (23.6).","")</f>
        <v/>
      </c>
      <c r="P18" s="43" t="inlineStr">
        <is>
          <t>Silenciado</t>
        </is>
      </c>
      <c r="Q18" s="25">
        <f>IF(COUNTIF($AF$37:$AF$40,"Silenciado")&gt;0,1,0)</f>
        <v/>
      </c>
      <c r="W18" s="25" t="inlineStr">
        <is>
          <t>Liderança</t>
        </is>
      </c>
      <c r="X18" s="25">
        <f>X17+IF('Criação'!$E$87="Sim",1,0)</f>
        <v/>
      </c>
      <c r="Y18" s="25">
        <f>IF('Criação'!$E$87="Sim",X18,0)</f>
        <v/>
      </c>
      <c r="Z18" s="25">
        <f>'Testes'!$I$34</f>
        <v/>
      </c>
      <c r="AA18" s="25">
        <f>IF(LEN('Testes'!$J$34)&gt;0,"Vantagem","")</f>
        <v/>
      </c>
    </row>
    <row r="19" ht="14.25" customHeight="1">
      <c r="A19" s="49">
        <f>IF('Habilidades'!$P$12=0,"—",'Habilidades'!$B$34)</f>
        <v/>
      </c>
      <c r="B19" s="40" t="n"/>
      <c r="C19" s="45">
        <f>IF('Habilidades'!$P$12=0,"",IF(LEN(IF($Q$19=1,"BLOQUEADA",IF(AND($Q$18=1,'Habilidades'!$S$12&gt;=4),"BLOQUEADA","")))&gt;0,IF($Q$19=1,"BLOQUEADA",IF(AND($Q$18=1,'Habilidades'!$S$12&gt;=4),"BLOQUEADA","")),IF(LEN('Habilidades'!$F$34)=0,IF('Habilidades'!$Z$12="Passiva","Passiva","—"),'Habilidades'!$F$34)))</f>
        <v/>
      </c>
      <c r="D19" s="39">
        <f>IF(LEN('Habilidades'!$D$34)=0,"",'Habilidades'!$D$34&amp;" ("&amp;'Habilidades'!$E$34&amp;")")</f>
        <v/>
      </c>
      <c r="E19" s="39">
        <f>IF('Habilidades'!$P$12=0,"",'Habilidades'!$S$12&amp;" · "&amp;'Habilidades'!$G$34&amp;" PH · RT "&amp;'Habilidades'!$H$34&amp;" · "&amp;'Habilidades'!$J$34&amp;IF('Habilidades'!$J$34=1," alvo"," alvos"))</f>
        <v/>
      </c>
      <c r="F19" s="40" t="n"/>
      <c r="G19" s="39">
        <f>IF('Habilidades'!$P$16=0,"—",'Habilidades'!$B$38)</f>
        <v/>
      </c>
      <c r="H19" s="40" t="n"/>
      <c r="I19" s="45">
        <f>IF('Habilidades'!$P$16=0,"",IF(LEN(IF($Q$19=1,"BLOQUEADA",IF(AND($Q$18=1,'Habilidades'!$S$16&gt;=4),"BLOQUEADA","")))&gt;0,IF($Q$19=1,"BLOQUEADA",IF(AND($Q$18=1,'Habilidades'!$S$16&gt;=4),"BLOQUEADA","")),IF(LEN('Habilidades'!$F$38)=0,IF('Habilidades'!$Z$16="Passiva","Passiva","—"),'Habilidades'!$F$38)))</f>
        <v/>
      </c>
      <c r="J19" s="39">
        <f>IF(LEN('Habilidades'!$D$38)=0,"",'Habilidades'!$D$38&amp;" ("&amp;'Habilidades'!$E$38&amp;")")</f>
        <v/>
      </c>
      <c r="K19" s="39">
        <f>IF('Habilidades'!$P$16=0,"",'Habilidades'!$S$16&amp;" · "&amp;'Habilidades'!$G$38&amp;" PH · RT "&amp;'Habilidades'!$H$38&amp;" · "&amp;'Habilidades'!$J$38&amp;IF('Habilidades'!$J$38=1," alvo"," alvos"))</f>
        <v/>
      </c>
      <c r="L19" s="40" t="n"/>
      <c r="N19" s="13">
        <f>IF($Q$13&gt;'Criação'!$J$14,"Bônus temporário no Teste de Ataque acima do teto (+"&amp;'Criação'!$J$14&amp;"): conta só o teto (26.6). ","")&amp;IF($Q$15&gt;'Criação'!$J$14,"Defesa temporária acima do teto (+"&amp;'Criação'!$J$14&amp;"): conta só o teto (26.6).","")</f>
        <v/>
      </c>
      <c r="P19" s="43" t="inlineStr">
        <is>
          <t>Controlado</t>
        </is>
      </c>
      <c r="Q19" s="25">
        <f>IF(COUNTIF($AF$37:$AF$40,"Controlado")&gt;0,1,0)</f>
        <v/>
      </c>
      <c r="W19" s="25" t="inlineStr">
        <is>
          <t>Sintonia</t>
        </is>
      </c>
      <c r="X19" s="25">
        <f>X18+IF('Criação'!$E$88="Sim",1,0)</f>
        <v/>
      </c>
      <c r="Y19" s="25">
        <f>IF('Criação'!$E$88="Sim",X19,0)</f>
        <v/>
      </c>
      <c r="Z19" s="25">
        <f>'Testes'!$I$35</f>
        <v/>
      </c>
      <c r="AA19" s="25">
        <f>IF(LEN('Testes'!$J$35)&gt;0,"Vantagem","")</f>
        <v/>
      </c>
    </row>
    <row r="20" ht="14.25" customHeight="1">
      <c r="A20" s="50">
        <f>IF('Habilidades'!$P$13=0,"—",'Habilidades'!$B$35)</f>
        <v/>
      </c>
      <c r="B20" s="40" t="n"/>
      <c r="C20" s="51">
        <f>IF('Habilidades'!$P$13=0,"",IF(LEN(IF($Q$19=1,"BLOQUEADA",IF(AND($Q$18=1,'Habilidades'!$S$13&gt;=4),"BLOQUEADA","")))&gt;0,IF($Q$19=1,"BLOQUEADA",IF(AND($Q$18=1,'Habilidades'!$S$13&gt;=4),"BLOQUEADA","")),IF(LEN('Habilidades'!$F$35)=0,IF('Habilidades'!$Z$13="Passiva","Passiva","—"),'Habilidades'!$F$35)))</f>
        <v/>
      </c>
      <c r="D20" s="52">
        <f>IF(LEN('Habilidades'!$D$35)=0,"",'Habilidades'!$D$35&amp;" ("&amp;'Habilidades'!$E$35&amp;")")</f>
        <v/>
      </c>
      <c r="E20" s="52">
        <f>IF('Habilidades'!$P$13=0,"",'Habilidades'!$S$13&amp;" · "&amp;'Habilidades'!$G$35&amp;" PH · RT "&amp;'Habilidades'!$H$35&amp;" · "&amp;'Habilidades'!$J$35&amp;IF('Habilidades'!$J$35=1," alvo"," alvos"))</f>
        <v/>
      </c>
      <c r="F20" s="40" t="n"/>
      <c r="G20" s="52">
        <f>IF('Habilidades'!$P$17=0,"—",'Habilidades'!$B$39)</f>
        <v/>
      </c>
      <c r="H20" s="40" t="n"/>
      <c r="I20" s="51">
        <f>IF('Habilidades'!$P$17=0,"",IF(LEN(IF($Q$19=1,"BLOQUEADA",IF(AND($Q$18=1,'Habilidades'!$S$17&gt;=4),"BLOQUEADA","")))&gt;0,IF($Q$19=1,"BLOQUEADA",IF(AND($Q$18=1,'Habilidades'!$S$17&gt;=4),"BLOQUEADA","")),IF(LEN('Habilidades'!$F$39)=0,IF('Habilidades'!$Z$17="Passiva","Passiva","—"),'Habilidades'!$F$39)))</f>
        <v/>
      </c>
      <c r="J20" s="52">
        <f>IF(LEN('Habilidades'!$D$39)=0,"",'Habilidades'!$D$39&amp;" ("&amp;'Habilidades'!$E$39&amp;")")</f>
        <v/>
      </c>
      <c r="K20" s="52">
        <f>IF('Habilidades'!$P$17=0,"",'Habilidades'!$S$17&amp;" · "&amp;'Habilidades'!$G$39&amp;" PH · RT "&amp;'Habilidades'!$H$39&amp;" · "&amp;'Habilidades'!$J$39&amp;IF('Habilidades'!$J$39=1," alvo"," alvos"))</f>
        <v/>
      </c>
      <c r="L20" s="40" t="n"/>
      <c r="N20" s="13">
        <f>IF($Q$21=1,"Surpreso: a sua casa é pulada no primeiro Ciclo.","")</f>
        <v/>
      </c>
      <c r="P20" s="43" t="inlineStr">
        <is>
          <t>Lentidão (condição ou carga)</t>
        </is>
      </c>
      <c r="Q20" s="25">
        <f>IF(OR(COUNTIF($AF$37:$AF$40,"Lentidão")&gt;0,'Equipamento'!$B$58="Lentidão"),1,0)</f>
        <v/>
      </c>
    </row>
    <row r="21" ht="14.25" customHeight="1">
      <c r="A21" s="49">
        <f>IF('Habilidades'!$P$14=0,"—",'Habilidades'!$B$36)</f>
        <v/>
      </c>
      <c r="B21" s="40" t="n"/>
      <c r="C21" s="45">
        <f>IF('Habilidades'!$P$14=0,"",IF(LEN(IF($Q$19=1,"BLOQUEADA",IF(AND($Q$18=1,'Habilidades'!$S$14&gt;=4),"BLOQUEADA","")))&gt;0,IF($Q$19=1,"BLOQUEADA",IF(AND($Q$18=1,'Habilidades'!$S$14&gt;=4),"BLOQUEADA","")),IF(LEN('Habilidades'!$F$36)=0,IF('Habilidades'!$Z$14="Passiva","Passiva","—"),'Habilidades'!$F$36)))</f>
        <v/>
      </c>
      <c r="D21" s="39">
        <f>IF(LEN('Habilidades'!$D$36)=0,"",'Habilidades'!$D$36&amp;" ("&amp;'Habilidades'!$E$36&amp;")")</f>
        <v/>
      </c>
      <c r="E21" s="39">
        <f>IF('Habilidades'!$P$14=0,"",'Habilidades'!$S$14&amp;" · "&amp;'Habilidades'!$G$36&amp;" PH · RT "&amp;'Habilidades'!$H$36&amp;" · "&amp;'Habilidades'!$J$36&amp;IF('Habilidades'!$J$36=1," alvo"," alvos"))</f>
        <v/>
      </c>
      <c r="F21" s="40" t="n"/>
      <c r="G21" s="39">
        <f>IF('Habilidades'!$P$18=0,"—",'Habilidades'!$B$40)</f>
        <v/>
      </c>
      <c r="H21" s="40" t="n"/>
      <c r="I21" s="45">
        <f>IF('Habilidades'!$P$18=0,"",IF(LEN(IF($Q$19=1,"BLOQUEADA",IF(AND($Q$18=1,'Habilidades'!$S$18&gt;=4),"BLOQUEADA","")))&gt;0,IF($Q$19=1,"BLOQUEADA",IF(AND($Q$18=1,'Habilidades'!$S$18&gt;=4),"BLOQUEADA","")),IF(LEN('Habilidades'!$F$40)=0,IF('Habilidades'!$Z$18="Passiva","Passiva","—"),'Habilidades'!$F$40)))</f>
        <v/>
      </c>
      <c r="J21" s="39">
        <f>IF(LEN('Habilidades'!$D$40)=0,"",'Habilidades'!$D$40&amp;" ("&amp;'Habilidades'!$E$40&amp;")")</f>
        <v/>
      </c>
      <c r="K21" s="39">
        <f>IF('Habilidades'!$P$18=0,"",'Habilidades'!$S$18&amp;" · "&amp;'Habilidades'!$G$40&amp;" PH · RT "&amp;'Habilidades'!$H$40&amp;" · "&amp;'Habilidades'!$J$40&amp;IF('Habilidades'!$J$40=1," alvo"," alvos"))</f>
        <v/>
      </c>
      <c r="L21" s="40" t="n"/>
      <c r="P21" s="43" t="inlineStr">
        <is>
          <t>Surpreso</t>
        </is>
      </c>
      <c r="Q21" s="25">
        <f>IF(COUNTIF($AF$37:$AF$40,"Surpreso")&gt;0,1,0)</f>
        <v/>
      </c>
    </row>
    <row r="22" ht="14.25" customHeight="1">
      <c r="A22" s="50">
        <f>IF('Habilidades'!$P$15=0,"—",'Habilidades'!$B$37)</f>
        <v/>
      </c>
      <c r="B22" s="40" t="n"/>
      <c r="C22" s="51">
        <f>IF('Habilidades'!$P$15=0,"",IF(LEN(IF($Q$19=1,"BLOQUEADA",IF(AND($Q$18=1,'Habilidades'!$S$15&gt;=4),"BLOQUEADA","")))&gt;0,IF($Q$19=1,"BLOQUEADA",IF(AND($Q$18=1,'Habilidades'!$S$15&gt;=4),"BLOQUEADA","")),IF(LEN('Habilidades'!$F$37)=0,IF('Habilidades'!$Z$15="Passiva","Passiva","—"),'Habilidades'!$F$37)))</f>
        <v/>
      </c>
      <c r="D22" s="52">
        <f>IF(LEN('Habilidades'!$D$37)=0,"",'Habilidades'!$D$37&amp;" ("&amp;'Habilidades'!$E$37&amp;")")</f>
        <v/>
      </c>
      <c r="E22" s="52">
        <f>IF('Habilidades'!$P$15=0,"",'Habilidades'!$S$15&amp;" · "&amp;'Habilidades'!$G$37&amp;" PH · RT "&amp;'Habilidades'!$H$37&amp;" · "&amp;'Habilidades'!$J$37&amp;IF('Habilidades'!$J$37=1," alvo"," alvos"))</f>
        <v/>
      </c>
      <c r="F22" s="40" t="n"/>
      <c r="G22" s="52">
        <f>IF('Habilidades'!$P$19=0,"—",'Habilidades'!$B$41)</f>
        <v/>
      </c>
      <c r="H22" s="40" t="n"/>
      <c r="I22" s="51">
        <f>IF('Habilidades'!$P$19=0,"",IF(LEN(IF($Q$19=1,"BLOQUEADA",IF(AND($Q$18=1,'Habilidades'!$S$19&gt;=4),"BLOQUEADA","")))&gt;0,IF($Q$19=1,"BLOQUEADA",IF(AND($Q$18=1,'Habilidades'!$S$19&gt;=4),"BLOQUEADA","")),IF(LEN('Habilidades'!$F$41)=0,IF('Habilidades'!$Z$19="Passiva","Passiva","—"),'Habilidades'!$F$41)))</f>
        <v/>
      </c>
      <c r="J22" s="52">
        <f>IF(LEN('Habilidades'!$D$41)=0,"",'Habilidades'!$D$41&amp;" ("&amp;'Habilidades'!$E$41&amp;")")</f>
        <v/>
      </c>
      <c r="K22" s="52">
        <f>IF('Habilidades'!$P$19=0,"",'Habilidades'!$S$19&amp;" · "&amp;'Habilidades'!$G$41&amp;" PH · RT "&amp;'Habilidades'!$H$41&amp;" · "&amp;'Habilidades'!$J$41&amp;IF('Habilidades'!$J$41=1," alvo"," alvos"))</f>
        <v/>
      </c>
      <c r="L22" s="40" t="n"/>
      <c r="P22" s="43" t="inlineStr">
        <is>
          <t>Ultimate pronta</t>
        </is>
      </c>
      <c r="Q22" s="25">
        <f>IF($Q$5&gt;='Habilidades'!$G$61,"Sim","Não")</f>
        <v/>
      </c>
    </row>
    <row r="23" ht="14.25" customHeight="1">
      <c r="A23" s="49">
        <f>IF(LEN('Habilidades'!$Z$54)=0,"Ultimate: —",""&amp;'Habilidades'!$Z$54)</f>
        <v/>
      </c>
      <c r="B23" s="40" t="n"/>
      <c r="C23" s="45">
        <f>IF(LEN(IF($Q$19=1,"BLOQUEADA",""))&gt;0,IF($Q$19=1,"BLOQUEADA",""),IF(LEN('Habilidades'!$F$61)=0,"—",'Habilidades'!$F$61))</f>
        <v/>
      </c>
      <c r="D23" s="39">
        <f>IF(LEN('Habilidades'!$D$61)=0,"",'Habilidades'!$D$61&amp;" ("&amp;'Habilidades'!$E$61&amp;")")</f>
        <v/>
      </c>
      <c r="E23" s="39">
        <f>"RT "&amp;'Habilidades'!$H$61&amp;" · "&amp;'Habilidades'!$I$61&amp;IF('Habilidades'!$I$61=1," alvo"," alvos")</f>
        <v/>
      </c>
      <c r="F23" s="40" t="n"/>
      <c r="G23" s="39">
        <f>"Ultimate ("&amp;$Q$5&amp;"/"&amp;'Habilidades'!$G$61&amp;" de Energia): "&amp;IF(LEN(IF($Q$19=1,"BLOQUEADA",""))&gt;0,"BLOQUEADA (Controlado)",IF($Q$22="Sim","pronta, diga o nome em voz alta","faltam "&amp;('Habilidades'!$G$61-$Q$5)))</f>
        <v/>
      </c>
      <c r="H23" s="40" t="n"/>
      <c r="I23" s="40" t="n"/>
      <c r="J23" s="40" t="n"/>
      <c r="K23" s="40" t="n"/>
      <c r="L23" s="40" t="n"/>
      <c r="P23" s="43" t="inlineStr">
        <is>
          <t>Condições ativas (texto inteiro)</t>
        </is>
      </c>
      <c r="Q23" s="25">
        <f>""&amp;$AF$37&amp;IF(LEN(""&amp;$AF$38)&gt;0,IF(LEN(""&amp;$AF$37)&gt;0," · ","")&amp;""&amp;$AF$38,"")&amp;IF(LEN(""&amp;$AF$39)&gt;0,IF(LEN(""&amp;$AF$37&amp;""&amp;$AF$38)&gt;0," · ","")&amp;""&amp;$AF$39,"")&amp;IF(LEN(""&amp;$AF$40)&gt;0,IF(LEN(""&amp;$AF$37&amp;""&amp;$AF$38&amp;""&amp;$AF$39)&gt;0," · ","")&amp;""&amp;$AF$40,"")&amp;IF(LEN(IF($Q$3="Sim","Morrendo",""))&gt;0,IF(LEN(""&amp;$AF$37&amp;""&amp;$AF$38&amp;""&amp;$AF$39&amp;""&amp;$AF$40)&gt;0," · ","")&amp;IF($Q$3="Sim","Morrendo",""),"")&amp;IF(LEN(IF('Equipamento'!$B$58&lt;&gt;"Normal","Lentidão (carga)",""))&gt;0,IF(LEN(""&amp;$AF$37&amp;""&amp;$AF$38&amp;""&amp;$AF$39&amp;""&amp;$AF$40&amp;IF($Q$3="Sim","Morrendo",""))&gt;0," · ","")&amp;IF('Equipamento'!$B$58&lt;&gt;"Normal","Lentidão (carga)",""),"")</f>
        <v/>
      </c>
    </row>
    <row r="24" ht="14.25" customHeight="1">
      <c r="A24" s="50">
        <f>"Neste ataque: "&amp;IF(AND(($Q$6="Sim"),(COUNTIF('Caminho'!$I$27:$I$36,"Memória Compartilhada")&gt;0)),"+1d6 (Memória Compartilhada) · ","")&amp;IF(AND(($Q$6="Sim"),(COUNTIF('Caminho'!$I$27:$I$36,"Fragmentos do Eu Perdido")&gt;0),'Caminho'!$P$95="Fúria"),"+1d8 (Memória da Fúria) · ","")&amp;IF($Q$7&gt;0,"+"&amp;$Q$7&amp;"d6 (Fúria) · ","")&amp;IF($Q$11&gt;0,"+"&amp;MIN('Criação'!$J$14,$Q$11)&amp;" de dano (Cicatriz) · ","")&amp;IF($Q$12=1,"+2 no ataque, já somado (Instinto) · ","")&amp;"temporários: no máximo +3 por rolagem, fora a Fraqueza (26.6)"</f>
        <v/>
      </c>
      <c r="B24" s="40" t="n"/>
      <c r="C24" s="40" t="n"/>
      <c r="D24" s="40" t="n"/>
      <c r="E24" s="40" t="n"/>
      <c r="F24" s="40" t="n"/>
      <c r="G24" s="40" t="n"/>
      <c r="H24" s="40" t="n"/>
      <c r="I24" s="40" t="n"/>
      <c r="J24" s="40" t="n"/>
      <c r="K24" s="40" t="n"/>
      <c r="L24" s="40" t="n"/>
      <c r="P24" s="43" t="inlineStr">
        <is>
          <t>Condições ativas (quantas)</t>
        </is>
      </c>
      <c r="Q24" s="25">
        <f>IF(LEN(""&amp;$AF$37)&gt;0,1,0)+IF(LEN(""&amp;$AF$38)&gt;0,1,0)+IF(LEN(""&amp;$AF$39)&gt;0,1,0)+IF(LEN(""&amp;$AF$40)&gt;0,1,0)+IF(LEN(IF($Q$3="Sim","Morrendo",""))&gt;0,1,0)+IF(LEN(IF('Equipamento'!$B$58&lt;&gt;"Normal","Lentidão (carga)",""))&gt;0,1,0)</f>
        <v/>
      </c>
    </row>
    <row r="25" ht="14.25" customHeight="1">
      <c r="A25" s="40" t="n"/>
      <c r="B25" s="40" t="n"/>
      <c r="C25" s="40" t="n"/>
      <c r="D25" s="40" t="n"/>
      <c r="E25" s="40" t="n"/>
      <c r="F25" s="40" t="n"/>
      <c r="G25" s="40" t="n"/>
      <c r="H25" s="40" t="n"/>
      <c r="I25" s="40" t="n"/>
      <c r="J25" s="40" t="n"/>
      <c r="K25" s="40" t="n"/>
      <c r="L25" s="40" t="n"/>
      <c r="P25" s="43" t="inlineStr">
        <is>
          <t>Condições ativas (a primeira)</t>
        </is>
      </c>
      <c r="Q25" s="25">
        <f>IF(LEN(""&amp;$AF$37)&gt;0,""&amp;$AF$37,IF(LEN(""&amp;$AF$38)&gt;0,""&amp;$AF$38,IF(LEN(""&amp;$AF$39)&gt;0,""&amp;$AF$39,IF(LEN(""&amp;$AF$40)&gt;0,""&amp;$AF$40,IF(LEN(IF($Q$3="Sim","Morrendo",""))&gt;0,IF($Q$3="Sim","Morrendo",""),IF(LEN(IF('Equipamento'!$B$58&lt;&gt;"Normal","Lentidão (carga)",""))&gt;0,IF('Equipamento'!$B$58&lt;&gt;"Normal","Lentidão (carga)",""),""))))))</f>
        <v/>
      </c>
    </row>
    <row r="26" ht="14.25" customHeight="1">
      <c r="A26" s="14" t="inlineStr">
        <is>
          <t>Testes de Resistência (d20 + Bônus + Eficiência)</t>
        </is>
      </c>
      <c r="G26" s="14" t="inlineStr">
        <is>
          <t>Perícias com Eficiência (rolagem pronta)</t>
        </is>
      </c>
    </row>
    <row r="27" ht="14.25" customHeight="1">
      <c r="A27" s="44" t="inlineStr">
        <is>
          <t>Potência Física</t>
        </is>
      </c>
      <c r="B27" s="45">
        <f>'Testes'!$I$40</f>
        <v/>
      </c>
      <c r="C27" s="39">
        <f>IF(OR('Criação'!$Q$25="Xianzhouíta"),"Vantagem ("&amp;'Criação'!$Q$25&amp;")","")</f>
        <v/>
      </c>
      <c r="D27" s="40" t="n"/>
      <c r="E27" s="39">
        <f>IF('Testes'!$G$40=0,"",IF('Testes'!$G$40&gt;=0,"+","")&amp;'Testes'!$G$40&amp;" de equipamento/Bênção")</f>
        <v/>
      </c>
      <c r="F27" s="40" t="n"/>
      <c r="G27" s="45">
        <f>IFERROR(INDEX($W$2:$W$19,MATCH(1,$Y$2:$Y$19,0))&amp;IF(LEN($AB$2)&gt;0," · Vantagem",""),"")</f>
        <v/>
      </c>
      <c r="H27" s="40" t="n"/>
      <c r="I27" s="45">
        <f>IFERROR(INDEX($Z$2:$Z$19,MATCH(1,$Y$2:$Y$19,0)),"")</f>
        <v/>
      </c>
      <c r="J27" s="45">
        <f>IFERROR(INDEX($W$2:$W$19,MATCH(6,$Y$2:$Y$19,0))&amp;IF(LEN($AB$7)&gt;0," · Vantagem",""),"")</f>
        <v/>
      </c>
      <c r="K27" s="40" t="n"/>
      <c r="L27" s="45">
        <f>IFERROR(INDEX($Z$2:$Z$19,MATCH(6,$Y$2:$Y$19,0)),"")</f>
        <v/>
      </c>
    </row>
    <row r="28" ht="14.25" customHeight="1">
      <c r="A28" s="44" t="inlineStr">
        <is>
          <t>Reflexos</t>
        </is>
      </c>
      <c r="B28" s="45">
        <f>'Testes'!$I$41</f>
        <v/>
      </c>
      <c r="C28" s="39">
        <f>IF(OR('Criação'!$Q$25="Xianzhouíta"),"Vantagem ("&amp;'Criação'!$Q$25&amp;")","")</f>
        <v/>
      </c>
      <c r="D28" s="40" t="n"/>
      <c r="E28" s="39">
        <f>IF('Testes'!$G$41=0,"",IF('Testes'!$G$41&gt;=0,"+","")&amp;'Testes'!$G$41&amp;" de equipamento/Bênção")</f>
        <v/>
      </c>
      <c r="F28" s="40" t="n"/>
      <c r="G28" s="45">
        <f>IFERROR(INDEX($W$2:$W$19,MATCH(2,$Y$2:$Y$19,0))&amp;IF(LEN($AB$3)&gt;0," · Vantagem",""),"")</f>
        <v/>
      </c>
      <c r="H28" s="40" t="n"/>
      <c r="I28" s="45">
        <f>IFERROR(INDEX($Z$2:$Z$19,MATCH(2,$Y$2:$Y$19,0)),"")</f>
        <v/>
      </c>
      <c r="J28" s="45">
        <f>IFERROR(INDEX($W$2:$W$19,MATCH(7,$Y$2:$Y$19,0))&amp;IF(LEN($AB$8)&gt;0," · Vantagem",""),"")</f>
        <v/>
      </c>
      <c r="K28" s="40" t="n"/>
      <c r="L28" s="45">
        <f>IFERROR(INDEX($Z$2:$Z$19,MATCH(7,$Y$2:$Y$19,0)),"")</f>
        <v/>
      </c>
    </row>
    <row r="29" ht="14.25" customHeight="1">
      <c r="A29" s="44" t="inlineStr">
        <is>
          <t>Resistência Física</t>
        </is>
      </c>
      <c r="B29" s="45">
        <f>'Testes'!$I$42</f>
        <v/>
      </c>
      <c r="C29" s="39">
        <f>IF(OR('Criação'!$Q$25="Xianzhouíta"),"Vantagem ("&amp;'Criação'!$Q$25&amp;")",IF(OR('Criação'!$Q$25="Vidyadhara"),"Vantagem condicional",""))</f>
        <v/>
      </c>
      <c r="D29" s="40" t="n"/>
      <c r="E29" s="39">
        <f>IF('Testes'!$G$42=0,"",IF('Testes'!$G$42&gt;=0,"+","")&amp;'Testes'!$G$42&amp;" de equipamento/Bênção")</f>
        <v/>
      </c>
      <c r="F29" s="40" t="n"/>
      <c r="G29" s="45">
        <f>IFERROR(INDEX($W$2:$W$19,MATCH(3,$Y$2:$Y$19,0))&amp;IF(LEN($AB$4)&gt;0," · Vantagem",""),"")</f>
        <v/>
      </c>
      <c r="H29" s="40" t="n"/>
      <c r="I29" s="45">
        <f>IFERROR(INDEX($Z$2:$Z$19,MATCH(3,$Y$2:$Y$19,0)),"")</f>
        <v/>
      </c>
      <c r="J29" s="45">
        <f>IFERROR(INDEX($W$2:$W$19,MATCH(8,$Y$2:$Y$19,0))&amp;IF(LEN($AB$9)&gt;0," · Vantagem",""),"")</f>
        <v/>
      </c>
      <c r="K29" s="40" t="n"/>
      <c r="L29" s="45">
        <f>IFERROR(INDEX($Z$2:$Z$19,MATCH(8,$Y$2:$Y$19,0)),"")</f>
        <v/>
      </c>
    </row>
    <row r="30" ht="14.25" customHeight="1">
      <c r="A30" s="44" t="inlineStr">
        <is>
          <t>Resistência Mental</t>
        </is>
      </c>
      <c r="B30" s="45">
        <f>'Testes'!$I$43</f>
        <v/>
      </c>
      <c r="C30" s="39">
        <f>IF(OR('Criação'!$Q$25="Xianzhouíta",'Criação'!$Q$25="Avginiano"),"Vantagem ("&amp;'Criação'!$Q$25&amp;")","")</f>
        <v/>
      </c>
      <c r="D30" s="40" t="n"/>
      <c r="E30" s="39">
        <f>IF('Testes'!$G$43=0,"",IF('Testes'!$G$43&gt;=0,"+","")&amp;'Testes'!$G$43&amp;" de equipamento/Bênção")</f>
        <v/>
      </c>
      <c r="F30" s="40" t="n"/>
      <c r="G30" s="45">
        <f>IFERROR(INDEX($W$2:$W$19,MATCH(4,$Y$2:$Y$19,0))&amp;IF(LEN($AB$5)&gt;0," · Vantagem",""),"")</f>
        <v/>
      </c>
      <c r="H30" s="40" t="n"/>
      <c r="I30" s="45">
        <f>IFERROR(INDEX($Z$2:$Z$19,MATCH(4,$Y$2:$Y$19,0)),"")</f>
        <v/>
      </c>
      <c r="J30" s="45">
        <f>IFERROR(INDEX($W$2:$W$19,MATCH(9,$Y$2:$Y$19,0))&amp;IF(LEN($AB$10)&gt;0," · Vantagem",""),"")</f>
        <v/>
      </c>
      <c r="K30" s="40" t="n"/>
      <c r="L30" s="45">
        <f>IFERROR(INDEX($Z$2:$Z$19,MATCH(9,$Y$2:$Y$19,0)),"")</f>
        <v/>
      </c>
    </row>
    <row r="31" ht="14.25" customHeight="1">
      <c r="A31" s="44" t="inlineStr">
        <is>
          <t>Percepção Mental</t>
        </is>
      </c>
      <c r="B31" s="45">
        <f>'Testes'!$I$44</f>
        <v/>
      </c>
      <c r="C31" s="39">
        <f>IF(OR('Criação'!$Q$25="Xianzhouíta",'Criação'!$Q$25="Avginiano"),"Vantagem ("&amp;'Criação'!$Q$25&amp;")","")</f>
        <v/>
      </c>
      <c r="D31" s="40" t="n"/>
      <c r="E31" s="39">
        <f>IF('Testes'!$G$44=0,"",IF('Testes'!$G$44&gt;=0,"+","")&amp;'Testes'!$G$44&amp;" de equipamento/Bênção")</f>
        <v/>
      </c>
      <c r="F31" s="40" t="n"/>
      <c r="G31" s="45">
        <f>IFERROR(INDEX($W$2:$W$19,MATCH(5,$Y$2:$Y$19,0))&amp;IF(LEN($AB$6)&gt;0," · Vantagem",""),"")</f>
        <v/>
      </c>
      <c r="H31" s="40" t="n"/>
      <c r="I31" s="45">
        <f>IFERROR(INDEX($Z$2:$Z$19,MATCH(5,$Y$2:$Y$19,0)),"")</f>
        <v/>
      </c>
      <c r="J31" s="45">
        <f>IFERROR(INDEX($W$2:$W$19,MATCH(10,$Y$2:$Y$19,0))&amp;IF(LEN($AB$11)&gt;0," · Vantagem",""),"")</f>
        <v/>
      </c>
      <c r="K31" s="40" t="n"/>
      <c r="L31" s="45">
        <f>IFERROR(INDEX($Z$2:$Z$19,MATCH(10,$Y$2:$Y$19,0)),"")</f>
        <v/>
      </c>
    </row>
    <row r="32" ht="14.25" customHeight="1">
      <c r="A32" s="44" t="inlineStr">
        <is>
          <t>Força de Vontade</t>
        </is>
      </c>
      <c r="B32" s="45">
        <f>'Testes'!$I$45</f>
        <v/>
      </c>
      <c r="C32" s="39">
        <f>IF(OR('Criação'!$Q$25="Xianzhouíta",'Criação'!$Q$25="Vulpes",'Criação'!$Q$25="Avginiano"),"Vantagem ("&amp;'Criação'!$Q$25&amp;")","")</f>
        <v/>
      </c>
      <c r="D32" s="40" t="n"/>
      <c r="E32" s="39">
        <f>IF('Testes'!$G$45=0,"",IF('Testes'!$G$45&gt;=0,"+","")&amp;'Testes'!$G$45&amp;" de equipamento/Bênção")</f>
        <v/>
      </c>
      <c r="F32" s="40" t="n"/>
      <c r="G32" s="14" t="inlineStr">
        <is>
          <t>Usos por combate e descanso (preencha os usados)</t>
        </is>
      </c>
    </row>
    <row r="33" ht="14.25" customHeight="1">
      <c r="A33" s="44" t="inlineStr">
        <is>
          <t>Morrendo (DT 10)</t>
        </is>
      </c>
      <c r="B33" s="45">
        <f>'Testes'!$I$46</f>
        <v/>
      </c>
      <c r="C33" s="41" t="inlineStr">
        <is>
          <t>Sucessos</t>
        </is>
      </c>
      <c r="D33" s="42" t="n"/>
      <c r="E33" s="41" t="inlineStr">
        <is>
          <t>Falhas</t>
        </is>
      </c>
      <c r="F33" s="42" t="n"/>
      <c r="G33" s="39">
        <f>IFERROR(INDEX($S$2:$S$16,MATCH(1,$V$2:$V$16,0))&amp;IF(LEN($AC$2)&gt;0," · "&amp;$AC$2,""),"—")</f>
        <v/>
      </c>
      <c r="H33" s="40" t="n"/>
      <c r="I33" s="40" t="n"/>
      <c r="J33" s="42" t="n"/>
      <c r="K33" s="40" t="n"/>
      <c r="L33" s="40" t="n"/>
      <c r="N33" s="13">
        <f>IF(AP33&gt;0,"O Google leu como fórmula: digite de novo com ' na frente.","")</f>
        <v/>
      </c>
      <c r="AI33">
        <f>IF(ISERROR($D$33),"",IF(ISBLANK($D$33),"",$D$33))</f>
        <v/>
      </c>
      <c r="AK33">
        <f>IF(ISERROR($F$33),"",IF(ISBLANK($F$33),"",$F$33))</f>
        <v/>
      </c>
      <c r="AO33">
        <f>IF(ISERROR($J$33),"",IF(ISBLANK($J$33),"",$J$33))</f>
        <v/>
      </c>
      <c r="AP33">
        <f>ISERROR($D$33)*1+ISERROR($F$33)*1+ISERROR($J$33)*1</f>
        <v/>
      </c>
    </row>
    <row r="34" ht="14.25" customHeight="1">
      <c r="A34" s="44" t="inlineStr">
        <is>
          <t>Morrendo agora</t>
        </is>
      </c>
      <c r="B34" s="39">
        <f>IF(IF(ISNUMBER($AI$33),$AI$33,0)&gt;=3,"Estabiliza com 1 PV",IF(IF(ISNUMBER($AK$33),$AK$33,0)&gt;=3,"Morre",IF($Q$3="Sim",IF(ISNUMBER($AI$33),$AI$33,0)&amp;" sucesso(s), "&amp;IF(ISNUMBER($AK$33),$AK$33,0)&amp;" falha(s) (0 a 3 cada)","Não está Morrendo")))&amp;IF(LEN('Testes'!$J$46)&gt;0," · Vantagem","")</f>
        <v/>
      </c>
      <c r="C34" s="40" t="n"/>
      <c r="D34" s="40" t="n"/>
      <c r="E34" s="40" t="n"/>
      <c r="F34" s="40" t="n"/>
      <c r="G34" s="39">
        <f>IFERROR(INDEX($S$2:$S$16,MATCH(2,$V$2:$V$16,0))&amp;IF(LEN($AC$3)&gt;0," · "&amp;$AC$3,""),"—")</f>
        <v/>
      </c>
      <c r="H34" s="40" t="n"/>
      <c r="I34" s="40" t="n"/>
      <c r="J34" s="42" t="n"/>
      <c r="K34" s="40" t="n"/>
      <c r="L34" s="40" t="n"/>
      <c r="N34" s="13">
        <f>IF(AP34&gt;0,"O Google leu como fórmula: digite de novo com ' na frente.","")</f>
        <v/>
      </c>
      <c r="AP34">
        <f>ISERROR($J$34)*1</f>
        <v/>
      </c>
    </row>
    <row r="35" ht="14.25" customHeight="1">
      <c r="A35" s="14" t="inlineStr">
        <is>
          <t>Condições ativas (21.5) — Quebrado é só de inimigos</t>
        </is>
      </c>
      <c r="G35" s="39">
        <f>IFERROR(INDEX($S$2:$S$16,MATCH(3,$V$2:$V$16,0))&amp;IF(LEN($AC$4)&gt;0," · "&amp;$AC$4,""),"—")</f>
        <v/>
      </c>
      <c r="H35" s="40" t="n"/>
      <c r="I35" s="40" t="n"/>
      <c r="J35" s="42" t="n"/>
      <c r="K35" s="40" t="n"/>
      <c r="L35" s="40" t="n"/>
      <c r="N35" s="13">
        <f>IF(AP35&gt;0,"O Google leu como fórmula: digite de novo com ' na frente.","")</f>
        <v/>
      </c>
      <c r="AP35">
        <f>ISERROR($J$35)*1</f>
        <v/>
      </c>
    </row>
    <row r="36" ht="14.25" customHeight="1">
      <c r="A36" s="47" t="inlineStr">
        <is>
          <t>Condição (preencha)</t>
        </is>
      </c>
      <c r="B36" s="48" t="n"/>
      <c r="C36" s="47" t="inlineStr">
        <is>
          <t>Turnos</t>
        </is>
      </c>
      <c r="D36" s="47" t="inlineStr">
        <is>
          <t>Ef. aplicador</t>
        </is>
      </c>
      <c r="E36" s="47" t="inlineStr">
        <is>
          <t>Efeito (tique por turno)</t>
        </is>
      </c>
      <c r="F36" s="48" t="n"/>
      <c r="G36" s="39">
        <f>IFERROR(INDEX($S$2:$S$16,MATCH(4,$V$2:$V$16,0))&amp;IF(LEN($AC$5)&gt;0," · "&amp;$AC$5,""),"—")</f>
        <v/>
      </c>
      <c r="H36" s="40" t="n"/>
      <c r="I36" s="40" t="n"/>
      <c r="J36" s="42" t="n"/>
      <c r="K36" s="40" t="n"/>
      <c r="L36" s="40" t="n"/>
      <c r="N36" s="13">
        <f>IF(AP36&gt;0,"O Google leu como fórmula: digite de novo com ' na frente.","")</f>
        <v/>
      </c>
      <c r="AP36">
        <f>ISERROR($J$36)*1</f>
        <v/>
      </c>
    </row>
    <row r="37" ht="14.25" customHeight="1">
      <c r="A37" s="53" t="n"/>
      <c r="B37" s="54" t="n"/>
      <c r="C37" s="42" t="n"/>
      <c r="D37" s="42" t="n"/>
      <c r="E37" s="39">
        <f>IF($AF$37="","",IF(AND(ISNUMBER($AI$37),OR($AF$37="Sangramento",$AF$37="Queimadura",$AF$37="Choque",$AF$37="Aprisionamento")),IF($AF$37="Sangramento",$AD$2,$AD$2&amp;" por turno")&amp;IF($AF$37="Aprisionamento"," · Atrasa 2",""),IF($AF$37="Sangramento","5% dos PV máx. por turno",IF($AF$37="Queimadura","Contínuo 2d6 + Eficiência",IF($AF$37="Choque","Contínuo 1d6 + Eficiência",IF($AF$37="Cisalhamento de Vento","Contínuo 1d6 por acúmulo",IF($AF$37="Embaraço","1d6/acúmulo · Atrasa 1 casa",IF($AF$37="Aprisionamento","1d6 + Ef. · Atrasa 2 casas",IF($AF$37="Lentidão","só move com Esforço Total",IF($AF$37="Marcado","+1 Ataque de quem marcou",IF($AF$37="Silenciado","sem Habilidade de Nível 4+",IF($AF$37="Vulnerável","+1 dado de dano da fonte",IF($AF$37="Controlado","quem aplicou decide ações",IF($AF$37="Corrupção","+1 em toda DC do aplicador",IF($AF$37="Surpreso","casa pulada no 1º Ciclo","veja Regras Rápidas (21.5)")))))))))))))))</f>
        <v/>
      </c>
      <c r="F37" s="40" t="n"/>
      <c r="G37" s="39">
        <f>IFERROR(INDEX($S$2:$S$16,MATCH(5,$V$2:$V$16,0))&amp;IF(LEN($AC$6)&gt;0," · "&amp;$AC$6,""),"—")</f>
        <v/>
      </c>
      <c r="H37" s="40" t="n"/>
      <c r="I37" s="40" t="n"/>
      <c r="J37" s="42" t="n"/>
      <c r="K37" s="40" t="n"/>
      <c r="L37" s="40" t="n"/>
      <c r="N37" s="13">
        <f>IF(AP37&gt;0,"O Google leu como fórmula: escolha de novo ou digite com ' na frente.","")</f>
        <v/>
      </c>
      <c r="AF37">
        <f>IF(ISERROR($A$37),"",IF(ISBLANK($A$37),"",$A$37))</f>
        <v/>
      </c>
      <c r="AI37">
        <f>IF(ISERROR($D$37),"",IF(ISBLANK($D$37),"",$D$37))</f>
        <v/>
      </c>
      <c r="AP37">
        <f>ISERROR($A$37)*1+ISERROR($C$37)*1+ISERROR($D$37)*1+ISERROR($J$37)*1</f>
        <v/>
      </c>
    </row>
    <row r="38" ht="14.25" customHeight="1">
      <c r="A38" s="55" t="n"/>
      <c r="B38" s="54" t="n"/>
      <c r="C38" s="56" t="n"/>
      <c r="D38" s="56" t="n"/>
      <c r="E38" s="52">
        <f>IF($AF$38="","",IF(AND(ISNUMBER($AI$38),OR($AF$38="Sangramento",$AF$38="Queimadura",$AF$38="Choque",$AF$38="Aprisionamento")),IF($AF$38="Sangramento",$AD$3,$AD$3&amp;" por turno")&amp;IF($AF$38="Aprisionamento"," · Atrasa 2",""),IF($AF$38="Sangramento","5% dos PV máx. por turno",IF($AF$38="Queimadura","Contínuo 2d6 + Eficiência",IF($AF$38="Choque","Contínuo 1d6 + Eficiência",IF($AF$38="Cisalhamento de Vento","Contínuo 1d6 por acúmulo",IF($AF$38="Embaraço","1d6/acúmulo · Atrasa 1 casa",IF($AF$38="Aprisionamento","1d6 + Ef. · Atrasa 2 casas",IF($AF$38="Lentidão","só move com Esforço Total",IF($AF$38="Marcado","+1 Ataque de quem marcou",IF($AF$38="Silenciado","sem Habilidade de Nível 4+",IF($AF$38="Vulnerável","+1 dado de dano da fonte",IF($AF$38="Controlado","quem aplicou decide ações",IF($AF$38="Corrupção","+1 em toda DC do aplicador",IF($AF$38="Surpreso","casa pulada no 1º Ciclo","veja Regras Rápidas (21.5)")))))))))))))))</f>
        <v/>
      </c>
      <c r="F38" s="40" t="n"/>
      <c r="G38" s="39">
        <f>IFERROR(INDEX($S$2:$S$16,MATCH(6,$V$2:$V$16,0))&amp;IF(LEN($AC$7)&gt;0," · "&amp;$AC$7,""),"—")</f>
        <v/>
      </c>
      <c r="H38" s="40" t="n"/>
      <c r="I38" s="40" t="n"/>
      <c r="J38" s="42" t="n"/>
      <c r="K38" s="40" t="n"/>
      <c r="L38" s="40" t="n"/>
      <c r="N38" s="13">
        <f>IF(AP38&gt;0,"O Google leu como fórmula: escolha de novo ou digite com ' na frente.","")</f>
        <v/>
      </c>
      <c r="AF38">
        <f>IF(ISERROR($A$38),"",IF(ISBLANK($A$38),"",$A$38))</f>
        <v/>
      </c>
      <c r="AI38">
        <f>IF(ISERROR($D$38),"",IF(ISBLANK($D$38),"",$D$38))</f>
        <v/>
      </c>
      <c r="AP38">
        <f>ISERROR($A$38)*1+ISERROR($C$38)*1+ISERROR($D$38)*1+ISERROR($J$38)*1</f>
        <v/>
      </c>
    </row>
    <row r="39" ht="14.25" customHeight="1">
      <c r="A39" s="53" t="n"/>
      <c r="B39" s="54" t="n"/>
      <c r="C39" s="42" t="n"/>
      <c r="D39" s="42" t="n"/>
      <c r="E39" s="39">
        <f>IF($AF$39="","",IF(AND(ISNUMBER($AI$39),OR($AF$39="Sangramento",$AF$39="Queimadura",$AF$39="Choque",$AF$39="Aprisionamento")),IF($AF$39="Sangramento",$AD$4,$AD$4&amp;" por turno")&amp;IF($AF$39="Aprisionamento"," · Atrasa 2",""),IF($AF$39="Sangramento","5% dos PV máx. por turno",IF($AF$39="Queimadura","Contínuo 2d6 + Eficiência",IF($AF$39="Choque","Contínuo 1d6 + Eficiência",IF($AF$39="Cisalhamento de Vento","Contínuo 1d6 por acúmulo",IF($AF$39="Embaraço","1d6/acúmulo · Atrasa 1 casa",IF($AF$39="Aprisionamento","1d6 + Ef. · Atrasa 2 casas",IF($AF$39="Lentidão","só move com Esforço Total",IF($AF$39="Marcado","+1 Ataque de quem marcou",IF($AF$39="Silenciado","sem Habilidade de Nível 4+",IF($AF$39="Vulnerável","+1 dado de dano da fonte",IF($AF$39="Controlado","quem aplicou decide ações",IF($AF$39="Corrupção","+1 em toda DC do aplicador",IF($AF$39="Surpreso","casa pulada no 1º Ciclo","veja Regras Rápidas (21.5)")))))))))))))))</f>
        <v/>
      </c>
      <c r="F39" s="40" t="n"/>
      <c r="G39" s="39">
        <f>IFERROR(INDEX($S$2:$S$16,MATCH(7,$V$2:$V$16,0))&amp;IF(LEN($AC$8)&gt;0," · "&amp;$AC$8,""),"—")</f>
        <v/>
      </c>
      <c r="H39" s="40" t="n"/>
      <c r="I39" s="40" t="n"/>
      <c r="J39" s="42" t="n"/>
      <c r="K39" s="40" t="n"/>
      <c r="L39" s="40" t="n"/>
      <c r="N39" s="13">
        <f>IF(AP39&gt;0,"O Google leu como fórmula: escolha de novo ou digite com ' na frente.","")</f>
        <v/>
      </c>
      <c r="AF39">
        <f>IF(ISERROR($A$39),"",IF(ISBLANK($A$39),"",$A$39))</f>
        <v/>
      </c>
      <c r="AI39">
        <f>IF(ISERROR($D$39),"",IF(ISBLANK($D$39),"",$D$39))</f>
        <v/>
      </c>
      <c r="AP39">
        <f>ISERROR($A$39)*1+ISERROR($C$39)*1+ISERROR($D$39)*1+ISERROR($J$39)*1</f>
        <v/>
      </c>
    </row>
    <row r="40" ht="14.25" customHeight="1">
      <c r="A40" s="55" t="n"/>
      <c r="B40" s="54" t="n"/>
      <c r="C40" s="56" t="n"/>
      <c r="D40" s="56" t="n"/>
      <c r="E40" s="52">
        <f>IF($AF$40="","",IF(AND(ISNUMBER($AI$40),OR($AF$40="Sangramento",$AF$40="Queimadura",$AF$40="Choque",$AF$40="Aprisionamento")),IF($AF$40="Sangramento",$AD$5,$AD$5&amp;" por turno")&amp;IF($AF$40="Aprisionamento"," · Atrasa 2",""),IF($AF$40="Sangramento","5% dos PV máx. por turno",IF($AF$40="Queimadura","Contínuo 2d6 + Eficiência",IF($AF$40="Choque","Contínuo 1d6 + Eficiência",IF($AF$40="Cisalhamento de Vento","Contínuo 1d6 por acúmulo",IF($AF$40="Embaraço","1d6/acúmulo · Atrasa 1 casa",IF($AF$40="Aprisionamento","1d6 + Ef. · Atrasa 2 casas",IF($AF$40="Lentidão","só move com Esforço Total",IF($AF$40="Marcado","+1 Ataque de quem marcou",IF($AF$40="Silenciado","sem Habilidade de Nível 4+",IF($AF$40="Vulnerável","+1 dado de dano da fonte",IF($AF$40="Controlado","quem aplicou decide ações",IF($AF$40="Corrupção","+1 em toda DC do aplicador",IF($AF$40="Surpreso","casa pulada no 1º Ciclo","veja Regras Rápidas (21.5)")))))))))))))))</f>
        <v/>
      </c>
      <c r="F40" s="40" t="n"/>
      <c r="G40" s="39">
        <f>IFERROR(INDEX($S$2:$S$16,MATCH(8,$V$2:$V$16,0))&amp;IF(LEN($AC$9)&gt;0," · "&amp;$AC$9,""),"—")</f>
        <v/>
      </c>
      <c r="H40" s="40" t="n"/>
      <c r="I40" s="40" t="n"/>
      <c r="J40" s="42" t="n"/>
      <c r="K40" s="40" t="n"/>
      <c r="L40" s="40" t="n"/>
      <c r="N40" s="13">
        <f>IF(AP40&gt;0,"O Google leu como fórmula: escolha de novo ou digite com ' na frente.","")</f>
        <v/>
      </c>
      <c r="AF40">
        <f>IF(ISERROR($A$40),"",IF(ISBLANK($A$40),"",$A$40))</f>
        <v/>
      </c>
      <c r="AI40">
        <f>IF(ISERROR($D$40),"",IF(ISBLANK($D$40),"",$D$40))</f>
        <v/>
      </c>
      <c r="AP40">
        <f>ISERROR($A$40)*1+ISERROR($C$40)*1+ISERROR($D$40)*1+ISERROR($J$40)*1</f>
        <v/>
      </c>
    </row>
    <row r="41"/>
    <row r="42" ht="24" customHeight="1">
      <c r="A42" s="1" t="inlineStr">
        <is>
          <t>Em Jogo — Explorando Galáxias v1.1</t>
        </is>
      </c>
    </row>
    <row r="43" ht="26" customHeight="1">
      <c r="A43" s="16" t="inlineStr">
        <is>
          <t>Legenda:</t>
        </is>
      </c>
      <c r="B43" s="3" t="inlineStr">
        <is>
          <t>Entrada (preencha)</t>
        </is>
      </c>
      <c r="C43" s="4" t="inlineStr">
        <is>
          <t>Calculada (automático)</t>
        </is>
      </c>
      <c r="D43" s="5" t="inlineStr">
        <is>
          <t>Aviso (texto em vermelho)</t>
        </is>
      </c>
      <c r="E43" s="6" t="inlineStr">
        <is>
          <t>Título de bloco</t>
        </is>
      </c>
      <c r="F43" s="7" t="inlineStr">
        <is>
          <t>Cabeçalho de coluna</t>
        </is>
      </c>
      <c r="G43" s="8" t="inlineStr">
        <is>
          <t>Rótulo da linha</t>
        </is>
      </c>
      <c r="H43" s="9" t="inlineStr">
        <is>
          <t>Linha alternada (outro tom)</t>
        </is>
      </c>
      <c r="I43" s="10" t="inlineStr">
        <is>
          <t>Não se aplica</t>
        </is>
      </c>
    </row>
    <row r="44">
      <c r="A44" s="11" t="inlineStr">
        <is>
          <t>Tudo que se usa na mesa, numa tela só.</t>
        </is>
      </c>
    </row>
  </sheetData>
  <mergeCells count="110">
    <mergeCell ref="B11:D11"/>
    <mergeCell ref="G21:H21"/>
    <mergeCell ref="G38:I38"/>
    <mergeCell ref="A15:B15"/>
    <mergeCell ref="I1:L1"/>
    <mergeCell ref="E23:F23"/>
    <mergeCell ref="J28:K28"/>
    <mergeCell ref="G18:H18"/>
    <mergeCell ref="B6:D6"/>
    <mergeCell ref="G32:L32"/>
    <mergeCell ref="B34:F34"/>
    <mergeCell ref="K2:L2"/>
    <mergeCell ref="C27:D27"/>
    <mergeCell ref="B4:D4"/>
    <mergeCell ref="E27:F27"/>
    <mergeCell ref="E36:F36"/>
    <mergeCell ref="J31:K31"/>
    <mergeCell ref="A17:B17"/>
    <mergeCell ref="E1:H1"/>
    <mergeCell ref="E10:H10"/>
    <mergeCell ref="A22:B22"/>
    <mergeCell ref="G20:H20"/>
    <mergeCell ref="G36:I36"/>
    <mergeCell ref="A19:B19"/>
    <mergeCell ref="C28:D28"/>
    <mergeCell ref="E22:F22"/>
    <mergeCell ref="G22:H22"/>
    <mergeCell ref="A39:B39"/>
    <mergeCell ref="C30:D30"/>
    <mergeCell ref="G37:I37"/>
    <mergeCell ref="B8:D8"/>
    <mergeCell ref="K15:L15"/>
    <mergeCell ref="K21:L21"/>
    <mergeCell ref="B10:D10"/>
    <mergeCell ref="E38:F38"/>
    <mergeCell ref="E12:H12"/>
    <mergeCell ref="A37:B37"/>
    <mergeCell ref="B9:D9"/>
    <mergeCell ref="A14:L14"/>
    <mergeCell ref="J27:K27"/>
    <mergeCell ref="A35:F35"/>
    <mergeCell ref="E40:F40"/>
    <mergeCell ref="B5:D5"/>
    <mergeCell ref="K17:L17"/>
    <mergeCell ref="A24:L24"/>
    <mergeCell ref="K10:L10"/>
    <mergeCell ref="K19:L19"/>
    <mergeCell ref="G23:L23"/>
    <mergeCell ref="K6:L6"/>
    <mergeCell ref="E18:F18"/>
    <mergeCell ref="K3:L3"/>
    <mergeCell ref="K16:L16"/>
    <mergeCell ref="J29:K29"/>
    <mergeCell ref="G2:H2"/>
    <mergeCell ref="K5:L5"/>
    <mergeCell ref="A36:B36"/>
    <mergeCell ref="G34:I34"/>
    <mergeCell ref="A26:F26"/>
    <mergeCell ref="E39:F39"/>
    <mergeCell ref="K11:L11"/>
    <mergeCell ref="E20:F20"/>
    <mergeCell ref="C29:D29"/>
    <mergeCell ref="I9:L9"/>
    <mergeCell ref="E29:F29"/>
    <mergeCell ref="A42:L42"/>
    <mergeCell ref="C31:D31"/>
    <mergeCell ref="E31:F31"/>
    <mergeCell ref="A1:D1"/>
    <mergeCell ref="A21:B21"/>
    <mergeCell ref="K8:L8"/>
    <mergeCell ref="A13:L13"/>
    <mergeCell ref="G40:I40"/>
    <mergeCell ref="A44:L44"/>
    <mergeCell ref="A23:B23"/>
    <mergeCell ref="A38:B38"/>
    <mergeCell ref="C32:D32"/>
    <mergeCell ref="E32:F32"/>
    <mergeCell ref="A40:B40"/>
    <mergeCell ref="B12:D12"/>
    <mergeCell ref="K18:L18"/>
    <mergeCell ref="G27:H27"/>
    <mergeCell ref="G33:I33"/>
    <mergeCell ref="J30:K30"/>
    <mergeCell ref="A16:B16"/>
    <mergeCell ref="K20:L20"/>
    <mergeCell ref="E19:F19"/>
    <mergeCell ref="G19:H19"/>
    <mergeCell ref="E28:F28"/>
    <mergeCell ref="G35:I35"/>
    <mergeCell ref="G28:H28"/>
    <mergeCell ref="G6:H6"/>
    <mergeCell ref="A18:B18"/>
    <mergeCell ref="K22:L22"/>
    <mergeCell ref="G26:L26"/>
    <mergeCell ref="G3:H3"/>
    <mergeCell ref="E30:F30"/>
    <mergeCell ref="G30:H30"/>
    <mergeCell ref="G5:H5"/>
    <mergeCell ref="B7:D7"/>
    <mergeCell ref="G29:H29"/>
    <mergeCell ref="G4:H4"/>
    <mergeCell ref="A20:B20"/>
    <mergeCell ref="B3:D3"/>
    <mergeCell ref="I12:L12"/>
    <mergeCell ref="G39:I39"/>
    <mergeCell ref="E37:F37"/>
    <mergeCell ref="G31:H31"/>
    <mergeCell ref="E11:H11"/>
    <mergeCell ref="B2:D2"/>
    <mergeCell ref="E21:F21"/>
  </mergeCells>
  <conditionalFormatting sqref="A13">
    <cfRule type="expression" priority="1" dxfId="0">
      <formula>LEN(A13)&gt;0</formula>
    </cfRule>
  </conditionalFormatting>
  <conditionalFormatting sqref="N2">
    <cfRule type="expression" priority="2" dxfId="0">
      <formula>LEN(N2)&gt;0</formula>
    </cfRule>
  </conditionalFormatting>
  <conditionalFormatting sqref="N3">
    <cfRule type="expression" priority="3" dxfId="0">
      <formula>LEN(N3)&gt;0</formula>
    </cfRule>
  </conditionalFormatting>
  <conditionalFormatting sqref="N4">
    <cfRule type="expression" priority="4" dxfId="0">
      <formula>LEN(N4)&gt;0</formula>
    </cfRule>
  </conditionalFormatting>
  <conditionalFormatting sqref="N5">
    <cfRule type="expression" priority="5" dxfId="0">
      <formula>LEN(N5)&gt;0</formula>
    </cfRule>
  </conditionalFormatting>
  <conditionalFormatting sqref="N6">
    <cfRule type="expression" priority="6" dxfId="0">
      <formula>LEN(N6)&gt;0</formula>
    </cfRule>
  </conditionalFormatting>
  <conditionalFormatting sqref="N7">
    <cfRule type="expression" priority="7" dxfId="0">
      <formula>LEN(N7)&gt;0</formula>
    </cfRule>
  </conditionalFormatting>
  <conditionalFormatting sqref="N8">
    <cfRule type="expression" priority="8" dxfId="0">
      <formula>LEN(N8)&gt;0</formula>
    </cfRule>
  </conditionalFormatting>
  <conditionalFormatting sqref="N9">
    <cfRule type="expression" priority="9" dxfId="0">
      <formula>LEN(N9)&gt;0</formula>
    </cfRule>
  </conditionalFormatting>
  <conditionalFormatting sqref="N10">
    <cfRule type="expression" priority="10" dxfId="0">
      <formula>LEN(N10)&gt;0</formula>
    </cfRule>
  </conditionalFormatting>
  <conditionalFormatting sqref="N11">
    <cfRule type="expression" priority="11" dxfId="0">
      <formula>LEN(N11)&gt;0</formula>
    </cfRule>
  </conditionalFormatting>
  <conditionalFormatting sqref="N12">
    <cfRule type="expression" priority="12" dxfId="0">
      <formula>LEN(N12)&gt;0</formula>
    </cfRule>
  </conditionalFormatting>
  <conditionalFormatting sqref="N13">
    <cfRule type="expression" priority="13" dxfId="0">
      <formula>LEN(N13)&gt;0</formula>
    </cfRule>
  </conditionalFormatting>
  <conditionalFormatting sqref="N14">
    <cfRule type="expression" priority="14" dxfId="0">
      <formula>LEN(N14)&gt;0</formula>
    </cfRule>
  </conditionalFormatting>
  <conditionalFormatting sqref="N15">
    <cfRule type="expression" priority="15" dxfId="0">
      <formula>LEN(N15)&gt;0</formula>
    </cfRule>
  </conditionalFormatting>
  <conditionalFormatting sqref="N16">
    <cfRule type="expression" priority="16" dxfId="0">
      <formula>LEN(N16)&gt;0</formula>
    </cfRule>
  </conditionalFormatting>
  <conditionalFormatting sqref="N17">
    <cfRule type="expression" priority="17" dxfId="0">
      <formula>LEN(N17)&gt;0</formula>
    </cfRule>
  </conditionalFormatting>
  <conditionalFormatting sqref="N18">
    <cfRule type="expression" priority="18" dxfId="0">
      <formula>LEN(N18)&gt;0</formula>
    </cfRule>
  </conditionalFormatting>
  <conditionalFormatting sqref="N19">
    <cfRule type="expression" priority="19" dxfId="0">
      <formula>LEN(N19)&gt;0</formula>
    </cfRule>
  </conditionalFormatting>
  <conditionalFormatting sqref="N20">
    <cfRule type="expression" priority="20" dxfId="0">
      <formula>LEN(N20)&gt;0</formula>
    </cfRule>
  </conditionalFormatting>
  <conditionalFormatting sqref="N33">
    <cfRule type="expression" priority="21" dxfId="0">
      <formula>LEN(N33)&gt;0</formula>
    </cfRule>
  </conditionalFormatting>
  <conditionalFormatting sqref="N34">
    <cfRule type="expression" priority="22" dxfId="0">
      <formula>LEN(N34)&gt;0</formula>
    </cfRule>
  </conditionalFormatting>
  <conditionalFormatting sqref="N35">
    <cfRule type="expression" priority="23" dxfId="0">
      <formula>LEN(N35)&gt;0</formula>
    </cfRule>
  </conditionalFormatting>
  <conditionalFormatting sqref="N36">
    <cfRule type="expression" priority="24" dxfId="0">
      <formula>LEN(N36)&gt;0</formula>
    </cfRule>
  </conditionalFormatting>
  <conditionalFormatting sqref="N37">
    <cfRule type="expression" priority="25" dxfId="0">
      <formula>LEN(N37)&gt;0</formula>
    </cfRule>
  </conditionalFormatting>
  <conditionalFormatting sqref="N38">
    <cfRule type="expression" priority="26" dxfId="0">
      <formula>LEN(N38)&gt;0</formula>
    </cfRule>
  </conditionalFormatting>
  <conditionalFormatting sqref="N39">
    <cfRule type="expression" priority="27" dxfId="0">
      <formula>LEN(N39)&gt;0</formula>
    </cfRule>
  </conditionalFormatting>
  <conditionalFormatting sqref="N40">
    <cfRule type="expression" priority="28" dxfId="0">
      <formula>LEN(N40)&gt;0</formula>
    </cfRule>
  </conditionalFormatting>
  <dataValidations count="34">
    <dataValidation sqref="F2" showDropDown="0" showInputMessage="0" showErrorMessage="1" allowBlank="1" errorTitle="Valor fora da faixa" error="PV atual: use um número inteiro de 0 a 9999." type="whole" errorStyle="warning" operator="between">
      <formula1>0</formula1>
      <formula2>9999</formula2>
    </dataValidation>
    <dataValidation sqref="F3" showDropDown="0" showInputMessage="0" showErrorMessage="1" allowBlank="1" errorTitle="Valor fora da faixa" error="PV temporários: use um número inteiro de 0 a 99." type="whole" errorStyle="warning" operator="between">
      <formula1>0</formula1>
      <formula2>99</formula2>
    </dataValidation>
    <dataValidation sqref="F4" showDropDown="0" showInputMessage="0" showErrorMessage="1" allowBlank="1" errorTitle="Valor fora da faixa" error="Energia: use um número inteiro de 0 a 100." type="whole" errorStyle="warning" operator="between">
      <formula1>0</formula1>
      <formula2>100</formula2>
    </dataValidation>
    <dataValidation sqref="F5" showDropDown="0" showInputMessage="0" showErrorMessage="1" allowBlank="1" errorTitle="Valor fora da faixa" error="PH do grupo: use um número inteiro de 0 a 20." type="whole" errorStyle="warning" operator="between">
      <formula1>0</formula1>
      <formula2>20</formula2>
    </dataValidation>
    <dataValidation sqref="F6" showDropDown="0" showInputMessage="0" showErrorMessage="1" allowBlank="1" errorTitle="Valor fora da faixa" error="Esforço: use um número inteiro de 0 a 1." type="whole" errorStyle="warning" operator="between">
      <formula1>0</formula1>
      <formula2>1</formula2>
    </dataValidation>
    <dataValidation sqref="F7" showDropDown="0" showInputMessage="0" showErrorMessage="1" allowBlank="1" errorTitle="Fora da lista" error="Memoespírito ativo: escolha um valor da lista. A ficha pode não reconhecer outro valor." type="list" errorStyle="warning">
      <formula1>'Dados'!$AG$6:$AG$7</formula1>
    </dataValidation>
    <dataValidation sqref="H7" showDropDown="0" showInputMessage="0" showErrorMessage="1" allowBlank="1" errorTitle="Valor fora da faixa" error="PV atual do Memoespírito: use um número inteiro de 0 a 999." type="whole" errorStyle="warning" operator="between">
      <formula1>0</formula1>
      <formula2>999</formula2>
    </dataValidation>
    <dataValidation sqref="F8" showDropDown="0" showInputMessage="0" showErrorMessage="1" allowBlank="1" errorTitle="Valor fora da faixa" error="Acúmulos: use um número inteiro de 0 a 7." type="whole" errorStyle="warning" operator="between">
      <formula1>0</formula1>
      <formula2>7</formula2>
    </dataValidation>
    <dataValidation sqref="F9" showDropDown="0" showInputMessage="0" showErrorMessage="1" allowBlank="1" errorTitle="Valor fora da faixa" error="Marcas da Ruína: use um número inteiro de 0 a 5." type="whole" errorStyle="warning" operator="between">
      <formula1>0</formula1>
      <formula2>5</formula2>
    </dataValidation>
    <dataValidation sqref="J2" showDropDown="0" showInputMessage="0" showErrorMessage="1" allowBlank="1" errorTitle="Valor fora da faixa" error="Dano recebido: use um número inteiro de 0 a 9999." type="whole" errorStyle="warning" operator="between">
      <formula1>0</formula1>
      <formula2>9999</formula2>
    </dataValidation>
    <dataValidation sqref="J3" showDropDown="0" showInputMessage="0" showErrorMessage="1" allowBlank="1" errorTitle="Fora da lista" error="Dano Contínuo: escolha um valor da lista. A ficha pode não reconhecer outro valor." type="list" errorStyle="warning">
      <formula1>'Dados'!$AG$6:$AG$7</formula1>
    </dataValidation>
    <dataValidation sqref="J10" showDropDown="0" showInputMessage="0" showErrorMessage="1" allowBlank="1" errorTitle="Valor fora da faixa" error="Cura recebida: use um número inteiro de 0 a 9999." type="whole" errorStyle="warning" operator="between">
      <formula1>0</formula1>
      <formula2>9999</formula2>
    </dataValidation>
    <dataValidation sqref="D33" showDropDown="0" showInputMessage="0" showErrorMessage="1" allowBlank="1" errorTitle="Valor fora da faixa" error="Sucessos no Teste de Morrendo: use um número inteiro de 0 a 3." type="whole" errorStyle="warning" operator="between">
      <formula1>0</formula1>
      <formula2>3</formula2>
    </dataValidation>
    <dataValidation sqref="F33" showDropDown="0" showInputMessage="0" showErrorMessage="1" allowBlank="1" errorTitle="Valor fora da faixa" error="Falhas no Teste de Morrendo: use um número inteiro de 0 a 3." type="whole" errorStyle="warning" operator="between">
      <formula1>0</formula1>
      <formula2>3</formula2>
    </dataValidation>
    <dataValidation sqref="A37" showDropDown="0" showInputMessage="0" showErrorMessage="1" allowBlank="1" errorTitle="Fora da lista" error="Condição 1: escolha um valor da lista. A ficha pode não reconhecer outro valor." type="list" errorStyle="warning">
      <formula1>'Dados'!$Y$6:$Y$18</formula1>
    </dataValidation>
    <dataValidation sqref="C37" showDropDown="0" showInputMessage="0" showErrorMessage="1" allowBlank="1" errorTitle="Valor fora da faixa" error="Turnos: use um número inteiro de 0 a 99." type="whole" errorStyle="warning" operator="between">
      <formula1>0</formula1>
      <formula2>99</formula2>
    </dataValidation>
    <dataValidation sqref="D37" showDropDown="0" showInputMessage="0" showErrorMessage="1" allowBlank="1" errorTitle="Valor fora da faixa" error="Eficiência de quem aplicou: use um número inteiro de 2 a 8." type="whole" errorStyle="warning" operator="between">
      <formula1>2</formula1>
      <formula2>8</formula2>
    </dataValidation>
    <dataValidation sqref="A38" showDropDown="0" showInputMessage="0" showErrorMessage="1" allowBlank="1" errorTitle="Fora da lista" error="Condição 2: escolha um valor da lista. A ficha pode não reconhecer outro valor." type="list" errorStyle="warning">
      <formula1>'Dados'!$Y$6:$Y$18</formula1>
    </dataValidation>
    <dataValidation sqref="C38" showDropDown="0" showInputMessage="0" showErrorMessage="1" allowBlank="1" errorTitle="Valor fora da faixa" error="Turnos: use um número inteiro de 0 a 99." type="whole" errorStyle="warning" operator="between">
      <formula1>0</formula1>
      <formula2>99</formula2>
    </dataValidation>
    <dataValidation sqref="D38" showDropDown="0" showInputMessage="0" showErrorMessage="1" allowBlank="1" errorTitle="Valor fora da faixa" error="Eficiência de quem aplicou: use um número inteiro de 2 a 8." type="whole" errorStyle="warning" operator="between">
      <formula1>2</formula1>
      <formula2>8</formula2>
    </dataValidation>
    <dataValidation sqref="A39" showDropDown="0" showInputMessage="0" showErrorMessage="1" allowBlank="1" errorTitle="Fora da lista" error="Condição 3: escolha um valor da lista. A ficha pode não reconhecer outro valor." type="list" errorStyle="warning">
      <formula1>'Dados'!$Y$6:$Y$18</formula1>
    </dataValidation>
    <dataValidation sqref="C39" showDropDown="0" showInputMessage="0" showErrorMessage="1" allowBlank="1" errorTitle="Valor fora da faixa" error="Turnos: use um número inteiro de 0 a 99." type="whole" errorStyle="warning" operator="between">
      <formula1>0</formula1>
      <formula2>99</formula2>
    </dataValidation>
    <dataValidation sqref="D39" showDropDown="0" showInputMessage="0" showErrorMessage="1" allowBlank="1" errorTitle="Valor fora da faixa" error="Eficiência de quem aplicou: use um número inteiro de 2 a 8." type="whole" errorStyle="warning" operator="between">
      <formula1>2</formula1>
      <formula2>8</formula2>
    </dataValidation>
    <dataValidation sqref="A40" showDropDown="0" showInputMessage="0" showErrorMessage="1" allowBlank="1" errorTitle="Fora da lista" error="Condição 4: escolha um valor da lista. A ficha pode não reconhecer outro valor." type="list" errorStyle="warning">
      <formula1>'Dados'!$Y$6:$Y$18</formula1>
    </dataValidation>
    <dataValidation sqref="C40" showDropDown="0" showInputMessage="0" showErrorMessage="1" allowBlank="1" errorTitle="Valor fora da faixa" error="Turnos: use um número inteiro de 0 a 99." type="whole" errorStyle="warning" operator="between">
      <formula1>0</formula1>
      <formula2>99</formula2>
    </dataValidation>
    <dataValidation sqref="D40" showDropDown="0" showInputMessage="0" showErrorMessage="1" allowBlank="1" errorTitle="Valor fora da faixa" error="Eficiência de quem aplicou: use um número inteiro de 2 a 8." type="whole" errorStyle="warning" operator="between">
      <formula1>2</formula1>
      <formula2>8</formula2>
    </dataValidation>
    <dataValidation sqref="J33" showDropDown="0" showInputMessage="0" showErrorMessage="1" allowBlank="1" errorTitle="Valor fora da faixa" error="Usados: use um número inteiro de 0 a 9." type="whole" errorStyle="warning" operator="between">
      <formula1>0</formula1>
      <formula2>9</formula2>
    </dataValidation>
    <dataValidation sqref="J34" showDropDown="0" showInputMessage="0" showErrorMessage="1" allowBlank="1" errorTitle="Valor fora da faixa" error="Usados: use um número inteiro de 0 a 9." type="whole" errorStyle="warning" operator="between">
      <formula1>0</formula1>
      <formula2>9</formula2>
    </dataValidation>
    <dataValidation sqref="J35" showDropDown="0" showInputMessage="0" showErrorMessage="1" allowBlank="1" errorTitle="Valor fora da faixa" error="Usados: use um número inteiro de 0 a 9." type="whole" errorStyle="warning" operator="between">
      <formula1>0</formula1>
      <formula2>9</formula2>
    </dataValidation>
    <dataValidation sqref="J36" showDropDown="0" showInputMessage="0" showErrorMessage="1" allowBlank="1" errorTitle="Valor fora da faixa" error="Usados: use um número inteiro de 0 a 9." type="whole" errorStyle="warning" operator="between">
      <formula1>0</formula1>
      <formula2>9</formula2>
    </dataValidation>
    <dataValidation sqref="J37" showDropDown="0" showInputMessage="0" showErrorMessage="1" allowBlank="1" errorTitle="Valor fora da faixa" error="Usados: use um número inteiro de 0 a 9." type="whole" errorStyle="warning" operator="between">
      <formula1>0</formula1>
      <formula2>9</formula2>
    </dataValidation>
    <dataValidation sqref="J38" showDropDown="0" showInputMessage="0" showErrorMessage="1" allowBlank="1" errorTitle="Valor fora da faixa" error="Usados: use um número inteiro de 0 a 9." type="whole" errorStyle="warning" operator="between">
      <formula1>0</formula1>
      <formula2>9</formula2>
    </dataValidation>
    <dataValidation sqref="J39" showDropDown="0" showInputMessage="0" showErrorMessage="1" allowBlank="1" errorTitle="Valor fora da faixa" error="Usados: use um número inteiro de 0 a 9." type="whole" errorStyle="warning" operator="between">
      <formula1>0</formula1>
      <formula2>9</formula2>
    </dataValidation>
    <dataValidation sqref="J40" showDropDown="0" showInputMessage="0" showErrorMessage="1" allowBlank="1" errorTitle="Valor fora da faixa" error="Usados: use um número inteiro de 0 a 9." type="whole" errorStyle="warning" operator="between">
      <formula1>0</formula1>
      <formula2>9</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7"/>
  <sheetViews>
    <sheetView showGridLines="1" workbookViewId="0">
      <selection activeCell="A1" sqref="A1"/>
    </sheetView>
  </sheetViews>
  <sheetFormatPr baseColWidth="8" defaultRowHeight="15"/>
  <cols>
    <col width="22" customWidth="1" min="1" max="1"/>
    <col width="14" customWidth="1" min="2" max="2"/>
    <col width="7" customWidth="1" min="3" max="3"/>
    <col width="15" customWidth="1" min="4" max="4"/>
    <col width="12" customWidth="1" min="5" max="5"/>
    <col width="11.5" customWidth="1" min="6" max="6"/>
    <col width="14.6" customWidth="1" min="7" max="7"/>
    <col width="7" customWidth="1" min="8" max="8"/>
    <col width="11" customWidth="1" min="9" max="9"/>
    <col width="30" customWidth="1" min="10" max="10"/>
    <col width="16" customWidth="1" min="11" max="11"/>
    <col width="25.786" customWidth="1" min="12" max="12"/>
    <col hidden="1" width="13" customWidth="1" min="14" max="14"/>
    <col hidden="1" width="13" customWidth="1" min="15" max="15"/>
  </cols>
  <sheetData>
    <row r="1" ht="24" customHeight="1">
      <c r="A1" s="1" t="inlineStr">
        <is>
          <t>Testes — Explorando Galáxias v1.1</t>
        </is>
      </c>
    </row>
    <row r="2" ht="37" customHeight="1">
      <c r="A2" s="2" t="inlineStr">
        <is>
          <t>Legenda:</t>
        </is>
      </c>
      <c r="B2" s="3" t="inlineStr">
        <is>
          <t>Entrada (preencha)</t>
        </is>
      </c>
      <c r="C2" s="4" t="inlineStr">
        <is>
          <t>Calculada (automático)</t>
        </is>
      </c>
      <c r="E2" s="5" t="inlineStr">
        <is>
          <t>Aviso (texto em vermelho)</t>
        </is>
      </c>
      <c r="G2" s="6" t="inlineStr">
        <is>
          <t>Título de bloco</t>
        </is>
      </c>
      <c r="H2" s="57" t="inlineStr">
        <is>
          <t>Cabeçalho de coluna</t>
        </is>
      </c>
      <c r="I2" s="15" t="n"/>
      <c r="J2" s="8" t="inlineStr">
        <is>
          <t>Rótulo da linha</t>
        </is>
      </c>
      <c r="K2" s="9" t="inlineStr">
        <is>
          <t>Linha alternada (outro tom)</t>
        </is>
      </c>
      <c r="L2" s="10" t="inlineStr">
        <is>
          <t>Não se aplica</t>
        </is>
      </c>
    </row>
    <row r="3">
      <c r="A3" s="11" t="inlineStr">
        <is>
          <t>As 18 Perícias e os 6 Testes de Resistência com a rolagem pronta.</t>
        </is>
      </c>
    </row>
    <row r="4"/>
    <row r="5">
      <c r="A5" s="14" t="inlineStr">
        <is>
          <t>DT por faixa — 27.2 (a sua faixa)</t>
        </is>
      </c>
      <c r="F5" s="12" t="inlineStr">
        <is>
          <t>DT das suas Habilidades:</t>
        </is>
      </c>
      <c r="I5" s="17">
        <f>'Criação'!$B$56</f>
        <v/>
      </c>
      <c r="J5" s="12" t="inlineStr">
        <is>
          <t>Sucesso Automático: bônus total ≥ DT → não rola (só Perícia, 27.2)</t>
        </is>
      </c>
    </row>
    <row r="6">
      <c r="A6" s="7" t="inlineStr">
        <is>
          <t>Dificuldade</t>
        </is>
      </c>
      <c r="B6" s="7" t="inlineStr">
        <is>
          <t>DT</t>
        </is>
      </c>
    </row>
    <row r="7">
      <c r="A7" s="58">
        <f>INDEX('Dados'!$A$417:$A$422,1)</f>
        <v/>
      </c>
      <c r="B7" s="17">
        <f>INDEX('Dados'!$A$417:$F$422,1,'Criação'!$B$14+1)</f>
        <v/>
      </c>
    </row>
    <row r="8">
      <c r="A8" s="59">
        <f>INDEX('Dados'!$A$417:$A$422,2)</f>
        <v/>
      </c>
      <c r="B8" s="19">
        <f>INDEX('Dados'!$A$417:$F$422,2,'Criação'!$B$14+1)</f>
        <v/>
      </c>
    </row>
    <row r="9">
      <c r="A9" s="58">
        <f>INDEX('Dados'!$A$417:$A$422,3)</f>
        <v/>
      </c>
      <c r="B9" s="17">
        <f>INDEX('Dados'!$A$417:$F$422,3,'Criação'!$B$14+1)</f>
        <v/>
      </c>
    </row>
    <row r="10">
      <c r="A10" s="59">
        <f>INDEX('Dados'!$A$417:$A$422,4)</f>
        <v/>
      </c>
      <c r="B10" s="19">
        <f>INDEX('Dados'!$A$417:$F$422,4,'Criação'!$B$14+1)</f>
        <v/>
      </c>
    </row>
    <row r="11">
      <c r="A11" s="58">
        <f>INDEX('Dados'!$A$417:$A$422,5)</f>
        <v/>
      </c>
      <c r="B11" s="17">
        <f>INDEX('Dados'!$A$417:$F$422,5,'Criação'!$B$14+1)</f>
        <v/>
      </c>
    </row>
    <row r="12">
      <c r="A12" s="59">
        <f>INDEX('Dados'!$A$417:$A$422,6)</f>
        <v/>
      </c>
      <c r="B12" s="19">
        <f>INDEX('Dados'!$A$417:$F$422,6,'Criação'!$B$14+1)</f>
        <v/>
      </c>
    </row>
    <row r="13"/>
    <row r="14">
      <c r="A14" s="14" t="inlineStr">
        <is>
          <t>Perícias — 04.4 (rolagem pronta: d20 + Bônus + Eficiência)</t>
        </is>
      </c>
    </row>
    <row r="15" ht="40" customHeight="1">
      <c r="A15" s="7" t="inlineStr">
        <is>
          <t>Perícia (Poder, Agilidade e Vigor)</t>
        </is>
      </c>
      <c r="B15" s="7" t="inlineStr">
        <is>
          <t>Atributo</t>
        </is>
      </c>
      <c r="C15" s="7" t="inlineStr">
        <is>
          <t>Bônus</t>
        </is>
      </c>
      <c r="D15" s="7" t="inlineStr">
        <is>
          <t>Eficiência (origem)</t>
        </is>
      </c>
      <c r="E15" s="7" t="inlineStr">
        <is>
          <t>Eficácia (preencha Sim)</t>
        </is>
      </c>
      <c r="F15" s="7" t="inlineStr">
        <is>
          <t>Penalidade (Armadura Pesada)</t>
        </is>
      </c>
      <c r="G15" s="7" t="inlineStr">
        <is>
          <t>Extra (equipamento)</t>
        </is>
      </c>
      <c r="H15" s="7" t="inlineStr">
        <is>
          <t>Total</t>
        </is>
      </c>
      <c r="I15" s="7" t="inlineStr">
        <is>
          <t>Rolagem</t>
        </is>
      </c>
      <c r="J15" s="7" t="inlineStr">
        <is>
          <t>Vantagem racial</t>
        </is>
      </c>
      <c r="K15" s="7" t="inlineStr">
        <is>
          <t>Sucesso Automático até</t>
        </is>
      </c>
      <c r="L15" s="7" t="inlineStr">
        <is>
          <t>Aviso</t>
        </is>
      </c>
    </row>
    <row r="16" ht="37" customHeight="1">
      <c r="A16" s="16" t="inlineStr">
        <is>
          <t>Atletismo</t>
        </is>
      </c>
      <c r="B16" s="22">
        <f>'Criação'!$B$69</f>
        <v/>
      </c>
      <c r="C16" s="22">
        <f>IFERROR(INDEX('Criação'!$F$44:$F$49,MATCH($B$16,'Criação'!$A$44:$A$49,0)),0)</f>
        <v/>
      </c>
      <c r="D16" s="22">
        <f>IF('Criação'!$E$69="Sim","Sim ("&amp;'Criação'!$F$69&amp;")","Não")</f>
        <v/>
      </c>
      <c r="E16" s="23" t="n"/>
      <c r="F16" s="22">
        <f>IF($B$16="Agilidade",'Criação'!$E$93,0)</f>
        <v/>
      </c>
      <c r="G16" s="22">
        <f>IF('Equipamento'!$L$31="Atletismo",'Equipamento'!$K$31,0)+MIN('Criação'!$J$14,COUNTIF('Equipamento'!$P$45:$P$47,"Atletismo"))</f>
        <v/>
      </c>
      <c r="H16" s="17">
        <f>$C$16+IF('Criação'!$E$69="Sim",IF(AND($N$16="Sim",'Criação'!$E$69="Sim",COUNTIF($N$16,"Sim")&lt;='Criação'!$E$14),2*'Criação'!$C$14,'Criação'!$C$14),0)+$F$16+$G$16</f>
        <v/>
      </c>
      <c r="I16" s="17">
        <f>"d20"&amp;IF($H$16&gt;=0,"+","")&amp;$H$16</f>
        <v/>
      </c>
      <c r="J16" s="4">
        <f>""</f>
        <v/>
      </c>
      <c r="K16" s="4">
        <f>IF($H$16&gt;=$B$12,"Heroica ("&amp;$B$12&amp;")",IF($H$16&gt;=$B$11,"Muito Difícil ("&amp;$B$11&amp;")",IF($H$16&gt;=$B$10,"Difícil ("&amp;$B$10&amp;")",IF($H$16&gt;=$B$9,"Média ("&amp;$B$9&amp;")",IF($H$16&gt;=$B$8,"Fácil ("&amp;$B$8&amp;")",IF($H$16&gt;=$B$7,"Trivial ("&amp;$B$7&amp;")","—"))))))</f>
        <v/>
      </c>
      <c r="L16" s="13">
        <f>IF(O16&gt;0,"O Google leu como fórmula: escolha de novo na lista.",IF($N$16&lt;&gt;"Sim","",IF('Criação'!$E$69&lt;&gt;"Sim","Eficácia exige Eficiência nesta Perícia",IF(COUNTIF($N$16,"Sim")&gt;'Criação'!$E$14,"Acima dos slots de Eficácia em Perícias ("&amp;'Criação'!$E$14&amp;")",""))))</f>
        <v/>
      </c>
      <c r="N16">
        <f>IF(ISERROR($E$16),"",IF(ISBLANK($E$16),"",$E$16))</f>
        <v/>
      </c>
      <c r="O16">
        <f>ISERROR($E$16)*1</f>
        <v/>
      </c>
    </row>
    <row r="17" ht="37" customHeight="1">
      <c r="A17" s="18" t="inlineStr">
        <is>
          <t>Acrobacia</t>
        </is>
      </c>
      <c r="B17" s="21">
        <f>'Criação'!$B$70</f>
        <v/>
      </c>
      <c r="C17" s="21">
        <f>IFERROR(INDEX('Criação'!$F$44:$F$49,MATCH($B$17,'Criação'!$A$44:$A$49,0)),0)</f>
        <v/>
      </c>
      <c r="D17" s="21">
        <f>IF('Criação'!$E$70="Sim","Sim ("&amp;'Criação'!$F$70&amp;")","Não")</f>
        <v/>
      </c>
      <c r="E17" s="36" t="n"/>
      <c r="F17" s="21">
        <f>IF($B$17="Agilidade",'Criação'!$E$93,0)</f>
        <v/>
      </c>
      <c r="G17" s="21">
        <f>IF('Equipamento'!$L$31="Acrobacia",'Equipamento'!$K$31,0)+MIN('Criação'!$J$14,COUNTIF('Equipamento'!$P$45:$P$47,"Acrobacia"))</f>
        <v/>
      </c>
      <c r="H17" s="19">
        <f>$C$17+IF('Criação'!$E$70="Sim",IF(AND($N$17="Sim",'Criação'!$E$70="Sim",COUNTIF($N$16:$N$17,"Sim")&lt;='Criação'!$E$14),2*'Criação'!$C$14,'Criação'!$C$14),0)+$F$17+$G$17</f>
        <v/>
      </c>
      <c r="I17" s="19">
        <f>"d20"&amp;IF($H$17&gt;=0,"+","")&amp;$H$17</f>
        <v/>
      </c>
      <c r="J17" s="9">
        <f>""</f>
        <v/>
      </c>
      <c r="K17" s="9">
        <f>IF($H$17&gt;=$B$12,"Heroica ("&amp;$B$12&amp;")",IF($H$17&gt;=$B$11,"Muito Difícil ("&amp;$B$11&amp;")",IF($H$17&gt;=$B$10,"Difícil ("&amp;$B$10&amp;")",IF($H$17&gt;=$B$9,"Média ("&amp;$B$9&amp;")",IF($H$17&gt;=$B$8,"Fácil ("&amp;$B$8&amp;")",IF($H$17&gt;=$B$7,"Trivial ("&amp;$B$7&amp;")","—"))))))</f>
        <v/>
      </c>
      <c r="L17" s="20">
        <f>IF(O17&gt;0,"O Google leu como fórmula: escolha de novo na lista.",IF($N$17&lt;&gt;"Sim","",IF('Criação'!$E$70&lt;&gt;"Sim","Eficácia exige Eficiência nesta Perícia",IF(COUNTIF($N$16:$N$17,"Sim")&gt;'Criação'!$E$14,"Acima dos slots de Eficácia em Perícias ("&amp;'Criação'!$E$14&amp;")",""))))</f>
        <v/>
      </c>
      <c r="N17">
        <f>IF(ISERROR($E$17),"",IF(ISBLANK($E$17),"",$E$17))</f>
        <v/>
      </c>
      <c r="O17">
        <f>ISERROR($E$17)*1</f>
        <v/>
      </c>
    </row>
    <row r="18" ht="37" customHeight="1">
      <c r="A18" s="16" t="inlineStr">
        <is>
          <t>Furtividade</t>
        </is>
      </c>
      <c r="B18" s="22">
        <f>'Criação'!$B$71</f>
        <v/>
      </c>
      <c r="C18" s="22">
        <f>IFERROR(INDEX('Criação'!$F$44:$F$49,MATCH($B$18,'Criação'!$A$44:$A$49,0)),0)</f>
        <v/>
      </c>
      <c r="D18" s="22">
        <f>IF('Criação'!$E$71="Sim","Sim ("&amp;'Criação'!$F$71&amp;")","Não")</f>
        <v/>
      </c>
      <c r="E18" s="23" t="n"/>
      <c r="F18" s="22">
        <f>IF($B$18="Agilidade",'Criação'!$E$93,0)</f>
        <v/>
      </c>
      <c r="G18" s="22">
        <f>IF('Equipamento'!$L$31="Furtividade",'Equipamento'!$K$31,0)+MIN('Criação'!$J$14,COUNTIF('Equipamento'!$P$45:$P$47,"Furtividade"))</f>
        <v/>
      </c>
      <c r="H18" s="17">
        <f>$C$18+IF('Criação'!$E$71="Sim",IF(AND($N$18="Sim",'Criação'!$E$71="Sim",COUNTIF($N$16:$N$18,"Sim")&lt;='Criação'!$E$14),2*'Criação'!$C$14,'Criação'!$C$14),0)+$F$18+$G$18</f>
        <v/>
      </c>
      <c r="I18" s="17">
        <f>"d20"&amp;IF($H$18&gt;=0,"+","")&amp;$H$18</f>
        <v/>
      </c>
      <c r="J18" s="4">
        <f>""</f>
        <v/>
      </c>
      <c r="K18" s="4">
        <f>IF($H$18&gt;=$B$12,"Heroica ("&amp;$B$12&amp;")",IF($H$18&gt;=$B$11,"Muito Difícil ("&amp;$B$11&amp;")",IF($H$18&gt;=$B$10,"Difícil ("&amp;$B$10&amp;")",IF($H$18&gt;=$B$9,"Média ("&amp;$B$9&amp;")",IF($H$18&gt;=$B$8,"Fácil ("&amp;$B$8&amp;")",IF($H$18&gt;=$B$7,"Trivial ("&amp;$B$7&amp;")","—"))))))</f>
        <v/>
      </c>
      <c r="L18" s="13">
        <f>IF(O18&gt;0,"O Google leu como fórmula: escolha de novo na lista.",IF($N$18&lt;&gt;"Sim","",IF('Criação'!$E$71&lt;&gt;"Sim","Eficácia exige Eficiência nesta Perícia",IF(COUNTIF($N$16:$N$18,"Sim")&gt;'Criação'!$E$14,"Acima dos slots de Eficácia em Perícias ("&amp;'Criação'!$E$14&amp;")",""))))</f>
        <v/>
      </c>
      <c r="N18">
        <f>IF(ISERROR($E$18),"",IF(ISBLANK($E$18),"",$E$18))</f>
        <v/>
      </c>
      <c r="O18">
        <f>ISERROR($E$18)*1</f>
        <v/>
      </c>
    </row>
    <row r="19" ht="37" customHeight="1">
      <c r="A19" s="18" t="inlineStr">
        <is>
          <t>Pilotagem</t>
        </is>
      </c>
      <c r="B19" s="21">
        <f>'Criação'!$B$72</f>
        <v/>
      </c>
      <c r="C19" s="21">
        <f>IFERROR(INDEX('Criação'!$F$44:$F$49,MATCH($B$19,'Criação'!$A$44:$A$49,0)),0)</f>
        <v/>
      </c>
      <c r="D19" s="21">
        <f>IF('Criação'!$E$72="Sim","Sim ("&amp;'Criação'!$F$72&amp;")","Não")</f>
        <v/>
      </c>
      <c r="E19" s="36" t="n"/>
      <c r="F19" s="21">
        <f>IF($B$19="Agilidade",'Criação'!$E$93,0)</f>
        <v/>
      </c>
      <c r="G19" s="21">
        <f>IF('Equipamento'!$L$31="Pilotagem",'Equipamento'!$K$31,0)+MIN('Criação'!$J$14,COUNTIF('Equipamento'!$P$45:$P$47,"Pilotagem"))</f>
        <v/>
      </c>
      <c r="H19" s="19">
        <f>$C$19+IF('Criação'!$E$72="Sim",IF(AND($N$19="Sim",'Criação'!$E$72="Sim",COUNTIF($N$16:$N$19,"Sim")&lt;='Criação'!$E$14),2*'Criação'!$C$14,'Criação'!$C$14),0)+$F$19+$G$19</f>
        <v/>
      </c>
      <c r="I19" s="19">
        <f>"d20"&amp;IF($H$19&gt;=0,"+","")&amp;$H$19</f>
        <v/>
      </c>
      <c r="J19" s="9">
        <f>""</f>
        <v/>
      </c>
      <c r="K19" s="9">
        <f>IF($H$19&gt;=$B$12,"Heroica ("&amp;$B$12&amp;")",IF($H$19&gt;=$B$11,"Muito Difícil ("&amp;$B$11&amp;")",IF($H$19&gt;=$B$10,"Difícil ("&amp;$B$10&amp;")",IF($H$19&gt;=$B$9,"Média ("&amp;$B$9&amp;")",IF($H$19&gt;=$B$8,"Fácil ("&amp;$B$8&amp;")",IF($H$19&gt;=$B$7,"Trivial ("&amp;$B$7&amp;")","—"))))))</f>
        <v/>
      </c>
      <c r="L19" s="20">
        <f>IF(O19&gt;0,"O Google leu como fórmula: escolha de novo na lista.",IF($N$19&lt;&gt;"Sim","",IF('Criação'!$E$72&lt;&gt;"Sim","Eficácia exige Eficiência nesta Perícia",IF(COUNTIF($N$16:$N$19,"Sim")&gt;'Criação'!$E$14,"Acima dos slots de Eficácia em Perícias ("&amp;'Criação'!$E$14&amp;")",""))))</f>
        <v/>
      </c>
      <c r="N19">
        <f>IF(ISERROR($E$19),"",IF(ISBLANK($E$19),"",$E$19))</f>
        <v/>
      </c>
      <c r="O19">
        <f>ISERROR($E$19)*1</f>
        <v/>
      </c>
    </row>
    <row r="20" ht="37" customHeight="1">
      <c r="A20" s="16" t="inlineStr">
        <is>
          <t>Resistência</t>
        </is>
      </c>
      <c r="B20" s="22">
        <f>'Criação'!$B$73</f>
        <v/>
      </c>
      <c r="C20" s="22">
        <f>IFERROR(INDEX('Criação'!$F$44:$F$49,MATCH($B$20,'Criação'!$A$44:$A$49,0)),0)</f>
        <v/>
      </c>
      <c r="D20" s="22">
        <f>IF('Criação'!$E$73="Sim","Sim ("&amp;'Criação'!$F$73&amp;")","Não")</f>
        <v/>
      </c>
      <c r="E20" s="23" t="n"/>
      <c r="F20" s="22">
        <f>IF($B$20="Agilidade",'Criação'!$E$93,0)</f>
        <v/>
      </c>
      <c r="G20" s="22">
        <f>IF('Equipamento'!$L$31="Resistência",'Equipamento'!$K$31,0)+MIN('Criação'!$J$14,COUNTIF('Equipamento'!$P$45:$P$47,"Resistência"))</f>
        <v/>
      </c>
      <c r="H20" s="17">
        <f>$C$20+IF('Criação'!$E$73="Sim",IF(AND($N$20="Sim",'Criação'!$E$73="Sim",COUNTIF($N$16:$N$20,"Sim")&lt;='Criação'!$E$14),2*'Criação'!$C$14,'Criação'!$C$14),0)+$F$20+$G$20</f>
        <v/>
      </c>
      <c r="I20" s="17">
        <f>"d20"&amp;IF($H$20&gt;=0,"+","")&amp;$H$20</f>
        <v/>
      </c>
      <c r="J20" s="4">
        <f>""</f>
        <v/>
      </c>
      <c r="K20" s="4">
        <f>IF($H$20&gt;=$B$12,"Heroica ("&amp;$B$12&amp;")",IF($H$20&gt;=$B$11,"Muito Difícil ("&amp;$B$11&amp;")",IF($H$20&gt;=$B$10,"Difícil ("&amp;$B$10&amp;")",IF($H$20&gt;=$B$9,"Média ("&amp;$B$9&amp;")",IF($H$20&gt;=$B$8,"Fácil ("&amp;$B$8&amp;")",IF($H$20&gt;=$B$7,"Trivial ("&amp;$B$7&amp;")","—"))))))</f>
        <v/>
      </c>
      <c r="L20" s="13">
        <f>IF(O20&gt;0,"O Google leu como fórmula: escolha de novo na lista.",IF($N$20&lt;&gt;"Sim","",IF('Criação'!$E$73&lt;&gt;"Sim","Eficácia exige Eficiência nesta Perícia",IF(COUNTIF($N$16:$N$20,"Sim")&gt;'Criação'!$E$14,"Acima dos slots de Eficácia em Perícias ("&amp;'Criação'!$E$14&amp;")",""))))</f>
        <v/>
      </c>
      <c r="N20">
        <f>IF(ISERROR($E$20),"",IF(ISBLANK($E$20),"",$E$20))</f>
        <v/>
      </c>
      <c r="O20">
        <f>ISERROR($E$20)*1</f>
        <v/>
      </c>
    </row>
    <row r="21" ht="40" customHeight="1">
      <c r="A21" s="7" t="inlineStr">
        <is>
          <t>Perícia (Sincronia e Discernimento)</t>
        </is>
      </c>
      <c r="B21" s="7" t="inlineStr">
        <is>
          <t>Atributo</t>
        </is>
      </c>
      <c r="C21" s="7" t="inlineStr">
        <is>
          <t>Bônus</t>
        </is>
      </c>
      <c r="D21" s="7" t="inlineStr">
        <is>
          <t>Eficiência (origem)</t>
        </is>
      </c>
      <c r="E21" s="7" t="inlineStr">
        <is>
          <t>Eficácia (preencha Sim)</t>
        </is>
      </c>
      <c r="F21" s="7" t="inlineStr">
        <is>
          <t>Penalidade (Armadura Pesada)</t>
        </is>
      </c>
      <c r="G21" s="7" t="inlineStr">
        <is>
          <t>Extra (equipamento)</t>
        </is>
      </c>
      <c r="H21" s="7" t="inlineStr">
        <is>
          <t>Total</t>
        </is>
      </c>
      <c r="I21" s="7" t="inlineStr">
        <is>
          <t>Rolagem</t>
        </is>
      </c>
      <c r="J21" s="7" t="inlineStr">
        <is>
          <t>Vantagem racial</t>
        </is>
      </c>
      <c r="K21" s="7" t="inlineStr">
        <is>
          <t>Sucesso Automático até</t>
        </is>
      </c>
      <c r="L21" s="7" t="inlineStr">
        <is>
          <t>Aviso</t>
        </is>
      </c>
      <c r="N21">
        <f>IF(ISERROR($E$21),"",IF(ISBLANK($E$21),"",$E$21))</f>
        <v/>
      </c>
    </row>
    <row r="22" ht="37" customHeight="1">
      <c r="A22" s="16" t="inlineStr">
        <is>
          <t>Tecnologia</t>
        </is>
      </c>
      <c r="B22" s="22">
        <f>'Criação'!$B$75</f>
        <v/>
      </c>
      <c r="C22" s="22">
        <f>IFERROR(INDEX('Criação'!$F$44:$F$49,MATCH($B$22,'Criação'!$A$44:$A$49,0)),0)</f>
        <v/>
      </c>
      <c r="D22" s="22">
        <f>IF('Criação'!$E$75="Sim","Sim ("&amp;'Criação'!$F$75&amp;")","Não")</f>
        <v/>
      </c>
      <c r="E22" s="23" t="n"/>
      <c r="F22" s="22">
        <f>IF($B$22="Agilidade",'Criação'!$E$93,0)</f>
        <v/>
      </c>
      <c r="G22" s="22">
        <f>IF('Equipamento'!$L$31="Tecnologia",'Equipamento'!$K$31,0)+MIN('Criação'!$J$14,COUNTIF('Equipamento'!$P$45:$P$47,"Tecnologia"))</f>
        <v/>
      </c>
      <c r="H22" s="17">
        <f>$C$22+IF('Criação'!$E$75="Sim",IF(AND($N$22="Sim",'Criação'!$E$75="Sim",COUNTIF($N$16:$N$22,"Sim")&lt;='Criação'!$E$14),2*'Criação'!$C$14,'Criação'!$C$14),0)+$F$22+$G$22</f>
        <v/>
      </c>
      <c r="I22" s="17">
        <f>"d20"&amp;IF($H$22&gt;=0,"+","")&amp;$H$22</f>
        <v/>
      </c>
      <c r="J22" s="4">
        <f>IF(OR('Criação'!$Q$25="Intellitron"),"Vantagem ("&amp;'Criação'!$Q$25&amp;")","")</f>
        <v/>
      </c>
      <c r="K22" s="4">
        <f>IF($H$22&gt;=$B$12,"Heroica ("&amp;$B$12&amp;")",IF($H$22&gt;=$B$11,"Muito Difícil ("&amp;$B$11&amp;")",IF($H$22&gt;=$B$10,"Difícil ("&amp;$B$10&amp;")",IF($H$22&gt;=$B$9,"Média ("&amp;$B$9&amp;")",IF($H$22&gt;=$B$8,"Fácil ("&amp;$B$8&amp;")",IF($H$22&gt;=$B$7,"Trivial ("&amp;$B$7&amp;")","—"))))))</f>
        <v/>
      </c>
      <c r="L22" s="13">
        <f>IF(O22&gt;0,"O Google leu como fórmula: escolha de novo na lista.",IF($N$22&lt;&gt;"Sim","",IF('Criação'!$E$75&lt;&gt;"Sim","Eficácia exige Eficiência nesta Perícia",IF(COUNTIF($N$16:$N$22,"Sim")&gt;'Criação'!$E$14,"Acima dos slots de Eficácia em Perícias ("&amp;'Criação'!$E$14&amp;")",""))))</f>
        <v/>
      </c>
      <c r="N22">
        <f>IF(ISERROR($E$22),"",IF(ISBLANK($E$22),"",$E$22))</f>
        <v/>
      </c>
      <c r="O22">
        <f>ISERROR($E$22)*1</f>
        <v/>
      </c>
    </row>
    <row r="23" ht="37" customHeight="1">
      <c r="A23" s="18" t="inlineStr">
        <is>
          <t>Pesquisa</t>
        </is>
      </c>
      <c r="B23" s="21">
        <f>'Criação'!$B$76</f>
        <v/>
      </c>
      <c r="C23" s="21">
        <f>IFERROR(INDEX('Criação'!$F$44:$F$49,MATCH($B$23,'Criação'!$A$44:$A$49,0)),0)</f>
        <v/>
      </c>
      <c r="D23" s="21">
        <f>IF('Criação'!$E$76="Sim","Sim ("&amp;'Criação'!$F$76&amp;")","Não")</f>
        <v/>
      </c>
      <c r="E23" s="36" t="n"/>
      <c r="F23" s="21">
        <f>IF($B$23="Agilidade",'Criação'!$E$93,0)</f>
        <v/>
      </c>
      <c r="G23" s="21">
        <f>IF('Equipamento'!$L$31="Pesquisa",'Equipamento'!$K$31,0)+MIN('Criação'!$J$14,COUNTIF('Equipamento'!$P$45:$P$47,"Pesquisa"))</f>
        <v/>
      </c>
      <c r="H23" s="19">
        <f>$C$23+IF('Criação'!$E$76="Sim",IF(AND($N$23="Sim",'Criação'!$E$76="Sim",COUNTIF($N$16:$N$23,"Sim")&lt;='Criação'!$E$14),2*'Criação'!$C$14,'Criação'!$C$14),0)+$F$23+$G$23</f>
        <v/>
      </c>
      <c r="I23" s="19">
        <f>"d20"&amp;IF($H$23&gt;=0,"+","")&amp;$H$23</f>
        <v/>
      </c>
      <c r="J23" s="9">
        <f>""</f>
        <v/>
      </c>
      <c r="K23" s="9">
        <f>IF($H$23&gt;=$B$12,"Heroica ("&amp;$B$12&amp;")",IF($H$23&gt;=$B$11,"Muito Difícil ("&amp;$B$11&amp;")",IF($H$23&gt;=$B$10,"Difícil ("&amp;$B$10&amp;")",IF($H$23&gt;=$B$9,"Média ("&amp;$B$9&amp;")",IF($H$23&gt;=$B$8,"Fácil ("&amp;$B$8&amp;")",IF($H$23&gt;=$B$7,"Trivial ("&amp;$B$7&amp;")","—"))))))</f>
        <v/>
      </c>
      <c r="L23" s="20">
        <f>IF(O23&gt;0,"O Google leu como fórmula: escolha de novo na lista.",IF($N$23&lt;&gt;"Sim","",IF('Criação'!$E$76&lt;&gt;"Sim","Eficácia exige Eficiência nesta Perícia",IF(COUNTIF($N$16:$N$23,"Sim")&gt;'Criação'!$E$14,"Acima dos slots de Eficácia em Perícias ("&amp;'Criação'!$E$14&amp;")",""))))</f>
        <v/>
      </c>
      <c r="N23">
        <f>IF(ISERROR($E$23),"",IF(ISBLANK($E$23),"",$E$23))</f>
        <v/>
      </c>
      <c r="O23">
        <f>ISERROR($E$23)*1</f>
        <v/>
      </c>
    </row>
    <row r="24" ht="37" customHeight="1">
      <c r="A24" s="16" t="inlineStr">
        <is>
          <t>Ciência</t>
        </is>
      </c>
      <c r="B24" s="22">
        <f>'Criação'!$B$77</f>
        <v/>
      </c>
      <c r="C24" s="22">
        <f>IFERROR(INDEX('Criação'!$F$44:$F$49,MATCH($B$24,'Criação'!$A$44:$A$49,0)),0)</f>
        <v/>
      </c>
      <c r="D24" s="22">
        <f>IF('Criação'!$E$77="Sim","Sim ("&amp;'Criação'!$F$77&amp;")","Não")</f>
        <v/>
      </c>
      <c r="E24" s="23" t="n"/>
      <c r="F24" s="22">
        <f>IF($B$24="Agilidade",'Criação'!$E$93,0)</f>
        <v/>
      </c>
      <c r="G24" s="22">
        <f>IF('Equipamento'!$L$31="Ciência",'Equipamento'!$K$31,0)+MIN('Criação'!$J$14,COUNTIF('Equipamento'!$P$45:$P$47,"Ciência"))</f>
        <v/>
      </c>
      <c r="H24" s="17">
        <f>$C$24+IF('Criação'!$E$77="Sim",IF(AND($N$24="Sim",'Criação'!$E$77="Sim",COUNTIF($N$16:$N$24,"Sim")&lt;='Criação'!$E$14),2*'Criação'!$C$14,'Criação'!$C$14),0)+$F$24+$G$24</f>
        <v/>
      </c>
      <c r="I24" s="17">
        <f>"d20"&amp;IF($H$24&gt;=0,"+","")&amp;$H$24</f>
        <v/>
      </c>
      <c r="J24" s="4">
        <f>""</f>
        <v/>
      </c>
      <c r="K24" s="4">
        <f>IF($H$24&gt;=$B$12,"Heroica ("&amp;$B$12&amp;")",IF($H$24&gt;=$B$11,"Muito Difícil ("&amp;$B$11&amp;")",IF($H$24&gt;=$B$10,"Difícil ("&amp;$B$10&amp;")",IF($H$24&gt;=$B$9,"Média ("&amp;$B$9&amp;")",IF($H$24&gt;=$B$8,"Fácil ("&amp;$B$8&amp;")",IF($H$24&gt;=$B$7,"Trivial ("&amp;$B$7&amp;")","—"))))))</f>
        <v/>
      </c>
      <c r="L24" s="13">
        <f>IF(O24&gt;0,"O Google leu como fórmula: escolha de novo na lista.",IF($N$24&lt;&gt;"Sim","",IF('Criação'!$E$77&lt;&gt;"Sim","Eficácia exige Eficiência nesta Perícia",IF(COUNTIF($N$16:$N$24,"Sim")&gt;'Criação'!$E$14,"Acima dos slots de Eficácia em Perícias ("&amp;'Criação'!$E$14&amp;")",""))))</f>
        <v/>
      </c>
      <c r="N24">
        <f>IF(ISERROR($E$24),"",IF(ISBLANK($E$24),"",$E$24))</f>
        <v/>
      </c>
      <c r="O24">
        <f>ISERROR($E$24)*1</f>
        <v/>
      </c>
    </row>
    <row r="25" ht="37" customHeight="1">
      <c r="A25" s="18" t="inlineStr">
        <is>
          <t>Mecânica</t>
        </is>
      </c>
      <c r="B25" s="21">
        <f>'Criação'!$B$78</f>
        <v/>
      </c>
      <c r="C25" s="21">
        <f>IFERROR(INDEX('Criação'!$F$44:$F$49,MATCH($B$25,'Criação'!$A$44:$A$49,0)),0)</f>
        <v/>
      </c>
      <c r="D25" s="21">
        <f>IF('Criação'!$E$78="Sim","Sim ("&amp;'Criação'!$F$78&amp;")","Não")</f>
        <v/>
      </c>
      <c r="E25" s="36" t="n"/>
      <c r="F25" s="21">
        <f>IF($B$25="Agilidade",'Criação'!$E$93,0)</f>
        <v/>
      </c>
      <c r="G25" s="21">
        <f>IF('Equipamento'!$L$31="Mecânica",'Equipamento'!$K$31,0)+MIN('Criação'!$J$14,COUNTIF('Equipamento'!$P$45:$P$47,"Mecânica"))</f>
        <v/>
      </c>
      <c r="H25" s="19">
        <f>$C$25+IF('Criação'!$E$78="Sim",IF(AND($N$25="Sim",'Criação'!$E$78="Sim",COUNTIF($N$16:$N$25,"Sim")&lt;='Criação'!$E$14),2*'Criação'!$C$14,'Criação'!$C$14),0)+$F$25+$G$25</f>
        <v/>
      </c>
      <c r="I25" s="19">
        <f>"d20"&amp;IF($H$25&gt;=0,"+","")&amp;$H$25</f>
        <v/>
      </c>
      <c r="J25" s="9">
        <f>IF(OR('Criação'!$Q$25="Intellitron"),"Vantagem ("&amp;'Criação'!$Q$25&amp;")","")</f>
        <v/>
      </c>
      <c r="K25" s="9">
        <f>IF($H$25&gt;=$B$12,"Heroica ("&amp;$B$12&amp;")",IF($H$25&gt;=$B$11,"Muito Difícil ("&amp;$B$11&amp;")",IF($H$25&gt;=$B$10,"Difícil ("&amp;$B$10&amp;")",IF($H$25&gt;=$B$9,"Média ("&amp;$B$9&amp;")",IF($H$25&gt;=$B$8,"Fácil ("&amp;$B$8&amp;")",IF($H$25&gt;=$B$7,"Trivial ("&amp;$B$7&amp;")","—"))))))</f>
        <v/>
      </c>
      <c r="L25" s="20">
        <f>IF(O25&gt;0,"O Google leu como fórmula: escolha de novo na lista.",IF($N$25&lt;&gt;"Sim","",IF('Criação'!$E$78&lt;&gt;"Sim","Eficácia exige Eficiência nesta Perícia",IF(COUNTIF($N$16:$N$25,"Sim")&gt;'Criação'!$E$14,"Acima dos slots de Eficácia em Perícias ("&amp;'Criação'!$E$14&amp;")",""))))</f>
        <v/>
      </c>
      <c r="N25">
        <f>IF(ISERROR($E$25),"",IF(ISBLANK($E$25),"",$E$25))</f>
        <v/>
      </c>
      <c r="O25">
        <f>ISERROR($E$25)*1</f>
        <v/>
      </c>
    </row>
    <row r="26" ht="37" customHeight="1">
      <c r="A26" s="16" t="inlineStr">
        <is>
          <t>Percepção</t>
        </is>
      </c>
      <c r="B26" s="22">
        <f>'Criação'!$B$79</f>
        <v/>
      </c>
      <c r="C26" s="22">
        <f>IFERROR(INDEX('Criação'!$F$44:$F$49,MATCH($B$26,'Criação'!$A$44:$A$49,0)),0)</f>
        <v/>
      </c>
      <c r="D26" s="22">
        <f>IF('Criação'!$E$79="Sim","Sim ("&amp;'Criação'!$F$79&amp;")","Não")</f>
        <v/>
      </c>
      <c r="E26" s="23" t="n"/>
      <c r="F26" s="22">
        <f>IF($B$26="Agilidade",'Criação'!$E$93,0)</f>
        <v/>
      </c>
      <c r="G26" s="22">
        <f>IF('Equipamento'!$L$31="Percepção",'Equipamento'!$K$31,0)+MIN('Criação'!$J$14,COUNTIF('Equipamento'!$P$45:$P$47,"Percepção"))</f>
        <v/>
      </c>
      <c r="H26" s="17">
        <f>$C$26+IF('Criação'!$E$79="Sim",IF(AND($N$26="Sim",'Criação'!$E$79="Sim",COUNTIF($N$16:$N$26,"Sim")&lt;='Criação'!$E$14),2*'Criação'!$C$14,'Criação'!$C$14),0)+$F$26+$G$26</f>
        <v/>
      </c>
      <c r="I26" s="17">
        <f>"d20"&amp;IF($H$26&gt;=0,"+","")&amp;$H$26</f>
        <v/>
      </c>
      <c r="J26" s="4">
        <f>""</f>
        <v/>
      </c>
      <c r="K26" s="4">
        <f>IF($H$26&gt;=$B$12,"Heroica ("&amp;$B$12&amp;")",IF($H$26&gt;=$B$11,"Muito Difícil ("&amp;$B$11&amp;")",IF($H$26&gt;=$B$10,"Difícil ("&amp;$B$10&amp;")",IF($H$26&gt;=$B$9,"Média ("&amp;$B$9&amp;")",IF($H$26&gt;=$B$8,"Fácil ("&amp;$B$8&amp;")",IF($H$26&gt;=$B$7,"Trivial ("&amp;$B$7&amp;")","—"))))))</f>
        <v/>
      </c>
      <c r="L26" s="13">
        <f>IF(O26&gt;0,"O Google leu como fórmula: escolha de novo na lista.",IF($N$26&lt;&gt;"Sim","",IF('Criação'!$E$79&lt;&gt;"Sim","Eficácia exige Eficiência nesta Perícia",IF(COUNTIF($N$16:$N$26,"Sim")&gt;'Criação'!$E$14,"Acima dos slots de Eficácia em Perícias ("&amp;'Criação'!$E$14&amp;")",""))))</f>
        <v/>
      </c>
      <c r="N26">
        <f>IF(ISERROR($E$26),"",IF(ISBLANK($E$26),"",$E$26))</f>
        <v/>
      </c>
      <c r="O26">
        <f>ISERROR($E$26)*1</f>
        <v/>
      </c>
    </row>
    <row r="27" ht="37" customHeight="1">
      <c r="A27" s="18" t="inlineStr">
        <is>
          <t>Sobrevivência</t>
        </is>
      </c>
      <c r="B27" s="21">
        <f>'Criação'!$B$80</f>
        <v/>
      </c>
      <c r="C27" s="21">
        <f>IFERROR(INDEX('Criação'!$F$44:$F$49,MATCH($B$27,'Criação'!$A$44:$A$49,0)),0)</f>
        <v/>
      </c>
      <c r="D27" s="21">
        <f>IF('Criação'!$E$80="Sim","Sim ("&amp;'Criação'!$F$80&amp;")","Não")</f>
        <v/>
      </c>
      <c r="E27" s="36" t="n"/>
      <c r="F27" s="21">
        <f>IF($B$27="Agilidade",'Criação'!$E$93,0)</f>
        <v/>
      </c>
      <c r="G27" s="21">
        <f>IF('Equipamento'!$L$31="Sobrevivência",'Equipamento'!$K$31,0)+MIN('Criação'!$J$14,COUNTIF('Equipamento'!$P$45:$P$47,"Sobrevivência"))</f>
        <v/>
      </c>
      <c r="H27" s="19">
        <f>$C$27+IF('Criação'!$E$80="Sim",IF(AND($N$27="Sim",'Criação'!$E$80="Sim",COUNTIF($N$16:$N$27,"Sim")&lt;='Criação'!$E$14),2*'Criação'!$C$14,'Criação'!$C$14),0)+$F$27+$G$27</f>
        <v/>
      </c>
      <c r="I27" s="19">
        <f>"d20"&amp;IF($H$27&gt;=0,"+","")&amp;$H$27</f>
        <v/>
      </c>
      <c r="J27" s="9">
        <f>""</f>
        <v/>
      </c>
      <c r="K27" s="9">
        <f>IF($H$27&gt;=$B$12,"Heroica ("&amp;$B$12&amp;")",IF($H$27&gt;=$B$11,"Muito Difícil ("&amp;$B$11&amp;")",IF($H$27&gt;=$B$10,"Difícil ("&amp;$B$10&amp;")",IF($H$27&gt;=$B$9,"Média ("&amp;$B$9&amp;")",IF($H$27&gt;=$B$8,"Fácil ("&amp;$B$8&amp;")",IF($H$27&gt;=$B$7,"Trivial ("&amp;$B$7&amp;")","—"))))))</f>
        <v/>
      </c>
      <c r="L27" s="20">
        <f>IF(O27&gt;0,"O Google leu como fórmula: escolha de novo na lista.",IF($N$27&lt;&gt;"Sim","",IF('Criação'!$E$80&lt;&gt;"Sim","Eficácia exige Eficiência nesta Perícia",IF(COUNTIF($N$16:$N$27,"Sim")&gt;'Criação'!$E$14,"Acima dos slots de Eficácia em Perícias ("&amp;'Criação'!$E$14&amp;")",""))))</f>
        <v/>
      </c>
      <c r="N27">
        <f>IF(ISERROR($E$27),"",IF(ISBLANK($E$27),"",$E$27))</f>
        <v/>
      </c>
      <c r="O27">
        <f>ISERROR($E$27)*1</f>
        <v/>
      </c>
    </row>
    <row r="28" ht="37" customHeight="1">
      <c r="A28" s="16" t="inlineStr">
        <is>
          <t>Intuição</t>
        </is>
      </c>
      <c r="B28" s="22">
        <f>'Criação'!$B$81</f>
        <v/>
      </c>
      <c r="C28" s="22">
        <f>IFERROR(INDEX('Criação'!$F$44:$F$49,MATCH($B$28,'Criação'!$A$44:$A$49,0)),0)</f>
        <v/>
      </c>
      <c r="D28" s="22">
        <f>IF('Criação'!$E$81="Sim","Sim ("&amp;'Criação'!$F$81&amp;")","Não")</f>
        <v/>
      </c>
      <c r="E28" s="23" t="n"/>
      <c r="F28" s="22">
        <f>IF($B$28="Agilidade",'Criação'!$E$93,0)</f>
        <v/>
      </c>
      <c r="G28" s="22">
        <f>IF('Equipamento'!$L$31="Intuição",'Equipamento'!$K$31,0)+MIN('Criação'!$J$14,COUNTIF('Equipamento'!$P$45:$P$47,"Intuição"))</f>
        <v/>
      </c>
      <c r="H28" s="17">
        <f>$C$28+IF('Criação'!$E$81="Sim",IF(AND($N$28="Sim",'Criação'!$E$81="Sim",COUNTIF($N$16:$N$28,"Sim")&lt;='Criação'!$E$14),2*'Criação'!$C$14,'Criação'!$C$14),0)+$F$28+$G$28</f>
        <v/>
      </c>
      <c r="I28" s="17">
        <f>"d20"&amp;IF($H$28&gt;=0,"+","")&amp;$H$28</f>
        <v/>
      </c>
      <c r="J28" s="4">
        <f>""</f>
        <v/>
      </c>
      <c r="K28" s="4">
        <f>IF($H$28&gt;=$B$12,"Heroica ("&amp;$B$12&amp;")",IF($H$28&gt;=$B$11,"Muito Difícil ("&amp;$B$11&amp;")",IF($H$28&gt;=$B$10,"Difícil ("&amp;$B$10&amp;")",IF($H$28&gt;=$B$9,"Média ("&amp;$B$9&amp;")",IF($H$28&gt;=$B$8,"Fácil ("&amp;$B$8&amp;")",IF($H$28&gt;=$B$7,"Trivial ("&amp;$B$7&amp;")","—"))))))</f>
        <v/>
      </c>
      <c r="L28" s="13">
        <f>IF(O28&gt;0,"O Google leu como fórmula: escolha de novo na lista.",IF($N$28&lt;&gt;"Sim","",IF('Criação'!$E$81&lt;&gt;"Sim","Eficácia exige Eficiência nesta Perícia",IF(COUNTIF($N$16:$N$28,"Sim")&gt;'Criação'!$E$14,"Acima dos slots de Eficácia em Perícias ("&amp;'Criação'!$E$14&amp;")",""))))</f>
        <v/>
      </c>
      <c r="N28">
        <f>IF(ISERROR($E$28),"",IF(ISBLANK($E$28),"",$E$28))</f>
        <v/>
      </c>
      <c r="O28">
        <f>ISERROR($E$28)*1</f>
        <v/>
      </c>
    </row>
    <row r="29" ht="37" customHeight="1">
      <c r="A29" s="18" t="inlineStr">
        <is>
          <t>Investigação</t>
        </is>
      </c>
      <c r="B29" s="21">
        <f>'Criação'!$B$82</f>
        <v/>
      </c>
      <c r="C29" s="21">
        <f>IFERROR(INDEX('Criação'!$F$44:$F$49,MATCH($B$29,'Criação'!$A$44:$A$49,0)),0)</f>
        <v/>
      </c>
      <c r="D29" s="21">
        <f>IF('Criação'!$E$82="Sim","Sim ("&amp;'Criação'!$F$82&amp;")","Não")</f>
        <v/>
      </c>
      <c r="E29" s="36" t="n"/>
      <c r="F29" s="21">
        <f>IF($B$29="Agilidade",'Criação'!$E$93,0)</f>
        <v/>
      </c>
      <c r="G29" s="21">
        <f>IF('Equipamento'!$L$31="Investigação",'Equipamento'!$K$31,0)+MIN('Criação'!$J$14,COUNTIF('Equipamento'!$P$45:$P$47,"Investigação"))</f>
        <v/>
      </c>
      <c r="H29" s="19">
        <f>$C$29+IF('Criação'!$E$82="Sim",IF(AND($N$29="Sim",'Criação'!$E$82="Sim",COUNTIF($N$16:$N$29,"Sim")&lt;='Criação'!$E$14),2*'Criação'!$C$14,'Criação'!$C$14),0)+$F$29+$G$29</f>
        <v/>
      </c>
      <c r="I29" s="19">
        <f>"d20"&amp;IF($H$29&gt;=0,"+","")&amp;$H$29</f>
        <v/>
      </c>
      <c r="J29" s="9">
        <f>""</f>
        <v/>
      </c>
      <c r="K29" s="9">
        <f>IF($H$29&gt;=$B$12,"Heroica ("&amp;$B$12&amp;")",IF($H$29&gt;=$B$11,"Muito Difícil ("&amp;$B$11&amp;")",IF($H$29&gt;=$B$10,"Difícil ("&amp;$B$10&amp;")",IF($H$29&gt;=$B$9,"Média ("&amp;$B$9&amp;")",IF($H$29&gt;=$B$8,"Fácil ("&amp;$B$8&amp;")",IF($H$29&gt;=$B$7,"Trivial ("&amp;$B$7&amp;")","—"))))))</f>
        <v/>
      </c>
      <c r="L29" s="20">
        <f>IF(O29&gt;0,"O Google leu como fórmula: escolha de novo na lista.",IF($N$29&lt;&gt;"Sim","",IF('Criação'!$E$82&lt;&gt;"Sim","Eficácia exige Eficiência nesta Perícia",IF(COUNTIF($N$16:$N$29,"Sim")&gt;'Criação'!$E$14,"Acima dos slots de Eficácia em Perícias ("&amp;'Criação'!$E$14&amp;")",""))))</f>
        <v/>
      </c>
      <c r="N29">
        <f>IF(ISERROR($E$29),"",IF(ISBLANK($E$29),"",$E$29))</f>
        <v/>
      </c>
      <c r="O29">
        <f>ISERROR($E$29)*1</f>
        <v/>
      </c>
    </row>
    <row r="30" ht="40" customHeight="1">
      <c r="A30" s="7" t="inlineStr">
        <is>
          <t>Perícia (Presença e Sintonia)</t>
        </is>
      </c>
      <c r="B30" s="7" t="inlineStr">
        <is>
          <t>Atributo</t>
        </is>
      </c>
      <c r="C30" s="7" t="inlineStr">
        <is>
          <t>Bônus</t>
        </is>
      </c>
      <c r="D30" s="7" t="inlineStr">
        <is>
          <t>Eficiência (origem)</t>
        </is>
      </c>
      <c r="E30" s="7" t="inlineStr">
        <is>
          <t>Eficácia (preencha Sim)</t>
        </is>
      </c>
      <c r="F30" s="7" t="inlineStr">
        <is>
          <t>Penalidade (Armadura Pesada)</t>
        </is>
      </c>
      <c r="G30" s="7" t="inlineStr">
        <is>
          <t>Extra (equipamento)</t>
        </is>
      </c>
      <c r="H30" s="7" t="inlineStr">
        <is>
          <t>Total</t>
        </is>
      </c>
      <c r="I30" s="7" t="inlineStr">
        <is>
          <t>Rolagem</t>
        </is>
      </c>
      <c r="J30" s="7" t="inlineStr">
        <is>
          <t>Vantagem racial</t>
        </is>
      </c>
      <c r="K30" s="7" t="inlineStr">
        <is>
          <t>Sucesso Automático até</t>
        </is>
      </c>
      <c r="L30" s="7" t="inlineStr">
        <is>
          <t>Aviso</t>
        </is>
      </c>
      <c r="N30">
        <f>IF(ISERROR($E$30),"",IF(ISBLANK($E$30),"",$E$30))</f>
        <v/>
      </c>
    </row>
    <row r="31" ht="37" customHeight="1">
      <c r="A31" s="16" t="inlineStr">
        <is>
          <t>Persuasão</t>
        </is>
      </c>
      <c r="B31" s="22">
        <f>'Criação'!$B$84</f>
        <v/>
      </c>
      <c r="C31" s="22">
        <f>IFERROR(INDEX('Criação'!$F$44:$F$49,MATCH($B$31,'Criação'!$A$44:$A$49,0)),0)</f>
        <v/>
      </c>
      <c r="D31" s="22">
        <f>IF('Criação'!$E$84="Sim","Sim ("&amp;'Criação'!$F$84&amp;")","Não")</f>
        <v/>
      </c>
      <c r="E31" s="23" t="n"/>
      <c r="F31" s="22">
        <f>IF($B$31="Agilidade",'Criação'!$E$93,0)</f>
        <v/>
      </c>
      <c r="G31" s="22">
        <f>IF('Equipamento'!$L$31="Persuasão",'Equipamento'!$K$31,0)+MIN('Criação'!$J$14,COUNTIF('Equipamento'!$P$45:$P$47,"Persuasão"))</f>
        <v/>
      </c>
      <c r="H31" s="17">
        <f>$C$31+IF('Criação'!$E$84="Sim",IF(AND($N$31="Sim",'Criação'!$E$84="Sim",COUNTIF($N$16:$N$31,"Sim")&lt;='Criação'!$E$14),2*'Criação'!$C$14,'Criação'!$C$14),0)+$F$31+$G$31</f>
        <v/>
      </c>
      <c r="I31" s="17">
        <f>"d20"&amp;IF($H$31&gt;=0,"+","")&amp;$H$31</f>
        <v/>
      </c>
      <c r="J31" s="4">
        <f>IF(OR('Criação'!$Q$25="Vulpes"),"Vantagem ("&amp;'Criação'!$Q$25&amp;")","")</f>
        <v/>
      </c>
      <c r="K31" s="4">
        <f>IF($H$31&gt;=$B$12,"Heroica ("&amp;$B$12&amp;")",IF($H$31&gt;=$B$11,"Muito Difícil ("&amp;$B$11&amp;")",IF($H$31&gt;=$B$10,"Difícil ("&amp;$B$10&amp;")",IF($H$31&gt;=$B$9,"Média ("&amp;$B$9&amp;")",IF($H$31&gt;=$B$8,"Fácil ("&amp;$B$8&amp;")",IF($H$31&gt;=$B$7,"Trivial ("&amp;$B$7&amp;")","—"))))))</f>
        <v/>
      </c>
      <c r="L31" s="13">
        <f>IF(O31&gt;0,"O Google leu como fórmula: escolha de novo na lista.",IF($N$31&lt;&gt;"Sim","",IF('Criação'!$E$84&lt;&gt;"Sim","Eficácia exige Eficiência nesta Perícia",IF(COUNTIF($N$16:$N$31,"Sim")&gt;'Criação'!$E$14,"Acima dos slots de Eficácia em Perícias ("&amp;'Criação'!$E$14&amp;")",""))))</f>
        <v/>
      </c>
      <c r="N31">
        <f>IF(ISERROR($E$31),"",IF(ISBLANK($E$31),"",$E$31))</f>
        <v/>
      </c>
      <c r="O31">
        <f>ISERROR($E$31)*1</f>
        <v/>
      </c>
    </row>
    <row r="32" ht="37" customHeight="1">
      <c r="A32" s="18" t="inlineStr">
        <is>
          <t>Intimidação</t>
        </is>
      </c>
      <c r="B32" s="21">
        <f>'Criação'!$B$85</f>
        <v/>
      </c>
      <c r="C32" s="21">
        <f>IFERROR(INDEX('Criação'!$F$44:$F$49,MATCH($B$32,'Criação'!$A$44:$A$49,0)),0)</f>
        <v/>
      </c>
      <c r="D32" s="21">
        <f>IF('Criação'!$E$85="Sim","Sim ("&amp;'Criação'!$F$85&amp;")","Não")</f>
        <v/>
      </c>
      <c r="E32" s="36" t="n"/>
      <c r="F32" s="21">
        <f>IF($B$32="Agilidade",'Criação'!$E$93,0)</f>
        <v/>
      </c>
      <c r="G32" s="21">
        <f>IF('Equipamento'!$L$31="Intimidação",'Equipamento'!$K$31,0)+MIN('Criação'!$J$14,COUNTIF('Equipamento'!$P$45:$P$47,"Intimidação"))</f>
        <v/>
      </c>
      <c r="H32" s="19">
        <f>$C$32+IF('Criação'!$E$85="Sim",IF(AND($N$32="Sim",'Criação'!$E$85="Sim",COUNTIF($N$16:$N$32,"Sim")&lt;='Criação'!$E$14),2*'Criação'!$C$14,'Criação'!$C$14),0)+$F$32+$G$32</f>
        <v/>
      </c>
      <c r="I32" s="19">
        <f>"d20"&amp;IF($H$32&gt;=0,"+","")&amp;$H$32</f>
        <v/>
      </c>
      <c r="J32" s="9">
        <f>IF(OR('Criação'!$Q$25="Vulpes"),"Vantagem ("&amp;'Criação'!$Q$25&amp;")","")</f>
        <v/>
      </c>
      <c r="K32" s="9">
        <f>IF($H$32&gt;=$B$12,"Heroica ("&amp;$B$12&amp;")",IF($H$32&gt;=$B$11,"Muito Difícil ("&amp;$B$11&amp;")",IF($H$32&gt;=$B$10,"Difícil ("&amp;$B$10&amp;")",IF($H$32&gt;=$B$9,"Média ("&amp;$B$9&amp;")",IF($H$32&gt;=$B$8,"Fácil ("&amp;$B$8&amp;")",IF($H$32&gt;=$B$7,"Trivial ("&amp;$B$7&amp;")","—"))))))</f>
        <v/>
      </c>
      <c r="L32" s="20">
        <f>IF(O32&gt;0,"O Google leu como fórmula: escolha de novo na lista.",IF($N$32&lt;&gt;"Sim","",IF('Criação'!$E$85&lt;&gt;"Sim","Eficácia exige Eficiência nesta Perícia",IF(COUNTIF($N$16:$N$32,"Sim")&gt;'Criação'!$E$14,"Acima dos slots de Eficácia em Perícias ("&amp;'Criação'!$E$14&amp;")",""))))</f>
        <v/>
      </c>
      <c r="N32">
        <f>IF(ISERROR($E$32),"",IF(ISBLANK($E$32),"",$E$32))</f>
        <v/>
      </c>
      <c r="O32">
        <f>ISERROR($E$32)*1</f>
        <v/>
      </c>
    </row>
    <row r="33" ht="37" customHeight="1">
      <c r="A33" s="16" t="inlineStr">
        <is>
          <t>Enganação</t>
        </is>
      </c>
      <c r="B33" s="22">
        <f>'Criação'!$B$86</f>
        <v/>
      </c>
      <c r="C33" s="22">
        <f>IFERROR(INDEX('Criação'!$F$44:$F$49,MATCH($B$33,'Criação'!$A$44:$A$49,0)),0)</f>
        <v/>
      </c>
      <c r="D33" s="22">
        <f>IF('Criação'!$E$86="Sim","Sim ("&amp;'Criação'!$F$86&amp;")","Não")</f>
        <v/>
      </c>
      <c r="E33" s="23" t="n"/>
      <c r="F33" s="22">
        <f>IF($B$33="Agilidade",'Criação'!$E$93,0)</f>
        <v/>
      </c>
      <c r="G33" s="22">
        <f>IF('Equipamento'!$L$31="Enganação",'Equipamento'!$K$31,0)+MIN('Criação'!$J$14,COUNTIF('Equipamento'!$P$45:$P$47,"Enganação"))</f>
        <v/>
      </c>
      <c r="H33" s="17">
        <f>$C$33+IF('Criação'!$E$86="Sim",IF(AND($N$33="Sim",'Criação'!$E$86="Sim",COUNTIF($N$16:$N$33,"Sim")&lt;='Criação'!$E$14),2*'Criação'!$C$14,'Criação'!$C$14),0)+$F$33+$G$33</f>
        <v/>
      </c>
      <c r="I33" s="17">
        <f>"d20"&amp;IF($H$33&gt;=0,"+","")&amp;$H$33</f>
        <v/>
      </c>
      <c r="J33" s="4">
        <f>IF(OR('Criação'!$Q$25="Vulpes"),"Vantagem ("&amp;'Criação'!$Q$25&amp;")","")</f>
        <v/>
      </c>
      <c r="K33" s="4">
        <f>IF($H$33&gt;=$B$12,"Heroica ("&amp;$B$12&amp;")",IF($H$33&gt;=$B$11,"Muito Difícil ("&amp;$B$11&amp;")",IF($H$33&gt;=$B$10,"Difícil ("&amp;$B$10&amp;")",IF($H$33&gt;=$B$9,"Média ("&amp;$B$9&amp;")",IF($H$33&gt;=$B$8,"Fácil ("&amp;$B$8&amp;")",IF($H$33&gt;=$B$7,"Trivial ("&amp;$B$7&amp;")","—"))))))</f>
        <v/>
      </c>
      <c r="L33" s="13">
        <f>IF(O33&gt;0,"O Google leu como fórmula: escolha de novo na lista.",IF($N$33&lt;&gt;"Sim","",IF('Criação'!$E$86&lt;&gt;"Sim","Eficácia exige Eficiência nesta Perícia",IF(COUNTIF($N$16:$N$33,"Sim")&gt;'Criação'!$E$14,"Acima dos slots de Eficácia em Perícias ("&amp;'Criação'!$E$14&amp;")",""))))</f>
        <v/>
      </c>
      <c r="N33">
        <f>IF(ISERROR($E$33),"",IF(ISBLANK($E$33),"",$E$33))</f>
        <v/>
      </c>
      <c r="O33">
        <f>ISERROR($E$33)*1</f>
        <v/>
      </c>
    </row>
    <row r="34" ht="37" customHeight="1">
      <c r="A34" s="18" t="inlineStr">
        <is>
          <t>Liderança</t>
        </is>
      </c>
      <c r="B34" s="21">
        <f>'Criação'!$B$87</f>
        <v/>
      </c>
      <c r="C34" s="21">
        <f>IFERROR(INDEX('Criação'!$F$44:$F$49,MATCH($B$34,'Criação'!$A$44:$A$49,0)),0)</f>
        <v/>
      </c>
      <c r="D34" s="21">
        <f>IF('Criação'!$E$87="Sim","Sim ("&amp;'Criação'!$F$87&amp;")","Não")</f>
        <v/>
      </c>
      <c r="E34" s="36" t="n"/>
      <c r="F34" s="21">
        <f>IF($B$34="Agilidade",'Criação'!$E$93,0)</f>
        <v/>
      </c>
      <c r="G34" s="21">
        <f>IF('Equipamento'!$L$31="Liderança",'Equipamento'!$K$31,0)+MIN('Criação'!$J$14,COUNTIF('Equipamento'!$P$45:$P$47,"Liderança"))</f>
        <v/>
      </c>
      <c r="H34" s="19">
        <f>$C$34+IF('Criação'!$E$87="Sim",IF(AND($N$34="Sim",'Criação'!$E$87="Sim",COUNTIF($N$16:$N$34,"Sim")&lt;='Criação'!$E$14),2*'Criação'!$C$14,'Criação'!$C$14),0)+$F$34+$G$34</f>
        <v/>
      </c>
      <c r="I34" s="19">
        <f>"d20"&amp;IF($H$34&gt;=0,"+","")&amp;$H$34</f>
        <v/>
      </c>
      <c r="J34" s="9">
        <f>IF(OR('Criação'!$Q$25="Vulpes"),"Vantagem ("&amp;'Criação'!$Q$25&amp;")","")</f>
        <v/>
      </c>
      <c r="K34" s="9">
        <f>IF($H$34&gt;=$B$12,"Heroica ("&amp;$B$12&amp;")",IF($H$34&gt;=$B$11,"Muito Difícil ("&amp;$B$11&amp;")",IF($H$34&gt;=$B$10,"Difícil ("&amp;$B$10&amp;")",IF($H$34&gt;=$B$9,"Média ("&amp;$B$9&amp;")",IF($H$34&gt;=$B$8,"Fácil ("&amp;$B$8&amp;")",IF($H$34&gt;=$B$7,"Trivial ("&amp;$B$7&amp;")","—"))))))</f>
        <v/>
      </c>
      <c r="L34" s="20">
        <f>IF(O34&gt;0,"O Google leu como fórmula: escolha de novo na lista.",IF($N$34&lt;&gt;"Sim","",IF('Criação'!$E$87&lt;&gt;"Sim","Eficácia exige Eficiência nesta Perícia",IF(COUNTIF($N$16:$N$34,"Sim")&gt;'Criação'!$E$14,"Acima dos slots de Eficácia em Perícias ("&amp;'Criação'!$E$14&amp;")",""))))</f>
        <v/>
      </c>
      <c r="N34">
        <f>IF(ISERROR($E$34),"",IF(ISBLANK($E$34),"",$E$34))</f>
        <v/>
      </c>
      <c r="O34">
        <f>ISERROR($E$34)*1</f>
        <v/>
      </c>
    </row>
    <row r="35" ht="37" customHeight="1">
      <c r="A35" s="16" t="inlineStr">
        <is>
          <t>Sintonia</t>
        </is>
      </c>
      <c r="B35" s="22">
        <f>'Criação'!$B$88</f>
        <v/>
      </c>
      <c r="C35" s="22">
        <f>IFERROR(INDEX('Criação'!$F$44:$F$49,MATCH($B$35,'Criação'!$A$44:$A$49,0)),0)</f>
        <v/>
      </c>
      <c r="D35" s="22">
        <f>IF('Criação'!$E$88="Sim","Sim ("&amp;'Criação'!$F$88&amp;")","Não")</f>
        <v/>
      </c>
      <c r="E35" s="23" t="n"/>
      <c r="F35" s="22">
        <f>IF($B$35="Agilidade",'Criação'!$E$93,0)</f>
        <v/>
      </c>
      <c r="G35" s="22">
        <f>IF('Equipamento'!$L$31="Sintonia",'Equipamento'!$K$31,0)+MIN('Criação'!$J$14,COUNTIF('Equipamento'!$P$45:$P$47,"Sintonia"))</f>
        <v/>
      </c>
      <c r="H35" s="17">
        <f>$C$35+IF('Criação'!$E$88="Sim",IF(AND($N$35="Sim",'Criação'!$E$88="Sim",COUNTIF($N$16:$N$35,"Sim")&lt;='Criação'!$E$14),2*'Criação'!$C$14,'Criação'!$C$14),0)+$F$35+$G$35</f>
        <v/>
      </c>
      <c r="I35" s="17">
        <f>"d20"&amp;IF($H$35&gt;=0,"+","")&amp;$H$35</f>
        <v/>
      </c>
      <c r="J35" s="4">
        <f>""</f>
        <v/>
      </c>
      <c r="K35" s="4">
        <f>IF($H$35&gt;=$B$12,"Heroica ("&amp;$B$12&amp;")",IF($H$35&gt;=$B$11,"Muito Difícil ("&amp;$B$11&amp;")",IF($H$35&gt;=$B$10,"Difícil ("&amp;$B$10&amp;")",IF($H$35&gt;=$B$9,"Média ("&amp;$B$9&amp;")",IF($H$35&gt;=$B$8,"Fácil ("&amp;$B$8&amp;")",IF($H$35&gt;=$B$7,"Trivial ("&amp;$B$7&amp;")","—"))))))</f>
        <v/>
      </c>
      <c r="L35" s="13">
        <f>IF(O35&gt;0,"O Google leu como fórmula: escolha de novo na lista.",IF($N$35&lt;&gt;"Sim","",IF('Criação'!$E$88&lt;&gt;"Sim","Eficácia exige Eficiência nesta Perícia",IF(COUNTIF($N$16:$N$35,"Sim")&gt;'Criação'!$E$14,"Acima dos slots de Eficácia em Perícias ("&amp;'Criação'!$E$14&amp;")",""))))</f>
        <v/>
      </c>
      <c r="N35">
        <f>IF(ISERROR($E$35),"",IF(ISBLANK($E$35),"",$E$35))</f>
        <v/>
      </c>
      <c r="O35">
        <f>ISERROR($E$35)*1</f>
        <v/>
      </c>
    </row>
    <row r="36" ht="37" customHeight="1">
      <c r="A36" s="33" t="inlineStr">
        <is>
          <t>Slots de Eficácia em Perícias: marcados / permitidos</t>
        </is>
      </c>
      <c r="B36" s="19">
        <f>COUNTIF($N$16:$N$35,"Sim")</f>
        <v/>
      </c>
      <c r="C36" s="19">
        <f>'Criação'!$E$14</f>
        <v/>
      </c>
      <c r="D36" s="34" t="inlineStr">
        <is>
          <t>Perícias com Eficiência:</t>
        </is>
      </c>
      <c r="E36" s="19">
        <f>'Criação'!$D$67</f>
        <v/>
      </c>
      <c r="F36" s="35" t="n"/>
      <c r="G36" s="35" t="n"/>
      <c r="H36" s="35" t="n"/>
      <c r="I36" s="35" t="n"/>
      <c r="J36" s="35" t="n"/>
      <c r="K36" s="35" t="n"/>
      <c r="L36" s="35" t="n"/>
    </row>
    <row r="37"/>
    <row r="38">
      <c r="A38" s="14" t="inlineStr">
        <is>
          <t>Testes de Resistência — 04.6 e 22 (Eficiência em todos desde o nível 1; sem crítico, sempre rolado)</t>
        </is>
      </c>
    </row>
    <row r="39" ht="40" customHeight="1">
      <c r="A39" s="7" t="inlineStr">
        <is>
          <t>Teste de Resistência</t>
        </is>
      </c>
      <c r="B39" s="7" t="inlineStr">
        <is>
          <t>Atributo</t>
        </is>
      </c>
      <c r="C39" s="7" t="inlineStr">
        <is>
          <t>Bônus</t>
        </is>
      </c>
      <c r="D39" s="7" t="inlineStr">
        <is>
          <t>Eficiência</t>
        </is>
      </c>
      <c r="E39" s="7" t="inlineStr">
        <is>
          <t>Eficácia (preencha Sim)</t>
        </is>
      </c>
      <c r="F39" s="7" t="inlineStr">
        <is>
          <t>Penalidade (Armadura Pesada)</t>
        </is>
      </c>
      <c r="G39" s="7" t="inlineStr">
        <is>
          <t>Extra (Bênçãos)</t>
        </is>
      </c>
      <c r="H39" s="7" t="inlineStr">
        <is>
          <t>Total</t>
        </is>
      </c>
      <c r="I39" s="7" t="inlineStr">
        <is>
          <t>Rolagem</t>
        </is>
      </c>
      <c r="J39" s="7" t="inlineStr">
        <is>
          <t>Vantagem racial</t>
        </is>
      </c>
      <c r="K39" s="7" t="inlineStr">
        <is>
          <t>Aviso</t>
        </is>
      </c>
      <c r="L39" s="15" t="n"/>
    </row>
    <row r="40" ht="37" customHeight="1">
      <c r="A40" s="16" t="inlineStr">
        <is>
          <t>Potência Física</t>
        </is>
      </c>
      <c r="B40" s="22">
        <f>INDEX('Dados'!$B$75:$B$80,1)</f>
        <v/>
      </c>
      <c r="C40" s="22">
        <f>IFERROR(INDEX('Criação'!$F$44:$F$49,MATCH($B$40,'Criação'!$A$44:$A$49,0)),0)</f>
        <v/>
      </c>
      <c r="D40" s="22">
        <f>"+"&amp;'Criação'!$C$14</f>
        <v/>
      </c>
      <c r="E40" s="23" t="n"/>
      <c r="F40" s="22">
        <f>IF($B$40="Agilidade",'Criação'!$E$93,0)</f>
        <v/>
      </c>
      <c r="G40" s="22">
        <f>IF('Equipamento'!$J$31="Potência Física",'Equipamento'!$I$31,0)+MIN('Criação'!$J$14,COUNTIF('Equipamento'!$P$45:$P$47,"Potência Física")+'Em Jogo'!$Q$8)</f>
        <v/>
      </c>
      <c r="H40" s="17">
        <f>$C$40+IF(AND($N$40="Sim",COUNTIF($N$40,"Sim")&lt;='Criação'!$F$14),2*'Criação'!$C$14,'Criação'!$C$14)+$F$40+$G$40</f>
        <v/>
      </c>
      <c r="I40" s="17">
        <f>"d20"&amp;IF($H$40&gt;=0,"+","")&amp;$H$40</f>
        <v/>
      </c>
      <c r="J40" s="4">
        <f>IF(OR('Criação'!$Q$25="Xianzhouíta"),"Vantagem ("&amp;'Criação'!$Q$25&amp;")","")</f>
        <v/>
      </c>
      <c r="K40" s="13">
        <f>IF(O40&gt;0,"O Google leu como fórmula: escolha de novo na lista.",IF(AND($N$40="Sim",COUNTIF($N$40,"Sim")&gt;'Criação'!$F$14),"Acima dos slots de Eficácia em Testes de Resistência ("&amp;'Criação'!$F$14&amp;"). ","")&amp;IF((COUNTIF('Equipamento'!$P$45:$P$47,"Potência Física")+'Em Jogo'!$Q$8)&gt;'Criação'!$J$14,"Bônus temporário acima do teto (+"&amp;'Criação'!$J$14&amp;"): conta só o teto (26.6).",""))</f>
        <v/>
      </c>
      <c r="N40">
        <f>IF(ISERROR($E$40),"",IF(ISBLANK($E$40),"",$E$40))</f>
        <v/>
      </c>
      <c r="O40">
        <f>ISERROR($E$40)*1</f>
        <v/>
      </c>
    </row>
    <row r="41" ht="37" customHeight="1">
      <c r="A41" s="18" t="inlineStr">
        <is>
          <t>Reflexos</t>
        </is>
      </c>
      <c r="B41" s="21">
        <f>INDEX('Dados'!$B$75:$B$80,2)</f>
        <v/>
      </c>
      <c r="C41" s="21">
        <f>IFERROR(INDEX('Criação'!$F$44:$F$49,MATCH($B$41,'Criação'!$A$44:$A$49,0)),0)</f>
        <v/>
      </c>
      <c r="D41" s="21">
        <f>"+"&amp;'Criação'!$C$14</f>
        <v/>
      </c>
      <c r="E41" s="36" t="n"/>
      <c r="F41" s="21">
        <f>IF($B$41="Agilidade",'Criação'!$E$93,0)</f>
        <v/>
      </c>
      <c r="G41" s="21">
        <f>IF('Equipamento'!$J$31="Reflexos",'Equipamento'!$I$31,0)+MIN('Criação'!$J$14,COUNTIF('Equipamento'!$P$45:$P$47,"Reflexos")+'Em Jogo'!$Q$8)</f>
        <v/>
      </c>
      <c r="H41" s="19">
        <f>$C$41+IF(AND($N$41="Sim",COUNTIF($N$40:$N$41,"Sim")&lt;='Criação'!$F$14),2*'Criação'!$C$14,'Criação'!$C$14)+$F$41+$G$41</f>
        <v/>
      </c>
      <c r="I41" s="19">
        <f>"d20"&amp;IF($H$41&gt;=0,"+","")&amp;$H$41</f>
        <v/>
      </c>
      <c r="J41" s="9">
        <f>IF(OR('Criação'!$Q$25="Xianzhouíta"),"Vantagem ("&amp;'Criação'!$Q$25&amp;")","")</f>
        <v/>
      </c>
      <c r="K41" s="20">
        <f>IF(O41&gt;0,"O Google leu como fórmula: escolha de novo na lista.",IF(AND($N$41="Sim",COUNTIF($N$40:$N$41,"Sim")&gt;'Criação'!$F$14),"Acima dos slots de Eficácia em Testes de Resistência ("&amp;'Criação'!$F$14&amp;"). ","")&amp;IF((COUNTIF('Equipamento'!$P$45:$P$47,"Reflexos")+'Em Jogo'!$Q$8)&gt;'Criação'!$J$14,"Bônus temporário acima do teto (+"&amp;'Criação'!$J$14&amp;"): conta só o teto (26.6).",""))</f>
        <v/>
      </c>
      <c r="N41">
        <f>IF(ISERROR($E$41),"",IF(ISBLANK($E$41),"",$E$41))</f>
        <v/>
      </c>
      <c r="O41">
        <f>ISERROR($E$41)*1</f>
        <v/>
      </c>
    </row>
    <row r="42" ht="48" customHeight="1">
      <c r="A42" s="16" t="inlineStr">
        <is>
          <t>Resistência Física</t>
        </is>
      </c>
      <c r="B42" s="22">
        <f>INDEX('Dados'!$B$75:$B$80,3)</f>
        <v/>
      </c>
      <c r="C42" s="22">
        <f>IFERROR(INDEX('Criação'!$F$44:$F$49,MATCH($B$42,'Criação'!$A$44:$A$49,0)),0)</f>
        <v/>
      </c>
      <c r="D42" s="22">
        <f>"+"&amp;'Criação'!$C$14</f>
        <v/>
      </c>
      <c r="E42" s="23" t="n"/>
      <c r="F42" s="22">
        <f>IF($B$42="Agilidade",'Criação'!$E$93,0)</f>
        <v/>
      </c>
      <c r="G42" s="22">
        <f>IF('Equipamento'!$J$31="Resistência Física",'Equipamento'!$I$31,0)+MIN('Criação'!$J$14,COUNTIF('Equipamento'!$P$45:$P$47,"Resistência Física")+'Em Jogo'!$Q$8)</f>
        <v/>
      </c>
      <c r="H42" s="17">
        <f>$C$42+IF(AND($N$42="Sim",COUNTIF($N$40:$N$42,"Sim")&lt;='Criação'!$F$14),2*'Criação'!$C$14,'Criação'!$C$14)+$F$42+$G$42</f>
        <v/>
      </c>
      <c r="I42" s="17">
        <f>"d20"&amp;IF($H$42&gt;=0,"+","")&amp;$H$42</f>
        <v/>
      </c>
      <c r="J42" s="4">
        <f>IF(OR('Criação'!$Q$25="Xianzhouíta"),"Vantagem ("&amp;'Criação'!$Q$25&amp;")","")&amp;IF(OR('Criação'!$Q$25="Vidyadhara"),"Vantagem condicional ("&amp;'Criação'!$Q$25&amp;": água, frio e afogamento)","")</f>
        <v/>
      </c>
      <c r="K42" s="13">
        <f>IF(O42&gt;0,"O Google leu como fórmula: escolha de novo na lista.",IF(AND($N$42="Sim",COUNTIF($N$40:$N$42,"Sim")&gt;'Criação'!$F$14),"Acima dos slots de Eficácia em Testes de Resistência ("&amp;'Criação'!$F$14&amp;"). ","")&amp;IF((COUNTIF('Equipamento'!$P$45:$P$47,"Resistência Física")+'Em Jogo'!$Q$8)&gt;'Criação'!$J$14,"Bônus temporário acima do teto (+"&amp;'Criação'!$J$14&amp;"): conta só o teto (26.6).",""))</f>
        <v/>
      </c>
      <c r="N42">
        <f>IF(ISERROR($E$42),"",IF(ISBLANK($E$42),"",$E$42))</f>
        <v/>
      </c>
      <c r="O42">
        <f>ISERROR($E$42)*1</f>
        <v/>
      </c>
    </row>
    <row r="43" ht="37" customHeight="1">
      <c r="A43" s="18" t="inlineStr">
        <is>
          <t>Resistência Mental</t>
        </is>
      </c>
      <c r="B43" s="21">
        <f>INDEX('Dados'!$B$75:$B$80,4)</f>
        <v/>
      </c>
      <c r="C43" s="21">
        <f>IFERROR(INDEX('Criação'!$F$44:$F$49,MATCH($B$43,'Criação'!$A$44:$A$49,0)),0)</f>
        <v/>
      </c>
      <c r="D43" s="21">
        <f>"+"&amp;'Criação'!$C$14</f>
        <v/>
      </c>
      <c r="E43" s="36" t="n"/>
      <c r="F43" s="21">
        <f>IF($B$43="Agilidade",'Criação'!$E$93,0)</f>
        <v/>
      </c>
      <c r="G43" s="21">
        <f>IF('Equipamento'!$J$31="Resistência Mental",'Equipamento'!$I$31,0)+MIN('Criação'!$J$14,COUNTIF('Equipamento'!$P$45:$P$47,"Resistência Mental")+'Em Jogo'!$Q$8+'Em Jogo'!$Q$11)</f>
        <v/>
      </c>
      <c r="H43" s="19">
        <f>$C$43+IF(AND($N$43="Sim",COUNTIF($N$40:$N$43,"Sim")&lt;='Criação'!$F$14),2*'Criação'!$C$14,'Criação'!$C$14)+$F$43+$G$43</f>
        <v/>
      </c>
      <c r="I43" s="19">
        <f>"d20"&amp;IF($H$43&gt;=0,"+","")&amp;$H$43</f>
        <v/>
      </c>
      <c r="J43" s="9">
        <f>IF(OR('Criação'!$Q$25="Xianzhouíta",'Criação'!$Q$25="Avginiano"),"Vantagem ("&amp;'Criação'!$Q$25&amp;")","")</f>
        <v/>
      </c>
      <c r="K43" s="20">
        <f>IF(O43&gt;0,"O Google leu como fórmula: escolha de novo na lista.",IF(AND($N$43="Sim",COUNTIF($N$40:$N$43,"Sim")&gt;'Criação'!$F$14),"Acima dos slots de Eficácia em Testes de Resistência ("&amp;'Criação'!$F$14&amp;"). ","")&amp;IF((COUNTIF('Equipamento'!$P$45:$P$47,"Resistência Mental")+'Em Jogo'!$Q$8+'Em Jogo'!$Q$11)&gt;'Criação'!$J$14,"Bônus temporário acima do teto (+"&amp;'Criação'!$J$14&amp;"): conta só o teto (26.6).",""))</f>
        <v/>
      </c>
      <c r="N43">
        <f>IF(ISERROR($E$43),"",IF(ISBLANK($E$43),"",$E$43))</f>
        <v/>
      </c>
      <c r="O43">
        <f>ISERROR($E$43)*1</f>
        <v/>
      </c>
    </row>
    <row r="44" ht="37" customHeight="1">
      <c r="A44" s="16" t="inlineStr">
        <is>
          <t>Percepção Mental</t>
        </is>
      </c>
      <c r="B44" s="22">
        <f>INDEX('Dados'!$B$75:$B$80,5)</f>
        <v/>
      </c>
      <c r="C44" s="22">
        <f>IFERROR(INDEX('Criação'!$F$44:$F$49,MATCH($B$44,'Criação'!$A$44:$A$49,0)),0)</f>
        <v/>
      </c>
      <c r="D44" s="22">
        <f>"+"&amp;'Criação'!$C$14</f>
        <v/>
      </c>
      <c r="E44" s="23" t="n"/>
      <c r="F44" s="22">
        <f>IF($B$44="Agilidade",'Criação'!$E$93,0)</f>
        <v/>
      </c>
      <c r="G44" s="22">
        <f>IF('Equipamento'!$J$31="Percepção Mental",'Equipamento'!$I$31,0)+MIN('Criação'!$J$14,COUNTIF('Equipamento'!$P$45:$P$47,"Percepção Mental")+'Em Jogo'!$Q$8)</f>
        <v/>
      </c>
      <c r="H44" s="17">
        <f>$C$44+IF(AND($N$44="Sim",COUNTIF($N$40:$N$44,"Sim")&lt;='Criação'!$F$14),2*'Criação'!$C$14,'Criação'!$C$14)+$F$44+$G$44</f>
        <v/>
      </c>
      <c r="I44" s="17">
        <f>"d20"&amp;IF($H$44&gt;=0,"+","")&amp;$H$44</f>
        <v/>
      </c>
      <c r="J44" s="4">
        <f>IF(OR('Criação'!$Q$25="Xianzhouíta",'Criação'!$Q$25="Avginiano"),"Vantagem ("&amp;'Criação'!$Q$25&amp;")","")</f>
        <v/>
      </c>
      <c r="K44" s="13">
        <f>IF(O44&gt;0,"O Google leu como fórmula: escolha de novo na lista.",IF(AND($N$44="Sim",COUNTIF($N$40:$N$44,"Sim")&gt;'Criação'!$F$14),"Acima dos slots de Eficácia em Testes de Resistência ("&amp;'Criação'!$F$14&amp;"). ","")&amp;IF((COUNTIF('Equipamento'!$P$45:$P$47,"Percepção Mental")+'Em Jogo'!$Q$8)&gt;'Criação'!$J$14,"Bônus temporário acima do teto (+"&amp;'Criação'!$J$14&amp;"): conta só o teto (26.6).",""))</f>
        <v/>
      </c>
      <c r="N44">
        <f>IF(ISERROR($E$44),"",IF(ISBLANK($E$44),"",$E$44))</f>
        <v/>
      </c>
      <c r="O44">
        <f>ISERROR($E$44)*1</f>
        <v/>
      </c>
    </row>
    <row r="45" ht="37" customHeight="1">
      <c r="A45" s="18" t="inlineStr">
        <is>
          <t>Força de Vontade</t>
        </is>
      </c>
      <c r="B45" s="21">
        <f>INDEX('Dados'!$B$75:$B$80,6)</f>
        <v/>
      </c>
      <c r="C45" s="21">
        <f>IFERROR(INDEX('Criação'!$F$44:$F$49,MATCH($B$45,'Criação'!$A$44:$A$49,0)),0)</f>
        <v/>
      </c>
      <c r="D45" s="21">
        <f>"+"&amp;'Criação'!$C$14</f>
        <v/>
      </c>
      <c r="E45" s="36" t="n"/>
      <c r="F45" s="21">
        <f>IF($B$45="Agilidade",'Criação'!$E$93,0)</f>
        <v/>
      </c>
      <c r="G45" s="21">
        <f>IF('Equipamento'!$J$31="Força de Vontade",'Equipamento'!$I$31,0)+MIN('Criação'!$J$14,COUNTIF('Equipamento'!$P$45:$P$47,"Força de Vontade")+'Em Jogo'!$Q$8+'Em Jogo'!$Q$11)</f>
        <v/>
      </c>
      <c r="H45" s="19">
        <f>$C$45+IF(AND($N$45="Sim",COUNTIF($N$40:$N$45,"Sim")&lt;='Criação'!$F$14),2*'Criação'!$C$14,'Criação'!$C$14)+$F$45+$G$45</f>
        <v/>
      </c>
      <c r="I45" s="19">
        <f>"d20"&amp;IF($H$45&gt;=0,"+","")&amp;$H$45</f>
        <v/>
      </c>
      <c r="J45" s="9">
        <f>IF(OR('Criação'!$Q$25="Xianzhouíta",'Criação'!$Q$25="Vulpes",'Criação'!$Q$25="Avginiano"),"Vantagem ("&amp;'Criação'!$Q$25&amp;")","")</f>
        <v/>
      </c>
      <c r="K45" s="20">
        <f>IF(O45&gt;0,"O Google leu como fórmula: escolha de novo na lista.",IF(AND($N$45="Sim",COUNTIF($N$40:$N$45,"Sim")&gt;'Criação'!$F$14),"Acima dos slots de Eficácia em Testes de Resistência ("&amp;'Criação'!$F$14&amp;"). ","")&amp;IF((COUNTIF('Equipamento'!$P$45:$P$47,"Força de Vontade")+'Em Jogo'!$Q$8+'Em Jogo'!$Q$11)&gt;'Criação'!$J$14,"Bônus temporário acima do teto (+"&amp;'Criação'!$J$14&amp;"): conta só o teto (26.6).",""))</f>
        <v/>
      </c>
      <c r="N45">
        <f>IF(ISERROR($E$45),"",IF(ISBLANK($E$45),"",$E$45))</f>
        <v/>
      </c>
      <c r="O45">
        <f>ISERROR($E$45)*1</f>
        <v/>
      </c>
    </row>
    <row r="46" ht="37" customHeight="1">
      <c r="A46" s="8" t="inlineStr">
        <is>
          <t>Teste de Morrendo (sem Eficiência, DT 10)</t>
        </is>
      </c>
      <c r="B46" s="22" t="inlineStr">
        <is>
          <t>Presença</t>
        </is>
      </c>
      <c r="C46" s="22">
        <f>'Criação'!$F$49</f>
        <v/>
      </c>
      <c r="D46" s="22" t="inlineStr">
        <is>
          <t>Não usa</t>
        </is>
      </c>
      <c r="H46" s="17">
        <f>$C$46</f>
        <v/>
      </c>
      <c r="I46" s="17">
        <f>"d20"&amp;IF($H$46&gt;=0,"+","")&amp;$H$46&amp;" ≥ 10"</f>
        <v/>
      </c>
      <c r="J46" s="22">
        <f>IF(OR('Criação'!$Q$25="Xianzhouíta",'Criação'!$Q$25="Vulpes",'Criação'!$Q$25="Avginiano"),"Vantagem ("&amp;'Criação'!$Q$25&amp;", 23.5)","")</f>
        <v/>
      </c>
      <c r="K46" s="12" t="inlineStr">
        <is>
          <t>3 sucessos: 1 PV · 3 falhas: morre (23.4)</t>
        </is>
      </c>
    </row>
    <row r="47" ht="60" customHeight="1">
      <c r="A47" s="33" t="inlineStr">
        <is>
          <t>Slots de Eficácia em Testes de Resistência: marcados / permitidos</t>
        </is>
      </c>
      <c r="B47" s="19">
        <f>COUNTIF($N$40:$N$45,"Sim")</f>
        <v/>
      </c>
      <c r="C47" s="19">
        <f>'Criação'!$F$14</f>
        <v/>
      </c>
      <c r="D47" s="35" t="n"/>
      <c r="E47" s="35" t="n"/>
      <c r="F47" s="35" t="n"/>
      <c r="G47" s="35" t="n"/>
      <c r="H47" s="35" t="n"/>
      <c r="I47" s="35" t="n"/>
      <c r="J47" s="35" t="n"/>
      <c r="K47" s="35" t="n"/>
      <c r="L47" s="35" t="n"/>
    </row>
  </sheetData>
  <mergeCells count="18">
    <mergeCell ref="J5:L5"/>
    <mergeCell ref="A5:D5"/>
    <mergeCell ref="A38:L38"/>
    <mergeCell ref="K43:L43"/>
    <mergeCell ref="F5:H5"/>
    <mergeCell ref="C2:D2"/>
    <mergeCell ref="H2:I2"/>
    <mergeCell ref="E2:F2"/>
    <mergeCell ref="K39:L39"/>
    <mergeCell ref="A1:L1"/>
    <mergeCell ref="K42:L42"/>
    <mergeCell ref="K44:L44"/>
    <mergeCell ref="K41:L41"/>
    <mergeCell ref="A14:L14"/>
    <mergeCell ref="K45:L45"/>
    <mergeCell ref="K46:L46"/>
    <mergeCell ref="A3:L3"/>
    <mergeCell ref="K40:L40"/>
  </mergeCells>
  <conditionalFormatting sqref="L16">
    <cfRule type="expression" priority="1" dxfId="0">
      <formula>LEN(L16)&gt;0</formula>
    </cfRule>
  </conditionalFormatting>
  <conditionalFormatting sqref="L17">
    <cfRule type="expression" priority="2" dxfId="0">
      <formula>LEN(L17)&gt;0</formula>
    </cfRule>
  </conditionalFormatting>
  <conditionalFormatting sqref="L18">
    <cfRule type="expression" priority="3" dxfId="0">
      <formula>LEN(L18)&gt;0</formula>
    </cfRule>
  </conditionalFormatting>
  <conditionalFormatting sqref="L19">
    <cfRule type="expression" priority="4" dxfId="0">
      <formula>LEN(L19)&gt;0</formula>
    </cfRule>
  </conditionalFormatting>
  <conditionalFormatting sqref="L20">
    <cfRule type="expression" priority="5" dxfId="0">
      <formula>LEN(L20)&gt;0</formula>
    </cfRule>
  </conditionalFormatting>
  <conditionalFormatting sqref="L22">
    <cfRule type="expression" priority="6" dxfId="0">
      <formula>LEN(L22)&gt;0</formula>
    </cfRule>
  </conditionalFormatting>
  <conditionalFormatting sqref="L23">
    <cfRule type="expression" priority="7" dxfId="0">
      <formula>LEN(L23)&gt;0</formula>
    </cfRule>
  </conditionalFormatting>
  <conditionalFormatting sqref="L24">
    <cfRule type="expression" priority="8" dxfId="0">
      <formula>LEN(L24)&gt;0</formula>
    </cfRule>
  </conditionalFormatting>
  <conditionalFormatting sqref="L25">
    <cfRule type="expression" priority="9" dxfId="0">
      <formula>LEN(L25)&gt;0</formula>
    </cfRule>
  </conditionalFormatting>
  <conditionalFormatting sqref="L26">
    <cfRule type="expression" priority="10" dxfId="0">
      <formula>LEN(L26)&gt;0</formula>
    </cfRule>
  </conditionalFormatting>
  <conditionalFormatting sqref="L27">
    <cfRule type="expression" priority="11" dxfId="0">
      <formula>LEN(L27)&gt;0</formula>
    </cfRule>
  </conditionalFormatting>
  <conditionalFormatting sqref="L28">
    <cfRule type="expression" priority="12" dxfId="0">
      <formula>LEN(L28)&gt;0</formula>
    </cfRule>
  </conditionalFormatting>
  <conditionalFormatting sqref="L29">
    <cfRule type="expression" priority="13" dxfId="0">
      <formula>LEN(L29)&gt;0</formula>
    </cfRule>
  </conditionalFormatting>
  <conditionalFormatting sqref="L31">
    <cfRule type="expression" priority="14" dxfId="0">
      <formula>LEN(L31)&gt;0</formula>
    </cfRule>
  </conditionalFormatting>
  <conditionalFormatting sqref="L32">
    <cfRule type="expression" priority="15" dxfId="0">
      <formula>LEN(L32)&gt;0</formula>
    </cfRule>
  </conditionalFormatting>
  <conditionalFormatting sqref="L33">
    <cfRule type="expression" priority="16" dxfId="0">
      <formula>LEN(L33)&gt;0</formula>
    </cfRule>
  </conditionalFormatting>
  <conditionalFormatting sqref="L34">
    <cfRule type="expression" priority="17" dxfId="0">
      <formula>LEN(L34)&gt;0</formula>
    </cfRule>
  </conditionalFormatting>
  <conditionalFormatting sqref="L35">
    <cfRule type="expression" priority="18" dxfId="0">
      <formula>LEN(L35)&gt;0</formula>
    </cfRule>
  </conditionalFormatting>
  <conditionalFormatting sqref="K40">
    <cfRule type="expression" priority="19" dxfId="0">
      <formula>LEN(K40)&gt;0</formula>
    </cfRule>
  </conditionalFormatting>
  <conditionalFormatting sqref="K41">
    <cfRule type="expression" priority="20" dxfId="0">
      <formula>LEN(K41)&gt;0</formula>
    </cfRule>
  </conditionalFormatting>
  <conditionalFormatting sqref="K42">
    <cfRule type="expression" priority="21" dxfId="0">
      <formula>LEN(K42)&gt;0</formula>
    </cfRule>
  </conditionalFormatting>
  <conditionalFormatting sqref="K43">
    <cfRule type="expression" priority="22" dxfId="0">
      <formula>LEN(K43)&gt;0</formula>
    </cfRule>
  </conditionalFormatting>
  <conditionalFormatting sqref="K44">
    <cfRule type="expression" priority="23" dxfId="0">
      <formula>LEN(K44)&gt;0</formula>
    </cfRule>
  </conditionalFormatting>
  <conditionalFormatting sqref="K45">
    <cfRule type="expression" priority="24" dxfId="0">
      <formula>LEN(K45)&gt;0</formula>
    </cfRule>
  </conditionalFormatting>
  <dataValidations count="24">
    <dataValidation sqref="E16" showDropDown="0" showInputMessage="0" showErrorMessage="1" allowBlank="1" errorTitle="Fora da lista" error="Atletismo: escolha um valor da lista. A ficha pode não reconhecer outro valor." type="list" errorStyle="warning">
      <formula1>'Dados'!$AG$6:$AG$7</formula1>
    </dataValidation>
    <dataValidation sqref="E17" showDropDown="0" showInputMessage="0" showErrorMessage="1" allowBlank="1" errorTitle="Fora da lista" error="Acrobacia: escolha um valor da lista. A ficha pode não reconhecer outro valor." type="list" errorStyle="warning">
      <formula1>'Dados'!$AG$6:$AG$7</formula1>
    </dataValidation>
    <dataValidation sqref="E18" showDropDown="0" showInputMessage="0" showErrorMessage="1" allowBlank="1" errorTitle="Fora da lista" error="Furtividade: escolha um valor da lista. A ficha pode não reconhecer outro valor." type="list" errorStyle="warning">
      <formula1>'Dados'!$AG$6:$AG$7</formula1>
    </dataValidation>
    <dataValidation sqref="E19" showDropDown="0" showInputMessage="0" showErrorMessage="1" allowBlank="1" errorTitle="Fora da lista" error="Pilotagem: escolha um valor da lista. A ficha pode não reconhecer outro valor." type="list" errorStyle="warning">
      <formula1>'Dados'!$AG$6:$AG$7</formula1>
    </dataValidation>
    <dataValidation sqref="E20" showDropDown="0" showInputMessage="0" showErrorMessage="1" allowBlank="1" errorTitle="Fora da lista" error="Resistência: escolha um valor da lista. A ficha pode não reconhecer outro valor." type="list" errorStyle="warning">
      <formula1>'Dados'!$AG$6:$AG$7</formula1>
    </dataValidation>
    <dataValidation sqref="E22" showDropDown="0" showInputMessage="0" showErrorMessage="1" allowBlank="1" errorTitle="Fora da lista" error="Tecnologia: escolha um valor da lista. A ficha pode não reconhecer outro valor." type="list" errorStyle="warning">
      <formula1>'Dados'!$AG$6:$AG$7</formula1>
    </dataValidation>
    <dataValidation sqref="E23" showDropDown="0" showInputMessage="0" showErrorMessage="1" allowBlank="1" errorTitle="Fora da lista" error="Pesquisa: escolha um valor da lista. A ficha pode não reconhecer outro valor." type="list" errorStyle="warning">
      <formula1>'Dados'!$AG$6:$AG$7</formula1>
    </dataValidation>
    <dataValidation sqref="E24" showDropDown="0" showInputMessage="0" showErrorMessage="1" allowBlank="1" errorTitle="Fora da lista" error="Ciência: escolha um valor da lista. A ficha pode não reconhecer outro valor." type="list" errorStyle="warning">
      <formula1>'Dados'!$AG$6:$AG$7</formula1>
    </dataValidation>
    <dataValidation sqref="E25" showDropDown="0" showInputMessage="0" showErrorMessage="1" allowBlank="1" errorTitle="Fora da lista" error="Mecânica: escolha um valor da lista. A ficha pode não reconhecer outro valor." type="list" errorStyle="warning">
      <formula1>'Dados'!$AG$6:$AG$7</formula1>
    </dataValidation>
    <dataValidation sqref="E26" showDropDown="0" showInputMessage="0" showErrorMessage="1" allowBlank="1" errorTitle="Fora da lista" error="Percepção: escolha um valor da lista. A ficha pode não reconhecer outro valor." type="list" errorStyle="warning">
      <formula1>'Dados'!$AG$6:$AG$7</formula1>
    </dataValidation>
    <dataValidation sqref="E27" showDropDown="0" showInputMessage="0" showErrorMessage="1" allowBlank="1" errorTitle="Fora da lista" error="Sobrevivência: escolha um valor da lista. A ficha pode não reconhecer outro valor." type="list" errorStyle="warning">
      <formula1>'Dados'!$AG$6:$AG$7</formula1>
    </dataValidation>
    <dataValidation sqref="E28" showDropDown="0" showInputMessage="0" showErrorMessage="1" allowBlank="1" errorTitle="Fora da lista" error="Intuição: escolha um valor da lista. A ficha pode não reconhecer outro valor." type="list" errorStyle="warning">
      <formula1>'Dados'!$AG$6:$AG$7</formula1>
    </dataValidation>
    <dataValidation sqref="E29" showDropDown="0" showInputMessage="0" showErrorMessage="1" allowBlank="1" errorTitle="Fora da lista" error="Investigação: escolha um valor da lista. A ficha pode não reconhecer outro valor." type="list" errorStyle="warning">
      <formula1>'Dados'!$AG$6:$AG$7</formula1>
    </dataValidation>
    <dataValidation sqref="E31" showDropDown="0" showInputMessage="0" showErrorMessage="1" allowBlank="1" errorTitle="Fora da lista" error="Persuasão: escolha um valor da lista. A ficha pode não reconhecer outro valor." type="list" errorStyle="warning">
      <formula1>'Dados'!$AG$6:$AG$7</formula1>
    </dataValidation>
    <dataValidation sqref="E32" showDropDown="0" showInputMessage="0" showErrorMessage="1" allowBlank="1" errorTitle="Fora da lista" error="Intimidação: escolha um valor da lista. A ficha pode não reconhecer outro valor." type="list" errorStyle="warning">
      <formula1>'Dados'!$AG$6:$AG$7</formula1>
    </dataValidation>
    <dataValidation sqref="E33" showDropDown="0" showInputMessage="0" showErrorMessage="1" allowBlank="1" errorTitle="Fora da lista" error="Enganação: escolha um valor da lista. A ficha pode não reconhecer outro valor." type="list" errorStyle="warning">
      <formula1>'Dados'!$AG$6:$AG$7</formula1>
    </dataValidation>
    <dataValidation sqref="E34" showDropDown="0" showInputMessage="0" showErrorMessage="1" allowBlank="1" errorTitle="Fora da lista" error="Liderança: escolha um valor da lista. A ficha pode não reconhecer outro valor." type="list" errorStyle="warning">
      <formula1>'Dados'!$AG$6:$AG$7</formula1>
    </dataValidation>
    <dataValidation sqref="E35" showDropDown="0" showInputMessage="0" showErrorMessage="1" allowBlank="1" errorTitle="Fora da lista" error="Sintonia: escolha um valor da lista. A ficha pode não reconhecer outro valor." type="list" errorStyle="warning">
      <formula1>'Dados'!$AG$6:$AG$7</formula1>
    </dataValidation>
    <dataValidation sqref="E40" showDropDown="0" showInputMessage="0" showErrorMessage="1" allowBlank="1" errorTitle="Fora da lista" error="Potência Física: escolha um valor da lista. A ficha pode não reconhecer outro valor." type="list" errorStyle="warning">
      <formula1>'Dados'!$AG$6:$AG$7</formula1>
    </dataValidation>
    <dataValidation sqref="E41" showDropDown="0" showInputMessage="0" showErrorMessage="1" allowBlank="1" errorTitle="Fora da lista" error="Reflexos: escolha um valor da lista. A ficha pode não reconhecer outro valor." type="list" errorStyle="warning">
      <formula1>'Dados'!$AG$6:$AG$7</formula1>
    </dataValidation>
    <dataValidation sqref="E42" showDropDown="0" showInputMessage="0" showErrorMessage="1" allowBlank="1" errorTitle="Fora da lista" error="Resistência Física: escolha um valor da lista. A ficha pode não reconhecer outro valor." type="list" errorStyle="warning">
      <formula1>'Dados'!$AG$6:$AG$7</formula1>
    </dataValidation>
    <dataValidation sqref="E43" showDropDown="0" showInputMessage="0" showErrorMessage="1" allowBlank="1" errorTitle="Fora da lista" error="Resistência Mental: escolha um valor da lista. A ficha pode não reconhecer outro valor." type="list" errorStyle="warning">
      <formula1>'Dados'!$AG$6:$AG$7</formula1>
    </dataValidation>
    <dataValidation sqref="E44" showDropDown="0" showInputMessage="0" showErrorMessage="1" allowBlank="1" errorTitle="Fora da lista" error="Percepção Mental: escolha um valor da lista. A ficha pode não reconhecer outro valor." type="list" errorStyle="warning">
      <formula1>'Dados'!$AG$6:$AG$7</formula1>
    </dataValidation>
    <dataValidation sqref="E45" showDropDown="0" showInputMessage="0" showErrorMessage="1" allowBlank="1" errorTitle="Fora da lista" error="Força de Vontade: escolha um valor da lista. A ficha pode não reconhecer outro valor." type="list" errorStyle="warning">
      <formula1>'Dados'!$AG$6:$AG$7</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F63"/>
  <sheetViews>
    <sheetView showGridLines="1" workbookViewId="0">
      <selection activeCell="A1" sqref="A1"/>
    </sheetView>
  </sheetViews>
  <sheetFormatPr baseColWidth="8" defaultRowHeight="15"/>
  <cols>
    <col width="9.6" customWidth="1" min="1" max="1"/>
    <col width="27" customWidth="1" min="2" max="2"/>
    <col width="12" customWidth="1" min="3" max="3"/>
    <col width="13" customWidth="1" min="4" max="4"/>
    <col width="11" customWidth="1" min="5" max="5"/>
    <col width="23" customWidth="1" min="6" max="6"/>
    <col width="11" customWidth="1" min="7" max="7"/>
    <col width="13" customWidth="1" min="8" max="8"/>
    <col width="14" customWidth="1" min="9" max="9"/>
    <col width="10" customWidth="1" min="10" max="10"/>
    <col width="12" customWidth="1" min="11" max="11"/>
    <col width="30.214" customWidth="1" min="12" max="12"/>
    <col width="2" customWidth="1" min="13" max="13"/>
    <col width="2" customWidth="1" min="14" max="14"/>
    <col hidden="1" width="2" customWidth="1" min="15" max="15"/>
    <col hidden="1" width="11.5" customWidth="1" min="16" max="16"/>
    <col hidden="1" width="6.4" customWidth="1" min="17" max="17"/>
    <col hidden="1" width="6.6" customWidth="1" min="18" max="18"/>
    <col hidden="1" width="4.5" customWidth="1" min="19" max="19"/>
    <col hidden="1" width="7.7" customWidth="1" min="20" max="20"/>
    <col hidden="1" width="6.6" customWidth="1" min="21" max="21"/>
    <col hidden="1" width="4.5" customWidth="1" min="22" max="22"/>
    <col hidden="1" width="4.2" customWidth="1" min="23" max="23"/>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s>
  <sheetData>
    <row r="1" ht="24" customHeight="1">
      <c r="A1" s="1" t="inlineStr">
        <is>
          <t>Habilidades — Explorando Galáxias v1.1</t>
        </is>
      </c>
    </row>
    <row r="2" ht="37" customHeight="1">
      <c r="A2" s="26" t="inlineStr">
        <is>
          <t>Legenda:</t>
        </is>
      </c>
      <c r="B2" s="3" t="inlineStr">
        <is>
          <t>Entrada (preencha)</t>
        </is>
      </c>
      <c r="C2" s="4" t="inlineStr">
        <is>
          <t>Calculada (automático)</t>
        </is>
      </c>
      <c r="D2" s="5" t="inlineStr">
        <is>
          <t>Aviso (texto em vermelho)</t>
        </is>
      </c>
      <c r="E2" s="6" t="inlineStr">
        <is>
          <t>Título de bloco</t>
        </is>
      </c>
      <c r="F2" s="7" t="inlineStr">
        <is>
          <t>Cabeçalho de coluna</t>
        </is>
      </c>
      <c r="G2" s="8" t="inlineStr">
        <is>
          <t>Rótulo da linha</t>
        </is>
      </c>
      <c r="H2" s="9" t="inlineStr">
        <is>
          <t>Linha alternada (outro tom)</t>
        </is>
      </c>
      <c r="I2" s="10" t="inlineStr">
        <is>
          <t>Não se aplica</t>
        </is>
      </c>
    </row>
    <row r="3">
      <c r="A3" s="11" t="inlineStr">
        <is>
          <t>As suas Habilidades (até 8) e a Ultimate.</t>
        </is>
      </c>
    </row>
    <row r="4"/>
    <row r="5">
      <c r="A5" s="14" t="inlineStr">
        <is>
          <t>Seus números de Habilidade (automático) — 16.3, 16.6 e 26.2</t>
        </is>
      </c>
    </row>
    <row r="6" ht="26" customHeight="1">
      <c r="A6" s="8" t="inlineStr">
        <is>
          <t>Teste de Ataque (Habilidades e Ultimate)</t>
        </is>
      </c>
      <c r="C6" s="17">
        <f>'Criação'!$C$57</f>
        <v/>
      </c>
      <c r="D6" s="12" t="inlineStr">
        <is>
          <t>DT das Habilidades</t>
        </is>
      </c>
      <c r="F6" s="17">
        <f>'Criação'!$B$56</f>
        <v/>
      </c>
      <c r="G6" s="12" t="inlineStr">
        <is>
          <t>Nível máximo</t>
        </is>
      </c>
      <c r="I6" s="17">
        <f>'Criação'!$B$16</f>
        <v/>
      </c>
    </row>
    <row r="7" ht="37" customHeight="1">
      <c r="A7" s="8" t="inlineStr">
        <is>
          <t>Habilidades preenchidas / conhecidas</t>
        </is>
      </c>
      <c r="C7" s="17">
        <f>SUM($P$12:$P$19)</f>
        <v/>
      </c>
      <c r="D7" s="22">
        <f>"de "&amp;'Criação'!$A$16</f>
        <v/>
      </c>
      <c r="E7" s="22">
        <f>IF('Criação'!$C$16="Sim","A partir do nível 16: em vez de aprender, reescreva 1 Habilidade conhecida por nível (16.6)","Passivas contam no teto de 8 (16.6)")</f>
        <v/>
      </c>
      <c r="L7" s="13">
        <f>IF($C$7&gt;'Criação'!$A$16,"Habilidades acima das conhecidas no seu nível ("&amp;'Criação'!$A$16&amp;"): confira as linhas abaixo.","")</f>
        <v/>
      </c>
    </row>
    <row r="8" ht="37" customHeight="1">
      <c r="A8" s="8" t="inlineStr">
        <is>
          <t>Ressonância III (26.7)</t>
        </is>
      </c>
      <c r="C8" s="22">
        <f>IF('Progressão'!$R$69="","Ainda não ativa: libera no nível 15 (aba Progressão)","Ativa: marque Sim em uma Habilidade para ela subir 1 Nível de efeito, até o Nível máximo")</f>
        <v/>
      </c>
      <c r="L8" s="13">
        <f>IF(COUNTIF($AE$12:$AE$19,"Sim")&gt;1,"Ressonância III marcada em mais de uma Habilidade: vale só a primeira.","")</f>
        <v/>
      </c>
    </row>
    <row r="9"/>
    <row r="10">
      <c r="A10" s="14" t="inlineStr">
        <is>
          <t>Suas Habilidades (preencha) — até 8; escreva pelos sete passos de 16.7</t>
        </is>
      </c>
    </row>
    <row r="11" ht="40" customHeight="1">
      <c r="A11" s="7" t="inlineStr">
        <is>
          <t>Nº</t>
        </is>
      </c>
      <c r="B11" s="7" t="inlineStr">
        <is>
          <t>Nome (preencha)</t>
        </is>
      </c>
      <c r="C11" s="7" t="inlineStr">
        <is>
          <t>Tipo</t>
        </is>
      </c>
      <c r="D11" s="7" t="inlineStr">
        <is>
          <t>Nível (1 a 7)</t>
        </is>
      </c>
      <c r="E11" s="7" t="inlineStr">
        <is>
          <t>Em área?</t>
        </is>
      </c>
      <c r="F11" s="7" t="inlineStr">
        <is>
          <t>Resolução</t>
        </is>
      </c>
      <c r="G11" s="7" t="inlineStr">
        <is>
          <t>Alcance</t>
        </is>
      </c>
      <c r="H11" s="7" t="inlineStr">
        <is>
          <t>Ressonância III aqui?</t>
        </is>
      </c>
      <c r="I11" s="7" t="inlineStr">
        <is>
          <t>Aviso</t>
        </is>
      </c>
      <c r="J11" s="15" t="n"/>
      <c r="K11" s="15" t="n"/>
      <c r="L11" s="15" t="n"/>
      <c r="P11" s="7" t="inlineStr">
        <is>
          <t>preenchida</t>
        </is>
      </c>
      <c r="Q11" s="7" t="inlineStr">
        <is>
          <t>Nível usado</t>
        </is>
      </c>
      <c r="R11" s="7" t="inlineStr">
        <is>
          <t>Ress. III vale</t>
        </is>
      </c>
      <c r="S11" s="7" t="inlineStr">
        <is>
          <t>Nível efetivo</t>
        </is>
      </c>
      <c r="T11" s="7" t="inlineStr">
        <is>
          <t>dados (tabela)</t>
        </is>
      </c>
      <c r="U11" s="7" t="inlineStr">
        <is>
          <t>nº de dados</t>
        </is>
      </c>
      <c r="V11" s="7" t="inlineStr">
        <is>
          <t>face</t>
        </is>
      </c>
      <c r="W11" s="7" t="inlineStr">
        <is>
          <t>fixo</t>
        </is>
      </c>
    </row>
    <row r="12" ht="48" customHeight="1">
      <c r="A12" s="16" t="n">
        <v>1</v>
      </c>
      <c r="B12" s="27" t="n"/>
      <c r="C12" s="23" t="n"/>
      <c r="D12" s="23" t="n"/>
      <c r="E12" s="23" t="n"/>
      <c r="F12" s="23" t="n"/>
      <c r="G12" s="23" t="n"/>
      <c r="H12" s="23" t="n"/>
      <c r="I12" s="13">
        <f>IF(AF12&gt;0,"O Google leu como fórmula: escolha de novo ou digite com ' na frente.",IF(AF23&gt;0,"Linha 23: O Google leu como fórmula: digite de novo com ' na frente.",IF($P$12=0,"",IF($Z$12="","Escolha o Tipo. ",IF(COUNTIF('Dados'!$W$6:$W$10,$Z$12)=0,"Tipo fora da lista (16.5). ",""))&amp;IF(LEN($AA$12)=0,"",IF(ISNUMBER($AA$12),IF(OR($AA$12&lt;1,$AA$12&gt;7),"O Nível vai de 1 a 7. ","")&amp;IF($AA$12&gt;'Criação'!$B$16,"Acima do Nível máximo do seu nível ("&amp;'Criação'!$B$16&amp;"). ",""),"Nível precisa ser um número de 1 a 7. "))&amp;IF(LEN($AD$12)=0,"",IF(ISERROR(MATCH($AD$12,'Dados'!$X$6:$X$10,0)),"Alcance fora da lista. ",IF(MATCH($AD$12,'Dados'!$X$6:$X$10,0)&gt;MATCH($I$34,'Dados'!$X$6:$X$10,0),"Alcance acima do que o Nível "&amp;$S$12&amp;" permite (até "&amp;$I$34&amp;"). ","")))&amp;IF(SUM($P$12:P12)&gt;'Criação'!$A$16,"Acima das "&amp;'Criação'!$A$16&amp;" Habilidades conhecidas do seu nível. ","")&amp;IF($AE$12="Sim",IF('Progressão'!$R$69="","Ressonância III ainda não está ativa. ",IF(COUNTIF($AE$12,"Sim")&gt;1,"Ressonância III só vale numa Habilidade. ","")),""))))</f>
        <v/>
      </c>
      <c r="P12" s="25">
        <f>IF(OR(LEN($Y$12)&gt;0,LEN($Z$12)&gt;0,LEN($AA$12)&gt;0,LEN($AB$12)&gt;0,LEN($AC$12)&gt;0,LEN($AD$12)&gt;0,LEN($AE$12)&gt;0,LEN($Z$23)&gt;0),1,0)</f>
        <v/>
      </c>
      <c r="Q12" s="25">
        <f>IF(ISNUMBER($AA$12),MAX(1,MIN(7,INT($AA$12))),1)</f>
        <v/>
      </c>
      <c r="R12" s="25">
        <f>IF(AND($AE$12="Sim",'Progressão'!$R$69&lt;&gt;"",COUNTIF($AE$12,"Sim")=1),1,0)</f>
        <v/>
      </c>
      <c r="S12" s="25">
        <f>IF(AND($R$12=1,$Q$12&lt;'Criação'!$B$16),MIN('Criação'!$B$16,$Q$12+1),$Q$12)</f>
        <v/>
      </c>
      <c r="T12" s="25">
        <f>IF($Z$12="Dano",INDEX('Dados'!$C$296:$C$302,$S$12),IF($Z$12="Cura",INDEX('Dados'!$G$296:$G$302,$S$12),0))</f>
        <v/>
      </c>
      <c r="U12" s="25">
        <f>IF(AND($AB$12="Sim",$T$12&gt;0),MAX(1,INT($T$12/2)),$T$12)</f>
        <v/>
      </c>
      <c r="V12" s="25">
        <f>IF($Z$12="Dano",INDEX('Dados'!$D$296:$D$302,$S$12),IF($Z$12="Cura",INDEX('Dados'!$H$296:$H$302,$S$12),0))</f>
        <v/>
      </c>
      <c r="W12" s="25">
        <f>IF(OR($Z$12="Dano",$Z$12="Cura"),'Criação'!$B$55+IF($Z$12="Dano",'Equipamento'!$P$40+'Equipamento'!$E$31,0),0)</f>
        <v/>
      </c>
      <c r="Y12">
        <f>IF(ISERROR($B$12),"",IF(ISBLANK($B$12),"",$B$12))</f>
        <v/>
      </c>
      <c r="Z12">
        <f>IF(ISERROR($C$12),"",IF(ISBLANK($C$12),"",$C$12))</f>
        <v/>
      </c>
      <c r="AA12">
        <f>IF(ISERROR($D$12),"",IF(ISBLANK($D$12),"",$D$12))</f>
        <v/>
      </c>
      <c r="AB12">
        <f>IF(ISERROR($E$12),"",IF(ISBLANK($E$12),"",$E$12))</f>
        <v/>
      </c>
      <c r="AC12">
        <f>IF(ISERROR($F$12),"",IF(ISBLANK($F$12),"",$F$12))</f>
        <v/>
      </c>
      <c r="AD12">
        <f>IF(ISERROR($G$12),"",IF(ISBLANK($G$12),"",$G$12))</f>
        <v/>
      </c>
      <c r="AE12">
        <f>IF(ISERROR($H$12),"",IF(ISBLANK($H$12),"",$H$12))</f>
        <v/>
      </c>
      <c r="AF12">
        <f>ISERROR($B$12)*1+ISERROR($C$12)*1+ISERROR($D$12)*1+ISERROR($E$12)*1+ISERROR($F$12)*1+ISERROR($G$12)*1+ISERROR($H$12)*1</f>
        <v/>
      </c>
    </row>
    <row r="13" ht="48" customHeight="1">
      <c r="A13" s="18" t="n">
        <v>2</v>
      </c>
      <c r="B13" s="60" t="n"/>
      <c r="C13" s="36" t="n"/>
      <c r="D13" s="36" t="n"/>
      <c r="E13" s="36" t="n"/>
      <c r="F13" s="36" t="n"/>
      <c r="G13" s="36" t="n"/>
      <c r="H13" s="36" t="n"/>
      <c r="I13" s="20">
        <f>IF(AF13&gt;0,"O Google leu como fórmula: escolha de novo ou digite com ' na frente.",IF(AF24&gt;0,"Linha 24: O Google leu como fórmula: digite de novo com ' na frente.",IF($P$13=0,"",IF($Z$13="","Escolha o Tipo. ",IF(COUNTIF('Dados'!$W$6:$W$10,$Z$13)=0,"Tipo fora da lista (16.5). ",""))&amp;IF(LEN($AA$13)=0,"",IF(ISNUMBER($AA$13),IF(OR($AA$13&lt;1,$AA$13&gt;7),"O Nível vai de 1 a 7. ","")&amp;IF($AA$13&gt;'Criação'!$B$16,"Acima do Nível máximo do seu nível ("&amp;'Criação'!$B$16&amp;"). ",""),"Nível precisa ser um número de 1 a 7. "))&amp;IF(LEN($AD$13)=0,"",IF(ISERROR(MATCH($AD$13,'Dados'!$X$6:$X$10,0)),"Alcance fora da lista. ",IF(MATCH($AD$13,'Dados'!$X$6:$X$10,0)&gt;MATCH($I$35,'Dados'!$X$6:$X$10,0),"Alcance acima do que o Nível "&amp;$S$13&amp;" permite (até "&amp;$I$35&amp;"). ","")))&amp;IF(SUM($P$12:P13)&gt;'Criação'!$A$16,"Acima das "&amp;'Criação'!$A$16&amp;" Habilidades conhecidas do seu nível. ","")&amp;IF($AE$13="Sim",IF('Progressão'!$R$69="","Ressonância III ainda não está ativa. ",IF(COUNTIF($AE$12:$AE$13,"Sim")&gt;1,"Ressonância III só vale numa Habilidade. ","")),""))))</f>
        <v/>
      </c>
      <c r="M13" s="35" t="n"/>
      <c r="N13" s="35" t="n"/>
      <c r="O13" s="35" t="n"/>
      <c r="P13" s="25">
        <f>IF(OR(LEN($Y$13)&gt;0,LEN($Z$13)&gt;0,LEN($AA$13)&gt;0,LEN($AB$13)&gt;0,LEN($AC$13)&gt;0,LEN($AD$13)&gt;0,LEN($AE$13)&gt;0,LEN($Z$24)&gt;0),1,0)</f>
        <v/>
      </c>
      <c r="Q13" s="25">
        <f>IF(ISNUMBER($AA$13),MAX(1,MIN(7,INT($AA$13))),1)</f>
        <v/>
      </c>
      <c r="R13" s="25">
        <f>IF(AND($AE$13="Sim",'Progressão'!$R$69&lt;&gt;"",COUNTIF($AE$12:$AE$13,"Sim")=1),1,0)</f>
        <v/>
      </c>
      <c r="S13" s="25">
        <f>IF(AND($R$13=1,$Q$13&lt;'Criação'!$B$16),MIN('Criação'!$B$16,$Q$13+1),$Q$13)</f>
        <v/>
      </c>
      <c r="T13" s="25">
        <f>IF($Z$13="Dano",INDEX('Dados'!$C$296:$C$302,$S$13),IF($Z$13="Cura",INDEX('Dados'!$G$296:$G$302,$S$13),0))</f>
        <v/>
      </c>
      <c r="U13" s="25">
        <f>IF(AND($AB$13="Sim",$T$13&gt;0),MAX(1,INT($T$13/2)),$T$13)</f>
        <v/>
      </c>
      <c r="V13" s="25">
        <f>IF($Z$13="Dano",INDEX('Dados'!$D$296:$D$302,$S$13),IF($Z$13="Cura",INDEX('Dados'!$H$296:$H$302,$S$13),0))</f>
        <v/>
      </c>
      <c r="W13" s="25">
        <f>IF(OR($Z$13="Dano",$Z$13="Cura"),'Criação'!$B$55+IF($Z$13="Dano",'Equipamento'!$P$40+'Equipamento'!$E$31,0),0)</f>
        <v/>
      </c>
      <c r="Y13">
        <f>IF(ISERROR($B$13),"",IF(ISBLANK($B$13),"",$B$13))</f>
        <v/>
      </c>
      <c r="Z13">
        <f>IF(ISERROR($C$13),"",IF(ISBLANK($C$13),"",$C$13))</f>
        <v/>
      </c>
      <c r="AA13">
        <f>IF(ISERROR($D$13),"",IF(ISBLANK($D$13),"",$D$13))</f>
        <v/>
      </c>
      <c r="AB13">
        <f>IF(ISERROR($E$13),"",IF(ISBLANK($E$13),"",$E$13))</f>
        <v/>
      </c>
      <c r="AC13">
        <f>IF(ISERROR($F$13),"",IF(ISBLANK($F$13),"",$F$13))</f>
        <v/>
      </c>
      <c r="AD13">
        <f>IF(ISERROR($G$13),"",IF(ISBLANK($G$13),"",$G$13))</f>
        <v/>
      </c>
      <c r="AE13">
        <f>IF(ISERROR($H$13),"",IF(ISBLANK($H$13),"",$H$13))</f>
        <v/>
      </c>
      <c r="AF13">
        <f>ISERROR($B$13)*1+ISERROR($C$13)*1+ISERROR($D$13)*1+ISERROR($E$13)*1+ISERROR($F$13)*1+ISERROR($G$13)*1+ISERROR($H$13)*1</f>
        <v/>
      </c>
    </row>
    <row r="14" ht="48" customHeight="1">
      <c r="A14" s="16" t="n">
        <v>3</v>
      </c>
      <c r="B14" s="27" t="n"/>
      <c r="C14" s="23" t="n"/>
      <c r="D14" s="23" t="n"/>
      <c r="E14" s="23" t="n"/>
      <c r="F14" s="23" t="n"/>
      <c r="G14" s="23" t="n"/>
      <c r="H14" s="23" t="n"/>
      <c r="I14" s="13">
        <f>IF(AF14&gt;0,"O Google leu como fórmula: escolha de novo ou digite com ' na frente.",IF(AF25&gt;0,"Linha 25: O Google leu como fórmula: digite de novo com ' na frente.",IF($P$14=0,"",IF($Z$14="","Escolha o Tipo. ",IF(COUNTIF('Dados'!$W$6:$W$10,$Z$14)=0,"Tipo fora da lista (16.5). ",""))&amp;IF(LEN($AA$14)=0,"",IF(ISNUMBER($AA$14),IF(OR($AA$14&lt;1,$AA$14&gt;7),"O Nível vai de 1 a 7. ","")&amp;IF($AA$14&gt;'Criação'!$B$16,"Acima do Nível máximo do seu nível ("&amp;'Criação'!$B$16&amp;"). ",""),"Nível precisa ser um número de 1 a 7. "))&amp;IF(LEN($AD$14)=0,"",IF(ISERROR(MATCH($AD$14,'Dados'!$X$6:$X$10,0)),"Alcance fora da lista. ",IF(MATCH($AD$14,'Dados'!$X$6:$X$10,0)&gt;MATCH($I$36,'Dados'!$X$6:$X$10,0),"Alcance acima do que o Nível "&amp;$S$14&amp;" permite (até "&amp;$I$36&amp;"). ","")))&amp;IF(SUM($P$12:P14)&gt;'Criação'!$A$16,"Acima das "&amp;'Criação'!$A$16&amp;" Habilidades conhecidas do seu nível. ","")&amp;IF($AE$14="Sim",IF('Progressão'!$R$69="","Ressonância III ainda não está ativa. ",IF(COUNTIF($AE$12:$AE$14,"Sim")&gt;1,"Ressonância III só vale numa Habilidade. ","")),""))))</f>
        <v/>
      </c>
      <c r="P14" s="25">
        <f>IF(OR(LEN($Y$14)&gt;0,LEN($Z$14)&gt;0,LEN($AA$14)&gt;0,LEN($AB$14)&gt;0,LEN($AC$14)&gt;0,LEN($AD$14)&gt;0,LEN($AE$14)&gt;0,LEN($Z$25)&gt;0),1,0)</f>
        <v/>
      </c>
      <c r="Q14" s="25">
        <f>IF(ISNUMBER($AA$14),MAX(1,MIN(7,INT($AA$14))),1)</f>
        <v/>
      </c>
      <c r="R14" s="25">
        <f>IF(AND($AE$14="Sim",'Progressão'!$R$69&lt;&gt;"",COUNTIF($AE$12:$AE$14,"Sim")=1),1,0)</f>
        <v/>
      </c>
      <c r="S14" s="25">
        <f>IF(AND($R$14=1,$Q$14&lt;'Criação'!$B$16),MIN('Criação'!$B$16,$Q$14+1),$Q$14)</f>
        <v/>
      </c>
      <c r="T14" s="25">
        <f>IF($Z$14="Dano",INDEX('Dados'!$C$296:$C$302,$S$14),IF($Z$14="Cura",INDEX('Dados'!$G$296:$G$302,$S$14),0))</f>
        <v/>
      </c>
      <c r="U14" s="25">
        <f>IF(AND($AB$14="Sim",$T$14&gt;0),MAX(1,INT($T$14/2)),$T$14)</f>
        <v/>
      </c>
      <c r="V14" s="25">
        <f>IF($Z$14="Dano",INDEX('Dados'!$D$296:$D$302,$S$14),IF($Z$14="Cura",INDEX('Dados'!$H$296:$H$302,$S$14),0))</f>
        <v/>
      </c>
      <c r="W14" s="25">
        <f>IF(OR($Z$14="Dano",$Z$14="Cura"),'Criação'!$B$55+IF($Z$14="Dano",'Equipamento'!$P$40+'Equipamento'!$E$31,0),0)</f>
        <v/>
      </c>
      <c r="Y14">
        <f>IF(ISERROR($B$14),"",IF(ISBLANK($B$14),"",$B$14))</f>
        <v/>
      </c>
      <c r="Z14">
        <f>IF(ISERROR($C$14),"",IF(ISBLANK($C$14),"",$C$14))</f>
        <v/>
      </c>
      <c r="AA14">
        <f>IF(ISERROR($D$14),"",IF(ISBLANK($D$14),"",$D$14))</f>
        <v/>
      </c>
      <c r="AB14">
        <f>IF(ISERROR($E$14),"",IF(ISBLANK($E$14),"",$E$14))</f>
        <v/>
      </c>
      <c r="AC14">
        <f>IF(ISERROR($F$14),"",IF(ISBLANK($F$14),"",$F$14))</f>
        <v/>
      </c>
      <c r="AD14">
        <f>IF(ISERROR($G$14),"",IF(ISBLANK($G$14),"",$G$14))</f>
        <v/>
      </c>
      <c r="AE14">
        <f>IF(ISERROR($H$14),"",IF(ISBLANK($H$14),"",$H$14))</f>
        <v/>
      </c>
      <c r="AF14">
        <f>ISERROR($B$14)*1+ISERROR($C$14)*1+ISERROR($D$14)*1+ISERROR($E$14)*1+ISERROR($F$14)*1+ISERROR($G$14)*1+ISERROR($H$14)*1</f>
        <v/>
      </c>
    </row>
    <row r="15" ht="48" customHeight="1">
      <c r="A15" s="18" t="n">
        <v>4</v>
      </c>
      <c r="B15" s="60" t="n"/>
      <c r="C15" s="36" t="n"/>
      <c r="D15" s="36" t="n"/>
      <c r="E15" s="36" t="n"/>
      <c r="F15" s="36" t="n"/>
      <c r="G15" s="36" t="n"/>
      <c r="H15" s="36" t="n"/>
      <c r="I15" s="20">
        <f>IF(AF15&gt;0,"O Google leu como fórmula: escolha de novo ou digite com ' na frente.",IF(AF26&gt;0,"Linha 26: O Google leu como fórmula: digite de novo com ' na frente.",IF($P$15=0,"",IF($Z$15="","Escolha o Tipo. ",IF(COUNTIF('Dados'!$W$6:$W$10,$Z$15)=0,"Tipo fora da lista (16.5). ",""))&amp;IF(LEN($AA$15)=0,"",IF(ISNUMBER($AA$15),IF(OR($AA$15&lt;1,$AA$15&gt;7),"O Nível vai de 1 a 7. ","")&amp;IF($AA$15&gt;'Criação'!$B$16,"Acima do Nível máximo do seu nível ("&amp;'Criação'!$B$16&amp;"). ",""),"Nível precisa ser um número de 1 a 7. "))&amp;IF(LEN($AD$15)=0,"",IF(ISERROR(MATCH($AD$15,'Dados'!$X$6:$X$10,0)),"Alcance fora da lista. ",IF(MATCH($AD$15,'Dados'!$X$6:$X$10,0)&gt;MATCH($I$37,'Dados'!$X$6:$X$10,0),"Alcance acima do que o Nível "&amp;$S$15&amp;" permite (até "&amp;$I$37&amp;"). ","")))&amp;IF(SUM($P$12:P15)&gt;'Criação'!$A$16,"Acima das "&amp;'Criação'!$A$16&amp;" Habilidades conhecidas do seu nível. ","")&amp;IF($AE$15="Sim",IF('Progressão'!$R$69="","Ressonância III ainda não está ativa. ",IF(COUNTIF($AE$12:$AE$15,"Sim")&gt;1,"Ressonância III só vale numa Habilidade. ","")),""))))</f>
        <v/>
      </c>
      <c r="M15" s="35" t="n"/>
      <c r="N15" s="35" t="n"/>
      <c r="O15" s="35" t="n"/>
      <c r="P15" s="25">
        <f>IF(OR(LEN($Y$15)&gt;0,LEN($Z$15)&gt;0,LEN($AA$15)&gt;0,LEN($AB$15)&gt;0,LEN($AC$15)&gt;0,LEN($AD$15)&gt;0,LEN($AE$15)&gt;0,LEN($Z$26)&gt;0),1,0)</f>
        <v/>
      </c>
      <c r="Q15" s="25">
        <f>IF(ISNUMBER($AA$15),MAX(1,MIN(7,INT($AA$15))),1)</f>
        <v/>
      </c>
      <c r="R15" s="25">
        <f>IF(AND($AE$15="Sim",'Progressão'!$R$69&lt;&gt;"",COUNTIF($AE$12:$AE$15,"Sim")=1),1,0)</f>
        <v/>
      </c>
      <c r="S15" s="25">
        <f>IF(AND($R$15=1,$Q$15&lt;'Criação'!$B$16),MIN('Criação'!$B$16,$Q$15+1),$Q$15)</f>
        <v/>
      </c>
      <c r="T15" s="25">
        <f>IF($Z$15="Dano",INDEX('Dados'!$C$296:$C$302,$S$15),IF($Z$15="Cura",INDEX('Dados'!$G$296:$G$302,$S$15),0))</f>
        <v/>
      </c>
      <c r="U15" s="25">
        <f>IF(AND($AB$15="Sim",$T$15&gt;0),MAX(1,INT($T$15/2)),$T$15)</f>
        <v/>
      </c>
      <c r="V15" s="25">
        <f>IF($Z$15="Dano",INDEX('Dados'!$D$296:$D$302,$S$15),IF($Z$15="Cura",INDEX('Dados'!$H$296:$H$302,$S$15),0))</f>
        <v/>
      </c>
      <c r="W15" s="25">
        <f>IF(OR($Z$15="Dano",$Z$15="Cura"),'Criação'!$B$55+IF($Z$15="Dano",'Equipamento'!$P$40+'Equipamento'!$E$31,0),0)</f>
        <v/>
      </c>
      <c r="Y15">
        <f>IF(ISERROR($B$15),"",IF(ISBLANK($B$15),"",$B$15))</f>
        <v/>
      </c>
      <c r="Z15">
        <f>IF(ISERROR($C$15),"",IF(ISBLANK($C$15),"",$C$15))</f>
        <v/>
      </c>
      <c r="AA15">
        <f>IF(ISERROR($D$15),"",IF(ISBLANK($D$15),"",$D$15))</f>
        <v/>
      </c>
      <c r="AB15">
        <f>IF(ISERROR($E$15),"",IF(ISBLANK($E$15),"",$E$15))</f>
        <v/>
      </c>
      <c r="AC15">
        <f>IF(ISERROR($F$15),"",IF(ISBLANK($F$15),"",$F$15))</f>
        <v/>
      </c>
      <c r="AD15">
        <f>IF(ISERROR($G$15),"",IF(ISBLANK($G$15),"",$G$15))</f>
        <v/>
      </c>
      <c r="AE15">
        <f>IF(ISERROR($H$15),"",IF(ISBLANK($H$15),"",$H$15))</f>
        <v/>
      </c>
      <c r="AF15">
        <f>ISERROR($B$15)*1+ISERROR($C$15)*1+ISERROR($D$15)*1+ISERROR($E$15)*1+ISERROR($F$15)*1+ISERROR($G$15)*1+ISERROR($H$15)*1</f>
        <v/>
      </c>
    </row>
    <row r="16" ht="48" customHeight="1">
      <c r="A16" s="16" t="n">
        <v>5</v>
      </c>
      <c r="B16" s="27" t="n"/>
      <c r="C16" s="23" t="n"/>
      <c r="D16" s="23" t="n"/>
      <c r="E16" s="23" t="n"/>
      <c r="F16" s="23" t="n"/>
      <c r="G16" s="23" t="n"/>
      <c r="H16" s="23" t="n"/>
      <c r="I16" s="13">
        <f>IF(AF16&gt;0,"O Google leu como fórmula: escolha de novo ou digite com ' na frente.",IF(AF27&gt;0,"Linha 27: O Google leu como fórmula: digite de novo com ' na frente.",IF($P$16=0,"",IF($Z$16="","Escolha o Tipo. ",IF(COUNTIF('Dados'!$W$6:$W$10,$Z$16)=0,"Tipo fora da lista (16.5). ",""))&amp;IF(LEN($AA$16)=0,"",IF(ISNUMBER($AA$16),IF(OR($AA$16&lt;1,$AA$16&gt;7),"O Nível vai de 1 a 7. ","")&amp;IF($AA$16&gt;'Criação'!$B$16,"Acima do Nível máximo do seu nível ("&amp;'Criação'!$B$16&amp;"). ",""),"Nível precisa ser um número de 1 a 7. "))&amp;IF(LEN($AD$16)=0,"",IF(ISERROR(MATCH($AD$16,'Dados'!$X$6:$X$10,0)),"Alcance fora da lista. ",IF(MATCH($AD$16,'Dados'!$X$6:$X$10,0)&gt;MATCH($I$38,'Dados'!$X$6:$X$10,0),"Alcance acima do que o Nível "&amp;$S$16&amp;" permite (até "&amp;$I$38&amp;"). ","")))&amp;IF(SUM($P$12:P16)&gt;'Criação'!$A$16,"Acima das "&amp;'Criação'!$A$16&amp;" Habilidades conhecidas do seu nível. ","")&amp;IF($AE$16="Sim",IF('Progressão'!$R$69="","Ressonância III ainda não está ativa. ",IF(COUNTIF($AE$12:$AE$16,"Sim")&gt;1,"Ressonância III só vale numa Habilidade. ","")),""))))</f>
        <v/>
      </c>
      <c r="P16" s="25">
        <f>IF(OR(LEN($Y$16)&gt;0,LEN($Z$16)&gt;0,LEN($AA$16)&gt;0,LEN($AB$16)&gt;0,LEN($AC$16)&gt;0,LEN($AD$16)&gt;0,LEN($AE$16)&gt;0,LEN($Z$27)&gt;0),1,0)</f>
        <v/>
      </c>
      <c r="Q16" s="25">
        <f>IF(ISNUMBER($AA$16),MAX(1,MIN(7,INT($AA$16))),1)</f>
        <v/>
      </c>
      <c r="R16" s="25">
        <f>IF(AND($AE$16="Sim",'Progressão'!$R$69&lt;&gt;"",COUNTIF($AE$12:$AE$16,"Sim")=1),1,0)</f>
        <v/>
      </c>
      <c r="S16" s="25">
        <f>IF(AND($R$16=1,$Q$16&lt;'Criação'!$B$16),MIN('Criação'!$B$16,$Q$16+1),$Q$16)</f>
        <v/>
      </c>
      <c r="T16" s="25">
        <f>IF($Z$16="Dano",INDEX('Dados'!$C$296:$C$302,$S$16),IF($Z$16="Cura",INDEX('Dados'!$G$296:$G$302,$S$16),0))</f>
        <v/>
      </c>
      <c r="U16" s="25">
        <f>IF(AND($AB$16="Sim",$T$16&gt;0),MAX(1,INT($T$16/2)),$T$16)</f>
        <v/>
      </c>
      <c r="V16" s="25">
        <f>IF($Z$16="Dano",INDEX('Dados'!$D$296:$D$302,$S$16),IF($Z$16="Cura",INDEX('Dados'!$H$296:$H$302,$S$16),0))</f>
        <v/>
      </c>
      <c r="W16" s="25">
        <f>IF(OR($Z$16="Dano",$Z$16="Cura"),'Criação'!$B$55+IF($Z$16="Dano",'Equipamento'!$P$40+'Equipamento'!$E$31,0),0)</f>
        <v/>
      </c>
      <c r="Y16">
        <f>IF(ISERROR($B$16),"",IF(ISBLANK($B$16),"",$B$16))</f>
        <v/>
      </c>
      <c r="Z16">
        <f>IF(ISERROR($C$16),"",IF(ISBLANK($C$16),"",$C$16))</f>
        <v/>
      </c>
      <c r="AA16">
        <f>IF(ISERROR($D$16),"",IF(ISBLANK($D$16),"",$D$16))</f>
        <v/>
      </c>
      <c r="AB16">
        <f>IF(ISERROR($E$16),"",IF(ISBLANK($E$16),"",$E$16))</f>
        <v/>
      </c>
      <c r="AC16">
        <f>IF(ISERROR($F$16),"",IF(ISBLANK($F$16),"",$F$16))</f>
        <v/>
      </c>
      <c r="AD16">
        <f>IF(ISERROR($G$16),"",IF(ISBLANK($G$16),"",$G$16))</f>
        <v/>
      </c>
      <c r="AE16">
        <f>IF(ISERROR($H$16),"",IF(ISBLANK($H$16),"",$H$16))</f>
        <v/>
      </c>
      <c r="AF16">
        <f>ISERROR($B$16)*1+ISERROR($C$16)*1+ISERROR($D$16)*1+ISERROR($E$16)*1+ISERROR($F$16)*1+ISERROR($G$16)*1+ISERROR($H$16)*1</f>
        <v/>
      </c>
    </row>
    <row r="17" ht="48" customHeight="1">
      <c r="A17" s="18" t="n">
        <v>6</v>
      </c>
      <c r="B17" s="60" t="n"/>
      <c r="C17" s="36" t="n"/>
      <c r="D17" s="36" t="n"/>
      <c r="E17" s="36" t="n"/>
      <c r="F17" s="36" t="n"/>
      <c r="G17" s="36" t="n"/>
      <c r="H17" s="36" t="n"/>
      <c r="I17" s="20">
        <f>IF(AF17&gt;0,"O Google leu como fórmula: escolha de novo ou digite com ' na frente.",IF(AF28&gt;0,"Linha 28: O Google leu como fórmula: digite de novo com ' na frente.",IF($P$17=0,"",IF($Z$17="","Escolha o Tipo. ",IF(COUNTIF('Dados'!$W$6:$W$10,$Z$17)=0,"Tipo fora da lista (16.5). ",""))&amp;IF(LEN($AA$17)=0,"",IF(ISNUMBER($AA$17),IF(OR($AA$17&lt;1,$AA$17&gt;7),"O Nível vai de 1 a 7. ","")&amp;IF($AA$17&gt;'Criação'!$B$16,"Acima do Nível máximo do seu nível ("&amp;'Criação'!$B$16&amp;"). ",""),"Nível precisa ser um número de 1 a 7. "))&amp;IF(LEN($AD$17)=0,"",IF(ISERROR(MATCH($AD$17,'Dados'!$X$6:$X$10,0)),"Alcance fora da lista. ",IF(MATCH($AD$17,'Dados'!$X$6:$X$10,0)&gt;MATCH($I$39,'Dados'!$X$6:$X$10,0),"Alcance acima do que o Nível "&amp;$S$17&amp;" permite (até "&amp;$I$39&amp;"). ","")))&amp;IF(SUM($P$12:P17)&gt;'Criação'!$A$16,"Acima das "&amp;'Criação'!$A$16&amp;" Habilidades conhecidas do seu nível. ","")&amp;IF($AE$17="Sim",IF('Progressão'!$R$69="","Ressonância III ainda não está ativa. ",IF(COUNTIF($AE$12:$AE$17,"Sim")&gt;1,"Ressonância III só vale numa Habilidade. ","")),""))))</f>
        <v/>
      </c>
      <c r="M17" s="35" t="n"/>
      <c r="N17" s="35" t="n"/>
      <c r="O17" s="35" t="n"/>
      <c r="P17" s="25">
        <f>IF(OR(LEN($Y$17)&gt;0,LEN($Z$17)&gt;0,LEN($AA$17)&gt;0,LEN($AB$17)&gt;0,LEN($AC$17)&gt;0,LEN($AD$17)&gt;0,LEN($AE$17)&gt;0,LEN($Z$28)&gt;0),1,0)</f>
        <v/>
      </c>
      <c r="Q17" s="25">
        <f>IF(ISNUMBER($AA$17),MAX(1,MIN(7,INT($AA$17))),1)</f>
        <v/>
      </c>
      <c r="R17" s="25">
        <f>IF(AND($AE$17="Sim",'Progressão'!$R$69&lt;&gt;"",COUNTIF($AE$12:$AE$17,"Sim")=1),1,0)</f>
        <v/>
      </c>
      <c r="S17" s="25">
        <f>IF(AND($R$17=1,$Q$17&lt;'Criação'!$B$16),MIN('Criação'!$B$16,$Q$17+1),$Q$17)</f>
        <v/>
      </c>
      <c r="T17" s="25">
        <f>IF($Z$17="Dano",INDEX('Dados'!$C$296:$C$302,$S$17),IF($Z$17="Cura",INDEX('Dados'!$G$296:$G$302,$S$17),0))</f>
        <v/>
      </c>
      <c r="U17" s="25">
        <f>IF(AND($AB$17="Sim",$T$17&gt;0),MAX(1,INT($T$17/2)),$T$17)</f>
        <v/>
      </c>
      <c r="V17" s="25">
        <f>IF($Z$17="Dano",INDEX('Dados'!$D$296:$D$302,$S$17),IF($Z$17="Cura",INDEX('Dados'!$H$296:$H$302,$S$17),0))</f>
        <v/>
      </c>
      <c r="W17" s="25">
        <f>IF(OR($Z$17="Dano",$Z$17="Cura"),'Criação'!$B$55+IF($Z$17="Dano",'Equipamento'!$P$40+'Equipamento'!$E$31,0),0)</f>
        <v/>
      </c>
      <c r="Y17">
        <f>IF(ISERROR($B$17),"",IF(ISBLANK($B$17),"",$B$17))</f>
        <v/>
      </c>
      <c r="Z17">
        <f>IF(ISERROR($C$17),"",IF(ISBLANK($C$17),"",$C$17))</f>
        <v/>
      </c>
      <c r="AA17">
        <f>IF(ISERROR($D$17),"",IF(ISBLANK($D$17),"",$D$17))</f>
        <v/>
      </c>
      <c r="AB17">
        <f>IF(ISERROR($E$17),"",IF(ISBLANK($E$17),"",$E$17))</f>
        <v/>
      </c>
      <c r="AC17">
        <f>IF(ISERROR($F$17),"",IF(ISBLANK($F$17),"",$F$17))</f>
        <v/>
      </c>
      <c r="AD17">
        <f>IF(ISERROR($G$17),"",IF(ISBLANK($G$17),"",$G$17))</f>
        <v/>
      </c>
      <c r="AE17">
        <f>IF(ISERROR($H$17),"",IF(ISBLANK($H$17),"",$H$17))</f>
        <v/>
      </c>
      <c r="AF17">
        <f>ISERROR($B$17)*1+ISERROR($C$17)*1+ISERROR($D$17)*1+ISERROR($E$17)*1+ISERROR($F$17)*1+ISERROR($G$17)*1+ISERROR($H$17)*1</f>
        <v/>
      </c>
    </row>
    <row r="18" ht="48" customHeight="1">
      <c r="A18" s="16" t="n">
        <v>7</v>
      </c>
      <c r="B18" s="27" t="n"/>
      <c r="C18" s="23" t="n"/>
      <c r="D18" s="23" t="n"/>
      <c r="E18" s="23" t="n"/>
      <c r="F18" s="23" t="n"/>
      <c r="G18" s="23" t="n"/>
      <c r="H18" s="23" t="n"/>
      <c r="I18" s="13">
        <f>IF(AF18&gt;0,"O Google leu como fórmula: escolha de novo ou digite com ' na frente.",IF(AF29&gt;0,"Linha 29: O Google leu como fórmula: digite de novo com ' na frente.",IF($P$18=0,"",IF($Z$18="","Escolha o Tipo. ",IF(COUNTIF('Dados'!$W$6:$W$10,$Z$18)=0,"Tipo fora da lista (16.5). ",""))&amp;IF(LEN($AA$18)=0,"",IF(ISNUMBER($AA$18),IF(OR($AA$18&lt;1,$AA$18&gt;7),"O Nível vai de 1 a 7. ","")&amp;IF($AA$18&gt;'Criação'!$B$16,"Acima do Nível máximo do seu nível ("&amp;'Criação'!$B$16&amp;"). ",""),"Nível precisa ser um número de 1 a 7. "))&amp;IF(LEN($AD$18)=0,"",IF(ISERROR(MATCH($AD$18,'Dados'!$X$6:$X$10,0)),"Alcance fora da lista. ",IF(MATCH($AD$18,'Dados'!$X$6:$X$10,0)&gt;MATCH($I$40,'Dados'!$X$6:$X$10,0),"Alcance acima do que o Nível "&amp;$S$18&amp;" permite (até "&amp;$I$40&amp;"). ","")))&amp;IF(SUM($P$12:P18)&gt;'Criação'!$A$16,"Acima das "&amp;'Criação'!$A$16&amp;" Habilidades conhecidas do seu nível. ","")&amp;IF($AE$18="Sim",IF('Progressão'!$R$69="","Ressonância III ainda não está ativa. ",IF(COUNTIF($AE$12:$AE$18,"Sim")&gt;1,"Ressonância III só vale numa Habilidade. ","")),""))))</f>
        <v/>
      </c>
      <c r="P18" s="25">
        <f>IF(OR(LEN($Y$18)&gt;0,LEN($Z$18)&gt;0,LEN($AA$18)&gt;0,LEN($AB$18)&gt;0,LEN($AC$18)&gt;0,LEN($AD$18)&gt;0,LEN($AE$18)&gt;0,LEN($Z$29)&gt;0),1,0)</f>
        <v/>
      </c>
      <c r="Q18" s="25">
        <f>IF(ISNUMBER($AA$18),MAX(1,MIN(7,INT($AA$18))),1)</f>
        <v/>
      </c>
      <c r="R18" s="25">
        <f>IF(AND($AE$18="Sim",'Progressão'!$R$69&lt;&gt;"",COUNTIF($AE$12:$AE$18,"Sim")=1),1,0)</f>
        <v/>
      </c>
      <c r="S18" s="25">
        <f>IF(AND($R$18=1,$Q$18&lt;'Criação'!$B$16),MIN('Criação'!$B$16,$Q$18+1),$Q$18)</f>
        <v/>
      </c>
      <c r="T18" s="25">
        <f>IF($Z$18="Dano",INDEX('Dados'!$C$296:$C$302,$S$18),IF($Z$18="Cura",INDEX('Dados'!$G$296:$G$302,$S$18),0))</f>
        <v/>
      </c>
      <c r="U18" s="25">
        <f>IF(AND($AB$18="Sim",$T$18&gt;0),MAX(1,INT($T$18/2)),$T$18)</f>
        <v/>
      </c>
      <c r="V18" s="25">
        <f>IF($Z$18="Dano",INDEX('Dados'!$D$296:$D$302,$S$18),IF($Z$18="Cura",INDEX('Dados'!$H$296:$H$302,$S$18),0))</f>
        <v/>
      </c>
      <c r="W18" s="25">
        <f>IF(OR($Z$18="Dano",$Z$18="Cura"),'Criação'!$B$55+IF($Z$18="Dano",'Equipamento'!$P$40+'Equipamento'!$E$31,0),0)</f>
        <v/>
      </c>
      <c r="Y18">
        <f>IF(ISERROR($B$18),"",IF(ISBLANK($B$18),"",$B$18))</f>
        <v/>
      </c>
      <c r="Z18">
        <f>IF(ISERROR($C$18),"",IF(ISBLANK($C$18),"",$C$18))</f>
        <v/>
      </c>
      <c r="AA18">
        <f>IF(ISERROR($D$18),"",IF(ISBLANK($D$18),"",$D$18))</f>
        <v/>
      </c>
      <c r="AB18">
        <f>IF(ISERROR($E$18),"",IF(ISBLANK($E$18),"",$E$18))</f>
        <v/>
      </c>
      <c r="AC18">
        <f>IF(ISERROR($F$18),"",IF(ISBLANK($F$18),"",$F$18))</f>
        <v/>
      </c>
      <c r="AD18">
        <f>IF(ISERROR($G$18),"",IF(ISBLANK($G$18),"",$G$18))</f>
        <v/>
      </c>
      <c r="AE18">
        <f>IF(ISERROR($H$18),"",IF(ISBLANK($H$18),"",$H$18))</f>
        <v/>
      </c>
      <c r="AF18">
        <f>ISERROR($B$18)*1+ISERROR($C$18)*1+ISERROR($D$18)*1+ISERROR($E$18)*1+ISERROR($F$18)*1+ISERROR($G$18)*1+ISERROR($H$18)*1</f>
        <v/>
      </c>
    </row>
    <row r="19" ht="48" customHeight="1">
      <c r="A19" s="18" t="n">
        <v>8</v>
      </c>
      <c r="B19" s="60" t="n"/>
      <c r="C19" s="36" t="n"/>
      <c r="D19" s="36" t="n"/>
      <c r="E19" s="36" t="n"/>
      <c r="F19" s="36" t="n"/>
      <c r="G19" s="36" t="n"/>
      <c r="H19" s="36" t="n"/>
      <c r="I19" s="20">
        <f>IF(AF19&gt;0,"O Google leu como fórmula: escolha de novo ou digite com ' na frente.",IF(AF30&gt;0,"Linha 30: O Google leu como fórmula: digite de novo com ' na frente.",IF($P$19=0,"",IF($Z$19="","Escolha o Tipo. ",IF(COUNTIF('Dados'!$W$6:$W$10,$Z$19)=0,"Tipo fora da lista (16.5). ",""))&amp;IF(LEN($AA$19)=0,"",IF(ISNUMBER($AA$19),IF(OR($AA$19&lt;1,$AA$19&gt;7),"O Nível vai de 1 a 7. ","")&amp;IF($AA$19&gt;'Criação'!$B$16,"Acima do Nível máximo do seu nível ("&amp;'Criação'!$B$16&amp;"). ",""),"Nível precisa ser um número de 1 a 7. "))&amp;IF(LEN($AD$19)=0,"",IF(ISERROR(MATCH($AD$19,'Dados'!$X$6:$X$10,0)),"Alcance fora da lista. ",IF(MATCH($AD$19,'Dados'!$X$6:$X$10,0)&gt;MATCH($I$41,'Dados'!$X$6:$X$10,0),"Alcance acima do que o Nível "&amp;$S$19&amp;" permite (até "&amp;$I$41&amp;"). ","")))&amp;IF(SUM($P$12:P19)&gt;'Criação'!$A$16,"Acima das "&amp;'Criação'!$A$16&amp;" Habilidades conhecidas do seu nível. ","")&amp;IF($AE$19="Sim",IF('Progressão'!$R$69="","Ressonância III ainda não está ativa. ",IF(COUNTIF($AE$12:$AE$19,"Sim")&gt;1,"Ressonância III só vale numa Habilidade. ","")),""))))</f>
        <v/>
      </c>
      <c r="M19" s="35" t="n"/>
      <c r="N19" s="35" t="n"/>
      <c r="O19" s="35" t="n"/>
      <c r="P19" s="25">
        <f>IF(OR(LEN($Y$19)&gt;0,LEN($Z$19)&gt;0,LEN($AA$19)&gt;0,LEN($AB$19)&gt;0,LEN($AC$19)&gt;0,LEN($AD$19)&gt;0,LEN($AE$19)&gt;0,LEN($Z$30)&gt;0),1,0)</f>
        <v/>
      </c>
      <c r="Q19" s="25">
        <f>IF(ISNUMBER($AA$19),MAX(1,MIN(7,INT($AA$19))),1)</f>
        <v/>
      </c>
      <c r="R19" s="25">
        <f>IF(AND($AE$19="Sim",'Progressão'!$R$69&lt;&gt;"",COUNTIF($AE$12:$AE$19,"Sim")=1),1,0)</f>
        <v/>
      </c>
      <c r="S19" s="25">
        <f>IF(AND($R$19=1,$Q$19&lt;'Criação'!$B$16),MIN('Criação'!$B$16,$Q$19+1),$Q$19)</f>
        <v/>
      </c>
      <c r="T19" s="25">
        <f>IF($Z$19="Dano",INDEX('Dados'!$C$296:$C$302,$S$19),IF($Z$19="Cura",INDEX('Dados'!$G$296:$G$302,$S$19),0))</f>
        <v/>
      </c>
      <c r="U19" s="25">
        <f>IF(AND($AB$19="Sim",$T$19&gt;0),MAX(1,INT($T$19/2)),$T$19)</f>
        <v/>
      </c>
      <c r="V19" s="25">
        <f>IF($Z$19="Dano",INDEX('Dados'!$D$296:$D$302,$S$19),IF($Z$19="Cura",INDEX('Dados'!$H$296:$H$302,$S$19),0))</f>
        <v/>
      </c>
      <c r="W19" s="25">
        <f>IF(OR($Z$19="Dano",$Z$19="Cura"),'Criação'!$B$55+IF($Z$19="Dano",'Equipamento'!$P$40+'Equipamento'!$E$31,0),0)</f>
        <v/>
      </c>
      <c r="Y19">
        <f>IF(ISERROR($B$19),"",IF(ISBLANK($B$19),"",$B$19))</f>
        <v/>
      </c>
      <c r="Z19">
        <f>IF(ISERROR($C$19),"",IF(ISBLANK($C$19),"",$C$19))</f>
        <v/>
      </c>
      <c r="AA19">
        <f>IF(ISERROR($D$19),"",IF(ISBLANK($D$19),"",$D$19))</f>
        <v/>
      </c>
      <c r="AB19">
        <f>IF(ISERROR($E$19),"",IF(ISBLANK($E$19),"",$E$19))</f>
        <v/>
      </c>
      <c r="AC19">
        <f>IF(ISERROR($F$19),"",IF(ISBLANK($F$19),"",$F$19))</f>
        <v/>
      </c>
      <c r="AD19">
        <f>IF(ISERROR($G$19),"",IF(ISBLANK($G$19),"",$G$19))</f>
        <v/>
      </c>
      <c r="AE19">
        <f>IF(ISERROR($H$19),"",IF(ISBLANK($H$19),"",$H$19))</f>
        <v/>
      </c>
      <c r="AF19">
        <f>ISERROR($B$19)*1+ISERROR($C$19)*1+ISERROR($D$19)*1+ISERROR($E$19)*1+ISERROR($F$19)*1+ISERROR($G$19)*1+ISERROR($H$19)*1</f>
        <v/>
      </c>
    </row>
    <row r="20"/>
    <row r="21">
      <c r="A21" s="14" t="inlineStr">
        <is>
          <t>Efeito de cada Habilidade (preencha) — o que ela faz, em uma ou duas frases</t>
        </is>
      </c>
    </row>
    <row r="22">
      <c r="A22" s="7" t="inlineStr">
        <is>
          <t>Nº</t>
        </is>
      </c>
      <c r="B22" s="7" t="inlineStr">
        <is>
          <t>Nome (automático)</t>
        </is>
      </c>
      <c r="C22" s="7" t="inlineStr">
        <is>
          <t>Efeito (preencha)</t>
        </is>
      </c>
      <c r="D22" s="15" t="n"/>
      <c r="E22" s="15" t="n"/>
      <c r="F22" s="15" t="n"/>
      <c r="G22" s="15" t="n"/>
      <c r="H22" s="15" t="n"/>
      <c r="I22" s="15" t="n"/>
      <c r="J22" s="15" t="n"/>
      <c r="K22" s="15" t="n"/>
      <c r="L22" s="15" t="n"/>
    </row>
    <row r="23" ht="26" customHeight="1">
      <c r="A23" s="16" t="n">
        <v>1</v>
      </c>
      <c r="B23" s="4">
        <f>IF(LEN($Y$12)=0,"Habilidade 1",""&amp;$Y$12)</f>
        <v/>
      </c>
      <c r="C23" s="27" t="n"/>
      <c r="D23" s="28" t="n"/>
      <c r="E23" s="28" t="n"/>
      <c r="F23" s="28" t="n"/>
      <c r="G23" s="28" t="n"/>
      <c r="H23" s="28" t="n"/>
      <c r="I23" s="28" t="n"/>
      <c r="J23" s="28" t="n"/>
      <c r="K23" s="28" t="n"/>
      <c r="L23" s="29" t="n"/>
      <c r="Z23">
        <f>IF(ISERROR($C$23),"",IF(ISBLANK($C$23),"",$C$23))</f>
        <v/>
      </c>
      <c r="AF23">
        <f>ISERROR($C$23)*1</f>
        <v/>
      </c>
    </row>
    <row r="24" ht="26" customHeight="1">
      <c r="A24" s="18" t="n">
        <v>2</v>
      </c>
      <c r="B24" s="9">
        <f>IF(LEN($Y$13)=0,"Habilidade 2",""&amp;$Y$13)</f>
        <v/>
      </c>
      <c r="C24" s="60" t="n"/>
      <c r="D24" s="28" t="n"/>
      <c r="E24" s="28" t="n"/>
      <c r="F24" s="28" t="n"/>
      <c r="G24" s="28" t="n"/>
      <c r="H24" s="28" t="n"/>
      <c r="I24" s="28" t="n"/>
      <c r="J24" s="28" t="n"/>
      <c r="K24" s="28" t="n"/>
      <c r="L24" s="29" t="n"/>
      <c r="Z24">
        <f>IF(ISERROR($C$24),"",IF(ISBLANK($C$24),"",$C$24))</f>
        <v/>
      </c>
      <c r="AF24">
        <f>ISERROR($C$24)*1</f>
        <v/>
      </c>
    </row>
    <row r="25" ht="26" customHeight="1">
      <c r="A25" s="16" t="n">
        <v>3</v>
      </c>
      <c r="B25" s="4">
        <f>IF(LEN($Y$14)=0,"Habilidade 3",""&amp;$Y$14)</f>
        <v/>
      </c>
      <c r="C25" s="27" t="n"/>
      <c r="D25" s="28" t="n"/>
      <c r="E25" s="28" t="n"/>
      <c r="F25" s="28" t="n"/>
      <c r="G25" s="28" t="n"/>
      <c r="H25" s="28" t="n"/>
      <c r="I25" s="28" t="n"/>
      <c r="J25" s="28" t="n"/>
      <c r="K25" s="28" t="n"/>
      <c r="L25" s="29" t="n"/>
      <c r="Z25">
        <f>IF(ISERROR($C$25),"",IF(ISBLANK($C$25),"",$C$25))</f>
        <v/>
      </c>
      <c r="AF25">
        <f>ISERROR($C$25)*1</f>
        <v/>
      </c>
    </row>
    <row r="26" ht="26" customHeight="1">
      <c r="A26" s="18" t="n">
        <v>4</v>
      </c>
      <c r="B26" s="9">
        <f>IF(LEN($Y$15)=0,"Habilidade 4",""&amp;$Y$15)</f>
        <v/>
      </c>
      <c r="C26" s="60" t="n"/>
      <c r="D26" s="28" t="n"/>
      <c r="E26" s="28" t="n"/>
      <c r="F26" s="28" t="n"/>
      <c r="G26" s="28" t="n"/>
      <c r="H26" s="28" t="n"/>
      <c r="I26" s="28" t="n"/>
      <c r="J26" s="28" t="n"/>
      <c r="K26" s="28" t="n"/>
      <c r="L26" s="29" t="n"/>
      <c r="Z26">
        <f>IF(ISERROR($C$26),"",IF(ISBLANK($C$26),"",$C$26))</f>
        <v/>
      </c>
      <c r="AF26">
        <f>ISERROR($C$26)*1</f>
        <v/>
      </c>
    </row>
    <row r="27" ht="26" customHeight="1">
      <c r="A27" s="16" t="n">
        <v>5</v>
      </c>
      <c r="B27" s="4">
        <f>IF(LEN($Y$16)=0,"Habilidade 5",""&amp;$Y$16)</f>
        <v/>
      </c>
      <c r="C27" s="27" t="n"/>
      <c r="D27" s="28" t="n"/>
      <c r="E27" s="28" t="n"/>
      <c r="F27" s="28" t="n"/>
      <c r="G27" s="28" t="n"/>
      <c r="H27" s="28" t="n"/>
      <c r="I27" s="28" t="n"/>
      <c r="J27" s="28" t="n"/>
      <c r="K27" s="28" t="n"/>
      <c r="L27" s="29" t="n"/>
      <c r="Z27">
        <f>IF(ISERROR($C$27),"",IF(ISBLANK($C$27),"",$C$27))</f>
        <v/>
      </c>
      <c r="AF27">
        <f>ISERROR($C$27)*1</f>
        <v/>
      </c>
    </row>
    <row r="28" ht="26" customHeight="1">
      <c r="A28" s="18" t="n">
        <v>6</v>
      </c>
      <c r="B28" s="9">
        <f>IF(LEN($Y$17)=0,"Habilidade 6",""&amp;$Y$17)</f>
        <v/>
      </c>
      <c r="C28" s="60" t="n"/>
      <c r="D28" s="28" t="n"/>
      <c r="E28" s="28" t="n"/>
      <c r="F28" s="28" t="n"/>
      <c r="G28" s="28" t="n"/>
      <c r="H28" s="28" t="n"/>
      <c r="I28" s="28" t="n"/>
      <c r="J28" s="28" t="n"/>
      <c r="K28" s="28" t="n"/>
      <c r="L28" s="29" t="n"/>
      <c r="Z28">
        <f>IF(ISERROR($C$28),"",IF(ISBLANK($C$28),"",$C$28))</f>
        <v/>
      </c>
      <c r="AF28">
        <f>ISERROR($C$28)*1</f>
        <v/>
      </c>
    </row>
    <row r="29" ht="26" customHeight="1">
      <c r="A29" s="16" t="n">
        <v>7</v>
      </c>
      <c r="B29" s="4">
        <f>IF(LEN($Y$18)=0,"Habilidade 7",""&amp;$Y$18)</f>
        <v/>
      </c>
      <c r="C29" s="27" t="n"/>
      <c r="D29" s="28" t="n"/>
      <c r="E29" s="28" t="n"/>
      <c r="F29" s="28" t="n"/>
      <c r="G29" s="28" t="n"/>
      <c r="H29" s="28" t="n"/>
      <c r="I29" s="28" t="n"/>
      <c r="J29" s="28" t="n"/>
      <c r="K29" s="28" t="n"/>
      <c r="L29" s="29" t="n"/>
      <c r="Z29">
        <f>IF(ISERROR($C$29),"",IF(ISBLANK($C$29),"",$C$29))</f>
        <v/>
      </c>
      <c r="AF29">
        <f>ISERROR($C$29)*1</f>
        <v/>
      </c>
    </row>
    <row r="30" ht="26" customHeight="1">
      <c r="A30" s="18" t="n">
        <v>8</v>
      </c>
      <c r="B30" s="9">
        <f>IF(LEN($Y$19)=0,"Habilidade 8",""&amp;$Y$19)</f>
        <v/>
      </c>
      <c r="C30" s="60" t="n"/>
      <c r="D30" s="28" t="n"/>
      <c r="E30" s="28" t="n"/>
      <c r="F30" s="28" t="n"/>
      <c r="G30" s="28" t="n"/>
      <c r="H30" s="28" t="n"/>
      <c r="I30" s="28" t="n"/>
      <c r="J30" s="28" t="n"/>
      <c r="K30" s="28" t="n"/>
      <c r="L30" s="29" t="n"/>
      <c r="Z30">
        <f>IF(ISERROR($C$30),"",IF(ISBLANK($C$30),"",$C$30))</f>
        <v/>
      </c>
      <c r="AF30">
        <f>ISERROR($C$30)*1</f>
        <v/>
      </c>
    </row>
    <row r="31"/>
    <row r="32">
      <c r="A32" s="14" t="inlineStr">
        <is>
          <t>Números das Habilidades (automático) — 16.3, 16.4 e 16.5</t>
        </is>
      </c>
    </row>
    <row r="33" ht="40" customHeight="1">
      <c r="A33" s="7" t="inlineStr">
        <is>
          <t>Nº</t>
        </is>
      </c>
      <c r="B33" s="7" t="inlineStr">
        <is>
          <t>Nome</t>
        </is>
      </c>
      <c r="C33" s="7" t="inlineStr">
        <is>
          <t>Nível efetivo</t>
        </is>
      </c>
      <c r="D33" s="7" t="inlineStr">
        <is>
          <t>Dano ou cura</t>
        </is>
      </c>
      <c r="E33" s="7" t="inlineStr">
        <is>
          <t>Média</t>
        </is>
      </c>
      <c r="F33" s="7" t="inlineStr">
        <is>
          <t>Rolagem ou DT</t>
        </is>
      </c>
      <c r="G33" s="7" t="inlineStr">
        <is>
          <t>PH</t>
        </is>
      </c>
      <c r="H33" s="7" t="inlineStr">
        <is>
          <t>Redução de Tenacidade</t>
        </is>
      </c>
      <c r="I33" s="7" t="inlineStr">
        <is>
          <t>Alcance máximo</t>
        </is>
      </c>
      <c r="J33" s="7" t="inlineStr">
        <is>
          <t>Alvos</t>
        </is>
      </c>
      <c r="K33" s="7" t="inlineStr">
        <is>
          <t>Dados da tabela</t>
        </is>
      </c>
      <c r="L33" s="7" t="inlineStr">
        <is>
          <t>Média dos dados</t>
        </is>
      </c>
    </row>
    <row r="34" ht="26" customHeight="1">
      <c r="A34" s="16" t="n">
        <v>1</v>
      </c>
      <c r="B34" s="4">
        <f>IF($P$12=0,"",IF(LEN($Y$12)=0,"Habilidade 1",""&amp;$Y$12))</f>
        <v/>
      </c>
      <c r="C34" s="17">
        <f>IF($P$12=0,"",$S$12)</f>
        <v/>
      </c>
      <c r="D34" s="17">
        <f>IF(OR($P$12=0,$U$12=0),"",IF($U$12&lt;=0,""&amp;$W$12,$U$12&amp;"d"&amp;$V$12&amp;IF($W$12&gt;0,"+"&amp;$W$12,IF($W$12&lt;0,""&amp;$W$12,""))))</f>
        <v/>
      </c>
      <c r="E34" s="17">
        <f>IF(OR($P$12=0,$U$12=0),"",INT($U$12*($V$12+1)/2)+$W$12)</f>
        <v/>
      </c>
      <c r="F34" s="17">
        <f>IF($P$12=0,"",IF($AC$12="Teste de Ataque",'Criação'!$C$57,IF($AC$12="Teste de Resistência","DT "&amp;'Criação'!$B$56,"")))</f>
        <v/>
      </c>
      <c r="G34" s="22">
        <f>IF($P$12=0,"",IF($Z$12="Passiva",0,INDEX('Dados'!$J$296:$J$302,$S$12)))</f>
        <v/>
      </c>
      <c r="H34" s="22">
        <f>IF($P$12=0,"",IF($Z$12="Dano",INDEX('Dados'!$K$296:$K$302,$S$12),0))</f>
        <v/>
      </c>
      <c r="I34" s="22">
        <f>IF($P$12=0,"",CHOOSE(MIN(4,$S$12),"Curta","Média","Longa","Extrema"))</f>
        <v/>
      </c>
      <c r="J34" s="22">
        <f>IF($P$12=0,"",IF($AB$12="Sim",IF($S$12&gt;=6,4,3),1))</f>
        <v/>
      </c>
      <c r="K34" s="22">
        <f>IF(OR($P$12=0,$U$12=0),"",$U$12&amp;"d"&amp;$V$12)</f>
        <v/>
      </c>
      <c r="L34" s="22">
        <f>IF(OR($P$12=0,$U$12=0),"",INT($U$12*($V$12+1)/2))</f>
        <v/>
      </c>
    </row>
    <row r="35" ht="26" customHeight="1">
      <c r="A35" s="18" t="n">
        <v>2</v>
      </c>
      <c r="B35" s="9">
        <f>IF($P$13=0,"",IF(LEN($Y$13)=0,"Habilidade 2",""&amp;$Y$13))</f>
        <v/>
      </c>
      <c r="C35" s="19">
        <f>IF($P$13=0,"",$S$13)</f>
        <v/>
      </c>
      <c r="D35" s="19">
        <f>IF(OR($P$13=0,$U$13=0),"",IF($U$13&lt;=0,""&amp;$W$13,$U$13&amp;"d"&amp;$V$13&amp;IF($W$13&gt;0,"+"&amp;$W$13,IF($W$13&lt;0,""&amp;$W$13,""))))</f>
        <v/>
      </c>
      <c r="E35" s="19">
        <f>IF(OR($P$13=0,$U$13=0),"",INT($U$13*($V$13+1)/2)+$W$13)</f>
        <v/>
      </c>
      <c r="F35" s="19">
        <f>IF($P$13=0,"",IF($AC$13="Teste de Ataque",'Criação'!$C$57,IF($AC$13="Teste de Resistência","DT "&amp;'Criação'!$B$56,"")))</f>
        <v/>
      </c>
      <c r="G35" s="21">
        <f>IF($P$13=0,"",IF($Z$13="Passiva",0,INDEX('Dados'!$J$296:$J$302,$S$13)))</f>
        <v/>
      </c>
      <c r="H35" s="21">
        <f>IF($P$13=0,"",IF($Z$13="Dano",INDEX('Dados'!$K$296:$K$302,$S$13),0))</f>
        <v/>
      </c>
      <c r="I35" s="21">
        <f>IF($P$13=0,"",CHOOSE(MIN(4,$S$13),"Curta","Média","Longa","Extrema"))</f>
        <v/>
      </c>
      <c r="J35" s="21">
        <f>IF($P$13=0,"",IF($AB$13="Sim",IF($S$13&gt;=6,4,3),1))</f>
        <v/>
      </c>
      <c r="K35" s="21">
        <f>IF(OR($P$13=0,$U$13=0),"",$U$13&amp;"d"&amp;$V$13)</f>
        <v/>
      </c>
      <c r="L35" s="21">
        <f>IF(OR($P$13=0,$U$13=0),"",INT($U$13*($V$13+1)/2))</f>
        <v/>
      </c>
    </row>
    <row r="36" ht="26" customHeight="1">
      <c r="A36" s="16" t="n">
        <v>3</v>
      </c>
      <c r="B36" s="4">
        <f>IF($P$14=0,"",IF(LEN($Y$14)=0,"Habilidade 3",""&amp;$Y$14))</f>
        <v/>
      </c>
      <c r="C36" s="17">
        <f>IF($P$14=0,"",$S$14)</f>
        <v/>
      </c>
      <c r="D36" s="17">
        <f>IF(OR($P$14=0,$U$14=0),"",IF($U$14&lt;=0,""&amp;$W$14,$U$14&amp;"d"&amp;$V$14&amp;IF($W$14&gt;0,"+"&amp;$W$14,IF($W$14&lt;0,""&amp;$W$14,""))))</f>
        <v/>
      </c>
      <c r="E36" s="17">
        <f>IF(OR($P$14=0,$U$14=0),"",INT($U$14*($V$14+1)/2)+$W$14)</f>
        <v/>
      </c>
      <c r="F36" s="17">
        <f>IF($P$14=0,"",IF($AC$14="Teste de Ataque",'Criação'!$C$57,IF($AC$14="Teste de Resistência","DT "&amp;'Criação'!$B$56,"")))</f>
        <v/>
      </c>
      <c r="G36" s="22">
        <f>IF($P$14=0,"",IF($Z$14="Passiva",0,INDEX('Dados'!$J$296:$J$302,$S$14)))</f>
        <v/>
      </c>
      <c r="H36" s="22">
        <f>IF($P$14=0,"",IF($Z$14="Dano",INDEX('Dados'!$K$296:$K$302,$S$14),0))</f>
        <v/>
      </c>
      <c r="I36" s="22">
        <f>IF($P$14=0,"",CHOOSE(MIN(4,$S$14),"Curta","Média","Longa","Extrema"))</f>
        <v/>
      </c>
      <c r="J36" s="22">
        <f>IF($P$14=0,"",IF($AB$14="Sim",IF($S$14&gt;=6,4,3),1))</f>
        <v/>
      </c>
      <c r="K36" s="22">
        <f>IF(OR($P$14=0,$U$14=0),"",$U$14&amp;"d"&amp;$V$14)</f>
        <v/>
      </c>
      <c r="L36" s="22">
        <f>IF(OR($P$14=0,$U$14=0),"",INT($U$14*($V$14+1)/2))</f>
        <v/>
      </c>
    </row>
    <row r="37" ht="26" customHeight="1">
      <c r="A37" s="18" t="n">
        <v>4</v>
      </c>
      <c r="B37" s="9">
        <f>IF($P$15=0,"",IF(LEN($Y$15)=0,"Habilidade 4",""&amp;$Y$15))</f>
        <v/>
      </c>
      <c r="C37" s="19">
        <f>IF($P$15=0,"",$S$15)</f>
        <v/>
      </c>
      <c r="D37" s="19">
        <f>IF(OR($P$15=0,$U$15=0),"",IF($U$15&lt;=0,""&amp;$W$15,$U$15&amp;"d"&amp;$V$15&amp;IF($W$15&gt;0,"+"&amp;$W$15,IF($W$15&lt;0,""&amp;$W$15,""))))</f>
        <v/>
      </c>
      <c r="E37" s="19">
        <f>IF(OR($P$15=0,$U$15=0),"",INT($U$15*($V$15+1)/2)+$W$15)</f>
        <v/>
      </c>
      <c r="F37" s="19">
        <f>IF($P$15=0,"",IF($AC$15="Teste de Ataque",'Criação'!$C$57,IF($AC$15="Teste de Resistência","DT "&amp;'Criação'!$B$56,"")))</f>
        <v/>
      </c>
      <c r="G37" s="21">
        <f>IF($P$15=0,"",IF($Z$15="Passiva",0,INDEX('Dados'!$J$296:$J$302,$S$15)))</f>
        <v/>
      </c>
      <c r="H37" s="21">
        <f>IF($P$15=0,"",IF($Z$15="Dano",INDEX('Dados'!$K$296:$K$302,$S$15),0))</f>
        <v/>
      </c>
      <c r="I37" s="21">
        <f>IF($P$15=0,"",CHOOSE(MIN(4,$S$15),"Curta","Média","Longa","Extrema"))</f>
        <v/>
      </c>
      <c r="J37" s="21">
        <f>IF($P$15=0,"",IF($AB$15="Sim",IF($S$15&gt;=6,4,3),1))</f>
        <v/>
      </c>
      <c r="K37" s="21">
        <f>IF(OR($P$15=0,$U$15=0),"",$U$15&amp;"d"&amp;$V$15)</f>
        <v/>
      </c>
      <c r="L37" s="21">
        <f>IF(OR($P$15=0,$U$15=0),"",INT($U$15*($V$15+1)/2))</f>
        <v/>
      </c>
    </row>
    <row r="38" ht="26" customHeight="1">
      <c r="A38" s="16" t="n">
        <v>5</v>
      </c>
      <c r="B38" s="4">
        <f>IF($P$16=0,"",IF(LEN($Y$16)=0,"Habilidade 5",""&amp;$Y$16))</f>
        <v/>
      </c>
      <c r="C38" s="17">
        <f>IF($P$16=0,"",$S$16)</f>
        <v/>
      </c>
      <c r="D38" s="17">
        <f>IF(OR($P$16=0,$U$16=0),"",IF($U$16&lt;=0,""&amp;$W$16,$U$16&amp;"d"&amp;$V$16&amp;IF($W$16&gt;0,"+"&amp;$W$16,IF($W$16&lt;0,""&amp;$W$16,""))))</f>
        <v/>
      </c>
      <c r="E38" s="17">
        <f>IF(OR($P$16=0,$U$16=0),"",INT($U$16*($V$16+1)/2)+$W$16)</f>
        <v/>
      </c>
      <c r="F38" s="17">
        <f>IF($P$16=0,"",IF($AC$16="Teste de Ataque",'Criação'!$C$57,IF($AC$16="Teste de Resistência","DT "&amp;'Criação'!$B$56,"")))</f>
        <v/>
      </c>
      <c r="G38" s="22">
        <f>IF($P$16=0,"",IF($Z$16="Passiva",0,INDEX('Dados'!$J$296:$J$302,$S$16)))</f>
        <v/>
      </c>
      <c r="H38" s="22">
        <f>IF($P$16=0,"",IF($Z$16="Dano",INDEX('Dados'!$K$296:$K$302,$S$16),0))</f>
        <v/>
      </c>
      <c r="I38" s="22">
        <f>IF($P$16=0,"",CHOOSE(MIN(4,$S$16),"Curta","Média","Longa","Extrema"))</f>
        <v/>
      </c>
      <c r="J38" s="22">
        <f>IF($P$16=0,"",IF($AB$16="Sim",IF($S$16&gt;=6,4,3),1))</f>
        <v/>
      </c>
      <c r="K38" s="22">
        <f>IF(OR($P$16=0,$U$16=0),"",$U$16&amp;"d"&amp;$V$16)</f>
        <v/>
      </c>
      <c r="L38" s="22">
        <f>IF(OR($P$16=0,$U$16=0),"",INT($U$16*($V$16+1)/2))</f>
        <v/>
      </c>
    </row>
    <row r="39" ht="26" customHeight="1">
      <c r="A39" s="18" t="n">
        <v>6</v>
      </c>
      <c r="B39" s="9">
        <f>IF($P$17=0,"",IF(LEN($Y$17)=0,"Habilidade 6",""&amp;$Y$17))</f>
        <v/>
      </c>
      <c r="C39" s="19">
        <f>IF($P$17=0,"",$S$17)</f>
        <v/>
      </c>
      <c r="D39" s="19">
        <f>IF(OR($P$17=0,$U$17=0),"",IF($U$17&lt;=0,""&amp;$W$17,$U$17&amp;"d"&amp;$V$17&amp;IF($W$17&gt;0,"+"&amp;$W$17,IF($W$17&lt;0,""&amp;$W$17,""))))</f>
        <v/>
      </c>
      <c r="E39" s="19">
        <f>IF(OR($P$17=0,$U$17=0),"",INT($U$17*($V$17+1)/2)+$W$17)</f>
        <v/>
      </c>
      <c r="F39" s="19">
        <f>IF($P$17=0,"",IF($AC$17="Teste de Ataque",'Criação'!$C$57,IF($AC$17="Teste de Resistência","DT "&amp;'Criação'!$B$56,"")))</f>
        <v/>
      </c>
      <c r="G39" s="21">
        <f>IF($P$17=0,"",IF($Z$17="Passiva",0,INDEX('Dados'!$J$296:$J$302,$S$17)))</f>
        <v/>
      </c>
      <c r="H39" s="21">
        <f>IF($P$17=0,"",IF($Z$17="Dano",INDEX('Dados'!$K$296:$K$302,$S$17),0))</f>
        <v/>
      </c>
      <c r="I39" s="21">
        <f>IF($P$17=0,"",CHOOSE(MIN(4,$S$17),"Curta","Média","Longa","Extrema"))</f>
        <v/>
      </c>
      <c r="J39" s="21">
        <f>IF($P$17=0,"",IF($AB$17="Sim",IF($S$17&gt;=6,4,3),1))</f>
        <v/>
      </c>
      <c r="K39" s="21">
        <f>IF(OR($P$17=0,$U$17=0),"",$U$17&amp;"d"&amp;$V$17)</f>
        <v/>
      </c>
      <c r="L39" s="21">
        <f>IF(OR($P$17=0,$U$17=0),"",INT($U$17*($V$17+1)/2))</f>
        <v/>
      </c>
    </row>
    <row r="40" ht="26" customHeight="1">
      <c r="A40" s="16" t="n">
        <v>7</v>
      </c>
      <c r="B40" s="4">
        <f>IF($P$18=0,"",IF(LEN($Y$18)=0,"Habilidade 7",""&amp;$Y$18))</f>
        <v/>
      </c>
      <c r="C40" s="17">
        <f>IF($P$18=0,"",$S$18)</f>
        <v/>
      </c>
      <c r="D40" s="17">
        <f>IF(OR($P$18=0,$U$18=0),"",IF($U$18&lt;=0,""&amp;$W$18,$U$18&amp;"d"&amp;$V$18&amp;IF($W$18&gt;0,"+"&amp;$W$18,IF($W$18&lt;0,""&amp;$W$18,""))))</f>
        <v/>
      </c>
      <c r="E40" s="17">
        <f>IF(OR($P$18=0,$U$18=0),"",INT($U$18*($V$18+1)/2)+$W$18)</f>
        <v/>
      </c>
      <c r="F40" s="17">
        <f>IF($P$18=0,"",IF($AC$18="Teste de Ataque",'Criação'!$C$57,IF($AC$18="Teste de Resistência","DT "&amp;'Criação'!$B$56,"")))</f>
        <v/>
      </c>
      <c r="G40" s="22">
        <f>IF($P$18=0,"",IF($Z$18="Passiva",0,INDEX('Dados'!$J$296:$J$302,$S$18)))</f>
        <v/>
      </c>
      <c r="H40" s="22">
        <f>IF($P$18=0,"",IF($Z$18="Dano",INDEX('Dados'!$K$296:$K$302,$S$18),0))</f>
        <v/>
      </c>
      <c r="I40" s="22">
        <f>IF($P$18=0,"",CHOOSE(MIN(4,$S$18),"Curta","Média","Longa","Extrema"))</f>
        <v/>
      </c>
      <c r="J40" s="22">
        <f>IF($P$18=0,"",IF($AB$18="Sim",IF($S$18&gt;=6,4,3),1))</f>
        <v/>
      </c>
      <c r="K40" s="22">
        <f>IF(OR($P$18=0,$U$18=0),"",$U$18&amp;"d"&amp;$V$18)</f>
        <v/>
      </c>
      <c r="L40" s="22">
        <f>IF(OR($P$18=0,$U$18=0),"",INT($U$18*($V$18+1)/2))</f>
        <v/>
      </c>
    </row>
    <row r="41" ht="26" customHeight="1">
      <c r="A41" s="18" t="n">
        <v>8</v>
      </c>
      <c r="B41" s="9">
        <f>IF($P$19=0,"",IF(LEN($Y$19)=0,"Habilidade 8",""&amp;$Y$19))</f>
        <v/>
      </c>
      <c r="C41" s="19">
        <f>IF($P$19=0,"",$S$19)</f>
        <v/>
      </c>
      <c r="D41" s="19">
        <f>IF(OR($P$19=0,$U$19=0),"",IF($U$19&lt;=0,""&amp;$W$19,$U$19&amp;"d"&amp;$V$19&amp;IF($W$19&gt;0,"+"&amp;$W$19,IF($W$19&lt;0,""&amp;$W$19,""))))</f>
        <v/>
      </c>
      <c r="E41" s="19">
        <f>IF(OR($P$19=0,$U$19=0),"",INT($U$19*($V$19+1)/2)+$W$19)</f>
        <v/>
      </c>
      <c r="F41" s="19">
        <f>IF($P$19=0,"",IF($AC$19="Teste de Ataque",'Criação'!$C$57,IF($AC$19="Teste de Resistência","DT "&amp;'Criação'!$B$56,"")))</f>
        <v/>
      </c>
      <c r="G41" s="21">
        <f>IF($P$19=0,"",IF($Z$19="Passiva",0,INDEX('Dados'!$J$296:$J$302,$S$19)))</f>
        <v/>
      </c>
      <c r="H41" s="21">
        <f>IF($P$19=0,"",IF($Z$19="Dano",INDEX('Dados'!$K$296:$K$302,$S$19),0))</f>
        <v/>
      </c>
      <c r="I41" s="21">
        <f>IF($P$19=0,"",CHOOSE(MIN(4,$S$19),"Curta","Média","Longa","Extrema"))</f>
        <v/>
      </c>
      <c r="J41" s="21">
        <f>IF($P$19=0,"",IF($AB$19="Sim",IF($S$19&gt;=6,4,3),1))</f>
        <v/>
      </c>
      <c r="K41" s="21">
        <f>IF(OR($P$19=0,$U$19=0),"",$U$19&amp;"d"&amp;$V$19)</f>
        <v/>
      </c>
      <c r="L41" s="21">
        <f>IF(OR($P$19=0,$U$19=0),"",INT($U$19*($V$19+1)/2))</f>
        <v/>
      </c>
    </row>
    <row r="42"/>
    <row r="43">
      <c r="A43" s="7" t="inlineStr">
        <is>
          <t>Nº</t>
        </is>
      </c>
      <c r="B43" s="7" t="inlineStr">
        <is>
          <t>Nome</t>
        </is>
      </c>
      <c r="C43" s="7" t="inlineStr">
        <is>
          <t>Bônus fixo</t>
        </is>
      </c>
      <c r="D43" s="7" t="inlineStr">
        <is>
          <t>Guia de 16.5 (o que o efeito pode fazer)</t>
        </is>
      </c>
      <c r="E43" s="15" t="n"/>
      <c r="F43" s="15" t="n"/>
      <c r="G43" s="15" t="n"/>
      <c r="H43" s="15" t="n"/>
      <c r="I43" s="15" t="n"/>
      <c r="J43" s="15" t="n"/>
      <c r="K43" s="15" t="n"/>
      <c r="L43" s="15" t="n"/>
    </row>
    <row r="44" ht="26" customHeight="1">
      <c r="A44" s="16" t="n">
        <v>1</v>
      </c>
      <c r="B44" s="4">
        <f>IF($P$12=0,"",IF(LEN($Y$12)=0,"Habilidade 1",""&amp;$Y$12))</f>
        <v/>
      </c>
      <c r="C44" s="22">
        <f>IF($P$12=0,"",$W$12)</f>
        <v/>
      </c>
      <c r="D44" s="4">
        <f>IF($P$12=0,"",IF(OR($Z$12="Buff",$Z$12="Debuff"),INDEX('Dados'!$B$306:$B$312,$S$12)&amp;" · "&amp;INDEX('Dados'!$C$306:$C$312,$S$12)&amp;" · alvos: "&amp;INDEX('Dados'!$D$306:$D$312,$S$12),IF($Z$12="Passiva",INDEX('Dados'!$B$316:$B$322,$S$12)&amp;" · não custa PH",IF(OR($Z$12="Dano",$Z$12="Cura"),"Dados da tabela 16.3 + Bônus do Atributo de Habilidade, uma vez","Escolha o Tipo"))))</f>
        <v/>
      </c>
    </row>
    <row r="45" ht="26" customHeight="1">
      <c r="A45" s="18" t="n">
        <v>2</v>
      </c>
      <c r="B45" s="9">
        <f>IF($P$13=0,"",IF(LEN($Y$13)=0,"Habilidade 2",""&amp;$Y$13))</f>
        <v/>
      </c>
      <c r="C45" s="21">
        <f>IF($P$13=0,"",$W$13)</f>
        <v/>
      </c>
      <c r="D45" s="9">
        <f>IF($P$13=0,"",IF(OR($Z$13="Buff",$Z$13="Debuff"),INDEX('Dados'!$B$306:$B$312,$S$13)&amp;" · "&amp;INDEX('Dados'!$C$306:$C$312,$S$13)&amp;" · alvos: "&amp;INDEX('Dados'!$D$306:$D$312,$S$13),IF($Z$13="Passiva",INDEX('Dados'!$B$316:$B$322,$S$13)&amp;" · não custa PH",IF(OR($Z$13="Dano",$Z$13="Cura"),"Dados da tabela 16.3 + Bônus do Atributo de Habilidade, uma vez","Escolha o Tipo"))))</f>
        <v/>
      </c>
    </row>
    <row r="46" ht="26" customHeight="1">
      <c r="A46" s="16" t="n">
        <v>3</v>
      </c>
      <c r="B46" s="4">
        <f>IF($P$14=0,"",IF(LEN($Y$14)=0,"Habilidade 3",""&amp;$Y$14))</f>
        <v/>
      </c>
      <c r="C46" s="22">
        <f>IF($P$14=0,"",$W$14)</f>
        <v/>
      </c>
      <c r="D46" s="4">
        <f>IF($P$14=0,"",IF(OR($Z$14="Buff",$Z$14="Debuff"),INDEX('Dados'!$B$306:$B$312,$S$14)&amp;" · "&amp;INDEX('Dados'!$C$306:$C$312,$S$14)&amp;" · alvos: "&amp;INDEX('Dados'!$D$306:$D$312,$S$14),IF($Z$14="Passiva",INDEX('Dados'!$B$316:$B$322,$S$14)&amp;" · não custa PH",IF(OR($Z$14="Dano",$Z$14="Cura"),"Dados da tabela 16.3 + Bônus do Atributo de Habilidade, uma vez","Escolha o Tipo"))))</f>
        <v/>
      </c>
    </row>
    <row r="47" ht="26" customHeight="1">
      <c r="A47" s="18" t="n">
        <v>4</v>
      </c>
      <c r="B47" s="9">
        <f>IF($P$15=0,"",IF(LEN($Y$15)=0,"Habilidade 4",""&amp;$Y$15))</f>
        <v/>
      </c>
      <c r="C47" s="21">
        <f>IF($P$15=0,"",$W$15)</f>
        <v/>
      </c>
      <c r="D47" s="9">
        <f>IF($P$15=0,"",IF(OR($Z$15="Buff",$Z$15="Debuff"),INDEX('Dados'!$B$306:$B$312,$S$15)&amp;" · "&amp;INDEX('Dados'!$C$306:$C$312,$S$15)&amp;" · alvos: "&amp;INDEX('Dados'!$D$306:$D$312,$S$15),IF($Z$15="Passiva",INDEX('Dados'!$B$316:$B$322,$S$15)&amp;" · não custa PH",IF(OR($Z$15="Dano",$Z$15="Cura"),"Dados da tabela 16.3 + Bônus do Atributo de Habilidade, uma vez","Escolha o Tipo"))))</f>
        <v/>
      </c>
    </row>
    <row r="48" ht="26" customHeight="1">
      <c r="A48" s="16" t="n">
        <v>5</v>
      </c>
      <c r="B48" s="4">
        <f>IF($P$16=0,"",IF(LEN($Y$16)=0,"Habilidade 5",""&amp;$Y$16))</f>
        <v/>
      </c>
      <c r="C48" s="22">
        <f>IF($P$16=0,"",$W$16)</f>
        <v/>
      </c>
      <c r="D48" s="4">
        <f>IF($P$16=0,"",IF(OR($Z$16="Buff",$Z$16="Debuff"),INDEX('Dados'!$B$306:$B$312,$S$16)&amp;" · "&amp;INDEX('Dados'!$C$306:$C$312,$S$16)&amp;" · alvos: "&amp;INDEX('Dados'!$D$306:$D$312,$S$16),IF($Z$16="Passiva",INDEX('Dados'!$B$316:$B$322,$S$16)&amp;" · não custa PH",IF(OR($Z$16="Dano",$Z$16="Cura"),"Dados da tabela 16.3 + Bônus do Atributo de Habilidade, uma vez","Escolha o Tipo"))))</f>
        <v/>
      </c>
    </row>
    <row r="49" ht="26" customHeight="1">
      <c r="A49" s="18" t="n">
        <v>6</v>
      </c>
      <c r="B49" s="9">
        <f>IF($P$17=0,"",IF(LEN($Y$17)=0,"Habilidade 6",""&amp;$Y$17))</f>
        <v/>
      </c>
      <c r="C49" s="21">
        <f>IF($P$17=0,"",$W$17)</f>
        <v/>
      </c>
      <c r="D49" s="9">
        <f>IF($P$17=0,"",IF(OR($Z$17="Buff",$Z$17="Debuff"),INDEX('Dados'!$B$306:$B$312,$S$17)&amp;" · "&amp;INDEX('Dados'!$C$306:$C$312,$S$17)&amp;" · alvos: "&amp;INDEX('Dados'!$D$306:$D$312,$S$17),IF($Z$17="Passiva",INDEX('Dados'!$B$316:$B$322,$S$17)&amp;" · não custa PH",IF(OR($Z$17="Dano",$Z$17="Cura"),"Dados da tabela 16.3 + Bônus do Atributo de Habilidade, uma vez","Escolha o Tipo"))))</f>
        <v/>
      </c>
    </row>
    <row r="50" ht="26" customHeight="1">
      <c r="A50" s="16" t="n">
        <v>7</v>
      </c>
      <c r="B50" s="4">
        <f>IF($P$18=0,"",IF(LEN($Y$18)=0,"Habilidade 7",""&amp;$Y$18))</f>
        <v/>
      </c>
      <c r="C50" s="22">
        <f>IF($P$18=0,"",$W$18)</f>
        <v/>
      </c>
      <c r="D50" s="4">
        <f>IF($P$18=0,"",IF(OR($Z$18="Buff",$Z$18="Debuff"),INDEX('Dados'!$B$306:$B$312,$S$18)&amp;" · "&amp;INDEX('Dados'!$C$306:$C$312,$S$18)&amp;" · alvos: "&amp;INDEX('Dados'!$D$306:$D$312,$S$18),IF($Z$18="Passiva",INDEX('Dados'!$B$316:$B$322,$S$18)&amp;" · não custa PH",IF(OR($Z$18="Dano",$Z$18="Cura"),"Dados da tabela 16.3 + Bônus do Atributo de Habilidade, uma vez","Escolha o Tipo"))))</f>
        <v/>
      </c>
    </row>
    <row r="51" ht="26" customHeight="1">
      <c r="A51" s="18" t="n">
        <v>8</v>
      </c>
      <c r="B51" s="9">
        <f>IF($P$19=0,"",IF(LEN($Y$19)=0,"Habilidade 8",""&amp;$Y$19))</f>
        <v/>
      </c>
      <c r="C51" s="21">
        <f>IF($P$19=0,"",$W$19)</f>
        <v/>
      </c>
      <c r="D51" s="9">
        <f>IF($P$19=0,"",IF(OR($Z$19="Buff",$Z$19="Debuff"),INDEX('Dados'!$B$306:$B$312,$S$19)&amp;" · "&amp;INDEX('Dados'!$C$306:$C$312,$S$19)&amp;" · alvos: "&amp;INDEX('Dados'!$D$306:$D$312,$S$19),IF($Z$19="Passiva",INDEX('Dados'!$B$316:$B$322,$S$19)&amp;" · não custa PH",IF(OR($Z$19="Dano",$Z$19="Cura"),"Dados da tabela 16.3 + Bônus do Atributo de Habilidade, uma vez","Escolha o Tipo"))))</f>
        <v/>
      </c>
    </row>
    <row r="52"/>
    <row r="53">
      <c r="A53" s="14" t="inlineStr">
        <is>
          <t>Ultimate — 17 (100 de Energia, não gasta ação, 1 por Ciclo; potência pela faixa)</t>
        </is>
      </c>
    </row>
    <row r="54" ht="26" customHeight="1">
      <c r="A54" s="8" t="inlineStr">
        <is>
          <t>Nome (diga em voz alta)</t>
        </is>
      </c>
      <c r="C54" s="27" t="n"/>
      <c r="D54" s="28" t="n"/>
      <c r="E54" s="28" t="n"/>
      <c r="F54" s="29" t="n"/>
      <c r="K54" s="13">
        <f>IF(AF54&gt;0,"O Google leu como fórmula: digite de novo com ' na frente.","")</f>
        <v/>
      </c>
      <c r="Z54">
        <f>IF(ISERROR($C$54),"",IF(ISBLANK($C$54),"",$C$54))</f>
        <v/>
      </c>
      <c r="AF54">
        <f>ISERROR($C$54)*1</f>
        <v/>
      </c>
    </row>
    <row r="55" ht="26" customHeight="1">
      <c r="A55" s="8" t="inlineStr">
        <is>
          <t>A frase que você diz</t>
        </is>
      </c>
      <c r="C55" s="27" t="n"/>
      <c r="D55" s="28" t="n"/>
      <c r="E55" s="28" t="n"/>
      <c r="F55" s="28" t="n"/>
      <c r="G55" s="28" t="n"/>
      <c r="H55" s="28" t="n"/>
      <c r="I55" s="28" t="n"/>
      <c r="J55" s="28" t="n"/>
      <c r="K55" s="29" t="n"/>
      <c r="L55" s="13">
        <f>IF(AF55&gt;0,"O Google leu como fórmula: digite de novo com ' na frente.","")</f>
        <v/>
      </c>
      <c r="Z55">
        <f>IF(ISERROR($C$55),"",IF(ISBLANK($C$55),"",$C$55))</f>
        <v/>
      </c>
      <c r="AF55">
        <f>ISERROR($C$55)*1</f>
        <v/>
      </c>
    </row>
    <row r="56" ht="26" customHeight="1">
      <c r="A56" s="8" t="inlineStr">
        <is>
          <t>Tipo</t>
        </is>
      </c>
      <c r="C56" s="23" t="n"/>
      <c r="D56" s="29" t="n"/>
      <c r="L56" s="13">
        <f>IF(AF56&gt;0,"O Google leu como fórmula: escolha de novo na lista.",IF($Z$56="",IF($P$61=1,"Escolha o Tipo da Ultimate.",""),IF(OR($Z$56="Dano",$Z$56="Cura",$Z$56="Buff",$Z$56="Debuff",$Z$56="Controle"),"","Tipo fora da lista (17.4)."))&amp;IF(AND(LEN($Z$58)&gt;0,COUNTIF('Dados'!$AK$6:$AK$7,$Z$58)=0)," Resolução fora da lista.",""))</f>
        <v/>
      </c>
      <c r="Z56">
        <f>IF(ISERROR($C$56),"",IF(ISBLANK($C$56),"",$C$56))</f>
        <v/>
      </c>
      <c r="AF56">
        <f>ISERROR($C$56)*1</f>
        <v/>
      </c>
    </row>
    <row r="57" ht="26" customHeight="1">
      <c r="A57" s="8" t="inlineStr">
        <is>
          <t>Em área?</t>
        </is>
      </c>
      <c r="C57" s="23" t="n"/>
      <c r="D57" s="29" t="n"/>
      <c r="K57" s="13">
        <f>IF(AF57&gt;0,"O Google leu como fórmula: escolha de novo na lista.","")</f>
        <v/>
      </c>
      <c r="Z57">
        <f>IF(ISERROR($C$57),"",IF(ISBLANK($C$57),"",$C$57))</f>
        <v/>
      </c>
      <c r="AF57">
        <f>ISERROR($C$57)*1</f>
        <v/>
      </c>
    </row>
    <row r="58" ht="26" customHeight="1">
      <c r="A58" s="8" t="inlineStr">
        <is>
          <t>Resolução</t>
        </is>
      </c>
      <c r="C58" s="23" t="n"/>
      <c r="D58" s="29" t="n"/>
      <c r="K58" s="13">
        <f>IF(AF58&gt;0,"O Google leu como fórmula: escolha de novo na lista.","")</f>
        <v/>
      </c>
      <c r="Z58">
        <f>IF(ISERROR($C$58),"",IF(ISBLANK($C$58),"",$C$58))</f>
        <v/>
      </c>
      <c r="AF58">
        <f>ISERROR($C$58)*1</f>
        <v/>
      </c>
    </row>
    <row r="59" ht="37" customHeight="1">
      <c r="A59" s="8" t="inlineStr">
        <is>
          <t>Efeito (o que ela faz)</t>
        </is>
      </c>
      <c r="C59" s="27" t="n"/>
      <c r="D59" s="28" t="n"/>
      <c r="E59" s="28" t="n"/>
      <c r="F59" s="28" t="n"/>
      <c r="G59" s="28" t="n"/>
      <c r="H59" s="28" t="n"/>
      <c r="I59" s="28" t="n"/>
      <c r="J59" s="28" t="n"/>
      <c r="K59" s="29" t="n"/>
      <c r="L59" s="13">
        <f>IF(AF59&gt;0,"O Google leu como fórmula: digite de novo com ' na frente.","")</f>
        <v/>
      </c>
      <c r="Z59">
        <f>IF(ISERROR($C$59),"",IF(ISBLANK($C$59),"",$C$59))</f>
        <v/>
      </c>
      <c r="AF59">
        <f>ISERROR($C$59)*1</f>
        <v/>
      </c>
    </row>
    <row r="60" ht="40" customHeight="1">
      <c r="A60" s="7" t="inlineStr">
        <is>
          <t>Ultimate</t>
        </is>
      </c>
      <c r="B60" s="15" t="n"/>
      <c r="C60" s="7" t="inlineStr">
        <is>
          <t>Nível equivalente</t>
        </is>
      </c>
      <c r="D60" s="7" t="inlineStr">
        <is>
          <t>Dano ou cura</t>
        </is>
      </c>
      <c r="E60" s="7" t="inlineStr">
        <is>
          <t>Média</t>
        </is>
      </c>
      <c r="F60" s="7" t="inlineStr">
        <is>
          <t>Rolagem ou DT</t>
        </is>
      </c>
      <c r="G60" s="7" t="inlineStr">
        <is>
          <t>Custo (Energia)</t>
        </is>
      </c>
      <c r="H60" s="7" t="inlineStr">
        <is>
          <t>Redução de Tenacidade</t>
        </is>
      </c>
      <c r="I60" s="7" t="inlineStr">
        <is>
          <t>Alvos</t>
        </is>
      </c>
      <c r="J60" s="7" t="inlineStr">
        <is>
          <t>Dados da tabela</t>
        </is>
      </c>
      <c r="K60" s="7" t="inlineStr">
        <is>
          <t>Média dos dados</t>
        </is>
      </c>
      <c r="L60" s="7" t="inlineStr">
        <is>
          <t>Bônus fixo</t>
        </is>
      </c>
      <c r="P60" s="7" t="inlineStr">
        <is>
          <t>preenchida</t>
        </is>
      </c>
      <c r="Q60" s="7" t="inlineStr">
        <is>
          <t>nº tabela</t>
        </is>
      </c>
      <c r="R60" s="7" t="inlineStr">
        <is>
          <t>nº de dados</t>
        </is>
      </c>
      <c r="S60" s="7" t="inlineStr">
        <is>
          <t>face</t>
        </is>
      </c>
    </row>
    <row r="61">
      <c r="A61" s="8" t="inlineStr">
        <is>
          <t>Números da Ultimate</t>
        </is>
      </c>
      <c r="C61" s="17">
        <f>'Criação'!$H$16</f>
        <v/>
      </c>
      <c r="D61" s="17">
        <f>IF($R$61=0,"",IF($R$61&lt;=0,""&amp;$L$61,$R$61&amp;"d"&amp;$S$61&amp;IF($L$61&gt;0,"+"&amp;$L$61,IF($L$61&lt;0,""&amp;$L$61,""))))</f>
        <v/>
      </c>
      <c r="E61" s="17">
        <f>IF($R$61=0,"",INT($R$61*($S$61+1)/2)+$L$61)</f>
        <v/>
      </c>
      <c r="F61" s="17">
        <f>IF($Z$58="Teste de Ataque",'Criação'!$C$57,IF($Z$58="Teste de Resistência","DT "&amp;'Criação'!$B$56,""))</f>
        <v/>
      </c>
      <c r="G61" s="17">
        <f>IF('Progressão'!$R$70="Ultimate com 80 de Energia",80,100)</f>
        <v/>
      </c>
      <c r="H61" s="22">
        <f>INDEX('Dados'!$K$326:$K$330,'Criação'!$B$14)</f>
        <v/>
      </c>
      <c r="I61" s="22">
        <f>IF($Z$57="Sim",IF($C$61&gt;=6,4,3),1)</f>
        <v/>
      </c>
      <c r="J61" s="22">
        <f>IF($R$61=0,"",$R$61&amp;"d"&amp;$S$61)</f>
        <v/>
      </c>
      <c r="K61" s="22">
        <f>IF($R$61=0,"",INT($R$61*($S$61+1)/2))</f>
        <v/>
      </c>
      <c r="L61" s="22">
        <f>IF(OR($Z$56="Dano",$Z$56="Cura"),'Criação'!$B$55+IF($Z$56="Dano",'Equipamento'!$P$40+'Equipamento'!$F$31,0),0)</f>
        <v/>
      </c>
      <c r="P61" s="25">
        <f>IF(OR(LEN($Z$54)&gt;0,LEN($Z$55)&gt;0,LEN($Z$56)&gt;0,LEN($Z$57)&gt;0,LEN($Z$58)&gt;0,LEN($Z$59)&gt;0),1,0)</f>
        <v/>
      </c>
      <c r="Q61" s="25">
        <f>IF($Z$56="Dano",INDEX('Dados'!$D$326:$D$330,'Criação'!$B$14),IF($Z$56="Cura",INDEX('Dados'!$H$326:$H$330,'Criação'!$B$14),0))</f>
        <v/>
      </c>
      <c r="R61" s="25">
        <f>IF(AND($Z$57="Sim",$Q$61&gt;0),MAX(1,INT($Q$61/2)),$Q$61)</f>
        <v/>
      </c>
      <c r="S61" s="25">
        <f>IF($Z$56="Dano",INDEX('Dados'!$E$326:$E$330,'Criação'!$B$14),IF($Z$56="Cura",INDEX('Dados'!$I$326:$I$330,'Criação'!$B$14),0))</f>
        <v/>
      </c>
    </row>
    <row r="62">
      <c r="A62" s="33" t="inlineStr">
        <is>
          <t>Guia de 16.5 (efeito)</t>
        </is>
      </c>
      <c r="C62" s="9">
        <f>IF(OR($Z$56="Buff",$Z$56="Debuff",$Z$56="Controle"),"Nível equivalente "&amp;$C$61&amp;": "&amp;INDEX('Dados'!$B$306:$B$312,$C$61)&amp;" · "&amp;INDEX('Dados'!$C$306:$C$312,$C$61),IF(OR($Z$56="Dano",$Z$56="Cura"),"Dados da linha da sua faixa (17.3) + Bônus do Atributo de Habilidade, uma vez","Escolha o Tipo"))</f>
        <v/>
      </c>
      <c r="M62" s="35" t="n"/>
      <c r="N62" s="35" t="n"/>
      <c r="O62" s="35" t="n"/>
      <c r="P62" s="35" t="n"/>
      <c r="Q62" s="35" t="n"/>
      <c r="R62" s="35" t="n"/>
      <c r="S62" s="35" t="n"/>
    </row>
    <row r="63">
      <c r="A63" s="8" t="inlineStr">
        <is>
          <t>A Ultimate sobe sozinha ao mudar de faixa (níveis 5, 9, 13 e 17). Ressonância II: efeito extra; Ressonância IV: pode custar 80 de Energia (26.7).</t>
        </is>
      </c>
    </row>
  </sheetData>
  <mergeCells count="61">
    <mergeCell ref="C27:L27"/>
    <mergeCell ref="I14:L14"/>
    <mergeCell ref="D49:L49"/>
    <mergeCell ref="I17:L17"/>
    <mergeCell ref="C23:L23"/>
    <mergeCell ref="A59:B59"/>
    <mergeCell ref="A60:B60"/>
    <mergeCell ref="C55:K55"/>
    <mergeCell ref="C58:D58"/>
    <mergeCell ref="D48:L48"/>
    <mergeCell ref="E7:K7"/>
    <mergeCell ref="A3:L3"/>
    <mergeCell ref="I19:L19"/>
    <mergeCell ref="A61:B61"/>
    <mergeCell ref="A6:B6"/>
    <mergeCell ref="D47:L47"/>
    <mergeCell ref="C28:L28"/>
    <mergeCell ref="K54:L54"/>
    <mergeCell ref="C59:K59"/>
    <mergeCell ref="D6:E6"/>
    <mergeCell ref="I13:L13"/>
    <mergeCell ref="A21:L21"/>
    <mergeCell ref="A54:B54"/>
    <mergeCell ref="D43:L43"/>
    <mergeCell ref="A7:B7"/>
    <mergeCell ref="A5:L5"/>
    <mergeCell ref="A32:L32"/>
    <mergeCell ref="C30:L30"/>
    <mergeCell ref="I15:L15"/>
    <mergeCell ref="G6:H6"/>
    <mergeCell ref="C8:K8"/>
    <mergeCell ref="A56:B56"/>
    <mergeCell ref="C24:L24"/>
    <mergeCell ref="C62:L62"/>
    <mergeCell ref="I11:L11"/>
    <mergeCell ref="C56:D56"/>
    <mergeCell ref="A53:L53"/>
    <mergeCell ref="A55:B55"/>
    <mergeCell ref="K58:L58"/>
    <mergeCell ref="A10:L10"/>
    <mergeCell ref="D51:L51"/>
    <mergeCell ref="A57:B57"/>
    <mergeCell ref="A63:L63"/>
    <mergeCell ref="C26:L26"/>
    <mergeCell ref="C29:L29"/>
    <mergeCell ref="D50:L50"/>
    <mergeCell ref="I16:L16"/>
    <mergeCell ref="C54:F54"/>
    <mergeCell ref="D44:L44"/>
    <mergeCell ref="A8:B8"/>
    <mergeCell ref="C25:L25"/>
    <mergeCell ref="A62:B62"/>
    <mergeCell ref="I18:L18"/>
    <mergeCell ref="C22:L22"/>
    <mergeCell ref="D46:L46"/>
    <mergeCell ref="I12:L12"/>
    <mergeCell ref="C57:D57"/>
    <mergeCell ref="A1:L1"/>
    <mergeCell ref="K57:L57"/>
    <mergeCell ref="D45:L45"/>
    <mergeCell ref="A58:B58"/>
  </mergeCells>
  <conditionalFormatting sqref="L7">
    <cfRule type="expression" priority="1" dxfId="0">
      <formula>LEN(L7)&gt;0</formula>
    </cfRule>
  </conditionalFormatting>
  <conditionalFormatting sqref="L8">
    <cfRule type="expression" priority="2" dxfId="0">
      <formula>LEN(L8)&gt;0</formula>
    </cfRule>
  </conditionalFormatting>
  <conditionalFormatting sqref="I12">
    <cfRule type="expression" priority="3" dxfId="0">
      <formula>LEN(I12)&gt;0</formula>
    </cfRule>
  </conditionalFormatting>
  <conditionalFormatting sqref="I13">
    <cfRule type="expression" priority="4" dxfId="0">
      <formula>LEN(I13)&gt;0</formula>
    </cfRule>
  </conditionalFormatting>
  <conditionalFormatting sqref="I14">
    <cfRule type="expression" priority="5" dxfId="0">
      <formula>LEN(I14)&gt;0</formula>
    </cfRule>
  </conditionalFormatting>
  <conditionalFormatting sqref="I15">
    <cfRule type="expression" priority="6" dxfId="0">
      <formula>LEN(I15)&gt;0</formula>
    </cfRule>
  </conditionalFormatting>
  <conditionalFormatting sqref="I16">
    <cfRule type="expression" priority="7" dxfId="0">
      <formula>LEN(I16)&gt;0</formula>
    </cfRule>
  </conditionalFormatting>
  <conditionalFormatting sqref="I17">
    <cfRule type="expression" priority="8" dxfId="0">
      <formula>LEN(I17)&gt;0</formula>
    </cfRule>
  </conditionalFormatting>
  <conditionalFormatting sqref="I18">
    <cfRule type="expression" priority="9" dxfId="0">
      <formula>LEN(I18)&gt;0</formula>
    </cfRule>
  </conditionalFormatting>
  <conditionalFormatting sqref="I19">
    <cfRule type="expression" priority="10" dxfId="0">
      <formula>LEN(I19)&gt;0</formula>
    </cfRule>
  </conditionalFormatting>
  <conditionalFormatting sqref="L56">
    <cfRule type="expression" priority="11" dxfId="0">
      <formula>LEN(L56)&gt;0</formula>
    </cfRule>
  </conditionalFormatting>
  <conditionalFormatting sqref="K54">
    <cfRule type="expression" priority="12" dxfId="0">
      <formula>LEN(K54)&gt;0</formula>
    </cfRule>
  </conditionalFormatting>
  <conditionalFormatting sqref="L55">
    <cfRule type="expression" priority="13" dxfId="0">
      <formula>LEN(L55)&gt;0</formula>
    </cfRule>
  </conditionalFormatting>
  <conditionalFormatting sqref="K57">
    <cfRule type="expression" priority="14" dxfId="0">
      <formula>LEN(K57)&gt;0</formula>
    </cfRule>
  </conditionalFormatting>
  <conditionalFormatting sqref="K58">
    <cfRule type="expression" priority="15" dxfId="0">
      <formula>LEN(K58)&gt;0</formula>
    </cfRule>
  </conditionalFormatting>
  <conditionalFormatting sqref="L59">
    <cfRule type="expression" priority="16" dxfId="0">
      <formula>LEN(L59)&gt;0</formula>
    </cfRule>
  </conditionalFormatting>
  <dataValidations count="51">
    <dataValidation sqref="C12" showDropDown="0" showInputMessage="0" showErrorMessage="1" allowBlank="1" errorTitle="Fora da lista" error="Tipo: escolha um valor da lista. A ficha pode não reconhecer outro valor." type="list" errorStyle="warning">
      <formula1>'Dados'!$W$6:$W$10</formula1>
    </dataValidation>
    <dataValidation sqref="D12" showDropDown="0" showInputMessage="0" showErrorMessage="1" allowBlank="1" errorTitle="Valor fora da faixa" error="Nível da Habilidade: use um número inteiro de 1 a 7." type="whole" errorStyle="warning" operator="between">
      <formula1>1</formula1>
      <formula2>7</formula2>
    </dataValidation>
    <dataValidation sqref="E12" showDropDown="0" showInputMessage="0" showErrorMessage="1" allowBlank="1" errorTitle="Fora da lista" error="Em área: escolha um valor da lista. A ficha pode não reconhecer outro valor." type="list" errorStyle="warning">
      <formula1>'Dados'!$AG$6:$AG$7</formula1>
    </dataValidation>
    <dataValidation sqref="F12" showDropDown="0" showInputMessage="0" showErrorMessage="1" allowBlank="1" errorTitle="Fora da lista" error="Resolução: escolha um valor da lista. A ficha pode não reconhecer outro valor." type="list" errorStyle="warning">
      <formula1>'Dados'!$AK$6:$AK$7</formula1>
    </dataValidation>
    <dataValidation sqref="G12" showDropDown="0" showInputMessage="0" showErrorMessage="1" allowBlank="1" errorTitle="Fora da lista" error="Alcance: escolha um valor da lista. A ficha pode não reconhecer outro valor." type="list" errorStyle="warning">
      <formula1>'Dados'!$X$6:$X$10</formula1>
    </dataValidation>
    <dataValidation sqref="H12" showDropDown="0" showInputMessage="0" showErrorMessage="1" allowBlank="1" errorTitle="Fora da lista" error="Ressonância III: escolha um valor da lista. A ficha pode não reconhecer outro valor." type="list" errorStyle="warning">
      <formula1>'Dados'!$AG$6:$AG$7</formula1>
    </dataValidation>
    <dataValidation sqref="C13" showDropDown="0" showInputMessage="0" showErrorMessage="1" allowBlank="1" errorTitle="Fora da lista" error="Tipo: escolha um valor da lista. A ficha pode não reconhecer outro valor." type="list" errorStyle="warning">
      <formula1>'Dados'!$W$6:$W$10</formula1>
    </dataValidation>
    <dataValidation sqref="D13" showDropDown="0" showInputMessage="0" showErrorMessage="1" allowBlank="1" errorTitle="Valor fora da faixa" error="Nível da Habilidade: use um número inteiro de 1 a 7." type="whole" errorStyle="warning" operator="between">
      <formula1>1</formula1>
      <formula2>7</formula2>
    </dataValidation>
    <dataValidation sqref="E13" showDropDown="0" showInputMessage="0" showErrorMessage="1" allowBlank="1" errorTitle="Fora da lista" error="Em área: escolha um valor da lista. A ficha pode não reconhecer outro valor." type="list" errorStyle="warning">
      <formula1>'Dados'!$AG$6:$AG$7</formula1>
    </dataValidation>
    <dataValidation sqref="F13" showDropDown="0" showInputMessage="0" showErrorMessage="1" allowBlank="1" errorTitle="Fora da lista" error="Resolução: escolha um valor da lista. A ficha pode não reconhecer outro valor." type="list" errorStyle="warning">
      <formula1>'Dados'!$AK$6:$AK$7</formula1>
    </dataValidation>
    <dataValidation sqref="G13" showDropDown="0" showInputMessage="0" showErrorMessage="1" allowBlank="1" errorTitle="Fora da lista" error="Alcance: escolha um valor da lista. A ficha pode não reconhecer outro valor." type="list" errorStyle="warning">
      <formula1>'Dados'!$X$6:$X$10</formula1>
    </dataValidation>
    <dataValidation sqref="H13" showDropDown="0" showInputMessage="0" showErrorMessage="1" allowBlank="1" errorTitle="Fora da lista" error="Ressonância III: escolha um valor da lista. A ficha pode não reconhecer outro valor." type="list" errorStyle="warning">
      <formula1>'Dados'!$AG$6:$AG$7</formula1>
    </dataValidation>
    <dataValidation sqref="C14" showDropDown="0" showInputMessage="0" showErrorMessage="1" allowBlank="1" errorTitle="Fora da lista" error="Tipo: escolha um valor da lista. A ficha pode não reconhecer outro valor." type="list" errorStyle="warning">
      <formula1>'Dados'!$W$6:$W$10</formula1>
    </dataValidation>
    <dataValidation sqref="D14" showDropDown="0" showInputMessage="0" showErrorMessage="1" allowBlank="1" errorTitle="Valor fora da faixa" error="Nível da Habilidade: use um número inteiro de 1 a 7." type="whole" errorStyle="warning" operator="between">
      <formula1>1</formula1>
      <formula2>7</formula2>
    </dataValidation>
    <dataValidation sqref="E14" showDropDown="0" showInputMessage="0" showErrorMessage="1" allowBlank="1" errorTitle="Fora da lista" error="Em área: escolha um valor da lista. A ficha pode não reconhecer outro valor." type="list" errorStyle="warning">
      <formula1>'Dados'!$AG$6:$AG$7</formula1>
    </dataValidation>
    <dataValidation sqref="F14" showDropDown="0" showInputMessage="0" showErrorMessage="1" allowBlank="1" errorTitle="Fora da lista" error="Resolução: escolha um valor da lista. A ficha pode não reconhecer outro valor." type="list" errorStyle="warning">
      <formula1>'Dados'!$AK$6:$AK$7</formula1>
    </dataValidation>
    <dataValidation sqref="G14" showDropDown="0" showInputMessage="0" showErrorMessage="1" allowBlank="1" errorTitle="Fora da lista" error="Alcance: escolha um valor da lista. A ficha pode não reconhecer outro valor." type="list" errorStyle="warning">
      <formula1>'Dados'!$X$6:$X$10</formula1>
    </dataValidation>
    <dataValidation sqref="H14" showDropDown="0" showInputMessage="0" showErrorMessage="1" allowBlank="1" errorTitle="Fora da lista" error="Ressonância III: escolha um valor da lista. A ficha pode não reconhecer outro valor." type="list" errorStyle="warning">
      <formula1>'Dados'!$AG$6:$AG$7</formula1>
    </dataValidation>
    <dataValidation sqref="C15" showDropDown="0" showInputMessage="0" showErrorMessage="1" allowBlank="1" errorTitle="Fora da lista" error="Tipo: escolha um valor da lista. A ficha pode não reconhecer outro valor." type="list" errorStyle="warning">
      <formula1>'Dados'!$W$6:$W$10</formula1>
    </dataValidation>
    <dataValidation sqref="D15" showDropDown="0" showInputMessage="0" showErrorMessage="1" allowBlank="1" errorTitle="Valor fora da faixa" error="Nível da Habilidade: use um número inteiro de 1 a 7." type="whole" errorStyle="warning" operator="between">
      <formula1>1</formula1>
      <formula2>7</formula2>
    </dataValidation>
    <dataValidation sqref="E15" showDropDown="0" showInputMessage="0" showErrorMessage="1" allowBlank="1" errorTitle="Fora da lista" error="Em área: escolha um valor da lista. A ficha pode não reconhecer outro valor." type="list" errorStyle="warning">
      <formula1>'Dados'!$AG$6:$AG$7</formula1>
    </dataValidation>
    <dataValidation sqref="F15" showDropDown="0" showInputMessage="0" showErrorMessage="1" allowBlank="1" errorTitle="Fora da lista" error="Resolução: escolha um valor da lista. A ficha pode não reconhecer outro valor." type="list" errorStyle="warning">
      <formula1>'Dados'!$AK$6:$AK$7</formula1>
    </dataValidation>
    <dataValidation sqref="G15" showDropDown="0" showInputMessage="0" showErrorMessage="1" allowBlank="1" errorTitle="Fora da lista" error="Alcance: escolha um valor da lista. A ficha pode não reconhecer outro valor." type="list" errorStyle="warning">
      <formula1>'Dados'!$X$6:$X$10</formula1>
    </dataValidation>
    <dataValidation sqref="H15" showDropDown="0" showInputMessage="0" showErrorMessage="1" allowBlank="1" errorTitle="Fora da lista" error="Ressonância III: escolha um valor da lista. A ficha pode não reconhecer outro valor." type="list" errorStyle="warning">
      <formula1>'Dados'!$AG$6:$AG$7</formula1>
    </dataValidation>
    <dataValidation sqref="C16" showDropDown="0" showInputMessage="0" showErrorMessage="1" allowBlank="1" errorTitle="Fora da lista" error="Tipo: escolha um valor da lista. A ficha pode não reconhecer outro valor." type="list" errorStyle="warning">
      <formula1>'Dados'!$W$6:$W$10</formula1>
    </dataValidation>
    <dataValidation sqref="D16" showDropDown="0" showInputMessage="0" showErrorMessage="1" allowBlank="1" errorTitle="Valor fora da faixa" error="Nível da Habilidade: use um número inteiro de 1 a 7." type="whole" errorStyle="warning" operator="between">
      <formula1>1</formula1>
      <formula2>7</formula2>
    </dataValidation>
    <dataValidation sqref="E16" showDropDown="0" showInputMessage="0" showErrorMessage="1" allowBlank="1" errorTitle="Fora da lista" error="Em área: escolha um valor da lista. A ficha pode não reconhecer outro valor." type="list" errorStyle="warning">
      <formula1>'Dados'!$AG$6:$AG$7</formula1>
    </dataValidation>
    <dataValidation sqref="F16" showDropDown="0" showInputMessage="0" showErrorMessage="1" allowBlank="1" errorTitle="Fora da lista" error="Resolução: escolha um valor da lista. A ficha pode não reconhecer outro valor." type="list" errorStyle="warning">
      <formula1>'Dados'!$AK$6:$AK$7</formula1>
    </dataValidation>
    <dataValidation sqref="G16" showDropDown="0" showInputMessage="0" showErrorMessage="1" allowBlank="1" errorTitle="Fora da lista" error="Alcance: escolha um valor da lista. A ficha pode não reconhecer outro valor." type="list" errorStyle="warning">
      <formula1>'Dados'!$X$6:$X$10</formula1>
    </dataValidation>
    <dataValidation sqref="H16" showDropDown="0" showInputMessage="0" showErrorMessage="1" allowBlank="1" errorTitle="Fora da lista" error="Ressonância III: escolha um valor da lista. A ficha pode não reconhecer outro valor." type="list" errorStyle="warning">
      <formula1>'Dados'!$AG$6:$AG$7</formula1>
    </dataValidation>
    <dataValidation sqref="C17" showDropDown="0" showInputMessage="0" showErrorMessage="1" allowBlank="1" errorTitle="Fora da lista" error="Tipo: escolha um valor da lista. A ficha pode não reconhecer outro valor." type="list" errorStyle="warning">
      <formula1>'Dados'!$W$6:$W$10</formula1>
    </dataValidation>
    <dataValidation sqref="D17" showDropDown="0" showInputMessage="0" showErrorMessage="1" allowBlank="1" errorTitle="Valor fora da faixa" error="Nível da Habilidade: use um número inteiro de 1 a 7." type="whole" errorStyle="warning" operator="between">
      <formula1>1</formula1>
      <formula2>7</formula2>
    </dataValidation>
    <dataValidation sqref="E17" showDropDown="0" showInputMessage="0" showErrorMessage="1" allowBlank="1" errorTitle="Fora da lista" error="Em área: escolha um valor da lista. A ficha pode não reconhecer outro valor." type="list" errorStyle="warning">
      <formula1>'Dados'!$AG$6:$AG$7</formula1>
    </dataValidation>
    <dataValidation sqref="F17" showDropDown="0" showInputMessage="0" showErrorMessage="1" allowBlank="1" errorTitle="Fora da lista" error="Resolução: escolha um valor da lista. A ficha pode não reconhecer outro valor." type="list" errorStyle="warning">
      <formula1>'Dados'!$AK$6:$AK$7</formula1>
    </dataValidation>
    <dataValidation sqref="G17" showDropDown="0" showInputMessage="0" showErrorMessage="1" allowBlank="1" errorTitle="Fora da lista" error="Alcance: escolha um valor da lista. A ficha pode não reconhecer outro valor." type="list" errorStyle="warning">
      <formula1>'Dados'!$X$6:$X$10</formula1>
    </dataValidation>
    <dataValidation sqref="H17" showDropDown="0" showInputMessage="0" showErrorMessage="1" allowBlank="1" errorTitle="Fora da lista" error="Ressonância III: escolha um valor da lista. A ficha pode não reconhecer outro valor." type="list" errorStyle="warning">
      <formula1>'Dados'!$AG$6:$AG$7</formula1>
    </dataValidation>
    <dataValidation sqref="C18" showDropDown="0" showInputMessage="0" showErrorMessage="1" allowBlank="1" errorTitle="Fora da lista" error="Tipo: escolha um valor da lista. A ficha pode não reconhecer outro valor." type="list" errorStyle="warning">
      <formula1>'Dados'!$W$6:$W$10</formula1>
    </dataValidation>
    <dataValidation sqref="D18" showDropDown="0" showInputMessage="0" showErrorMessage="1" allowBlank="1" errorTitle="Valor fora da faixa" error="Nível da Habilidade: use um número inteiro de 1 a 7." type="whole" errorStyle="warning" operator="between">
      <formula1>1</formula1>
      <formula2>7</formula2>
    </dataValidation>
    <dataValidation sqref="E18" showDropDown="0" showInputMessage="0" showErrorMessage="1" allowBlank="1" errorTitle="Fora da lista" error="Em área: escolha um valor da lista. A ficha pode não reconhecer outro valor." type="list" errorStyle="warning">
      <formula1>'Dados'!$AG$6:$AG$7</formula1>
    </dataValidation>
    <dataValidation sqref="F18" showDropDown="0" showInputMessage="0" showErrorMessage="1" allowBlank="1" errorTitle="Fora da lista" error="Resolução: escolha um valor da lista. A ficha pode não reconhecer outro valor." type="list" errorStyle="warning">
      <formula1>'Dados'!$AK$6:$AK$7</formula1>
    </dataValidation>
    <dataValidation sqref="G18" showDropDown="0" showInputMessage="0" showErrorMessage="1" allowBlank="1" errorTitle="Fora da lista" error="Alcance: escolha um valor da lista. A ficha pode não reconhecer outro valor." type="list" errorStyle="warning">
      <formula1>'Dados'!$X$6:$X$10</formula1>
    </dataValidation>
    <dataValidation sqref="H18" showDropDown="0" showInputMessage="0" showErrorMessage="1" allowBlank="1" errorTitle="Fora da lista" error="Ressonância III: escolha um valor da lista. A ficha pode não reconhecer outro valor." type="list" errorStyle="warning">
      <formula1>'Dados'!$AG$6:$AG$7</formula1>
    </dataValidation>
    <dataValidation sqref="C19" showDropDown="0" showInputMessage="0" showErrorMessage="1" allowBlank="1" errorTitle="Fora da lista" error="Tipo: escolha um valor da lista. A ficha pode não reconhecer outro valor." type="list" errorStyle="warning">
      <formula1>'Dados'!$W$6:$W$10</formula1>
    </dataValidation>
    <dataValidation sqref="D19" showDropDown="0" showInputMessage="0" showErrorMessage="1" allowBlank="1" errorTitle="Valor fora da faixa" error="Nível da Habilidade: use um número inteiro de 1 a 7." type="whole" errorStyle="warning" operator="between">
      <formula1>1</formula1>
      <formula2>7</formula2>
    </dataValidation>
    <dataValidation sqref="E19" showDropDown="0" showInputMessage="0" showErrorMessage="1" allowBlank="1" errorTitle="Fora da lista" error="Em área: escolha um valor da lista. A ficha pode não reconhecer outro valor." type="list" errorStyle="warning">
      <formula1>'Dados'!$AG$6:$AG$7</formula1>
    </dataValidation>
    <dataValidation sqref="F19" showDropDown="0" showInputMessage="0" showErrorMessage="1" allowBlank="1" errorTitle="Fora da lista" error="Resolução: escolha um valor da lista. A ficha pode não reconhecer outro valor." type="list" errorStyle="warning">
      <formula1>'Dados'!$AK$6:$AK$7</formula1>
    </dataValidation>
    <dataValidation sqref="G19" showDropDown="0" showInputMessage="0" showErrorMessage="1" allowBlank="1" errorTitle="Fora da lista" error="Alcance: escolha um valor da lista. A ficha pode não reconhecer outro valor." type="list" errorStyle="warning">
      <formula1>'Dados'!$X$6:$X$10</formula1>
    </dataValidation>
    <dataValidation sqref="H19" showDropDown="0" showInputMessage="0" showErrorMessage="1" allowBlank="1" errorTitle="Fora da lista" error="Ressonância III: escolha um valor da lista. A ficha pode não reconhecer outro valor." type="list" errorStyle="warning">
      <formula1>'Dados'!$AG$6:$AG$7</formula1>
    </dataValidation>
    <dataValidation sqref="C56" showDropDown="0" showInputMessage="0" showErrorMessage="1" allowBlank="1" errorTitle="Fora da lista" error="Ultimate: Tipo: escolha um valor da lista. A ficha pode não reconhecer outro valor." type="list" errorStyle="warning">
      <formula1>"Dano,Cura,Buff,Debuff,Controle"</formula1>
    </dataValidation>
    <dataValidation sqref="C57" showDropDown="0" showInputMessage="0" showErrorMessage="1" allowBlank="1" errorTitle="Fora da lista" error="Ultimate: Em área?: escolha um valor da lista. A ficha pode não reconhecer outro valor." type="list" errorStyle="warning">
      <formula1>'Dados'!$AG$6:$AG$7</formula1>
    </dataValidation>
    <dataValidation sqref="C58" showDropDown="0" showInputMessage="0" showErrorMessage="1" allowBlank="1" errorTitle="Fora da lista" error="Ultimate: Resolução: escolha um valor da lista. A ficha pode não reconhecer outro valor." type="list" errorStyle="warning">
      <formula1>'Dados'!$AK$6:$AK$7</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96"/>
  <sheetViews>
    <sheetView showGridLines="1" workbookViewId="0">
      <selection activeCell="A1" sqref="A1"/>
    </sheetView>
  </sheetViews>
  <sheetFormatPr baseColWidth="8" defaultRowHeight="15"/>
  <cols>
    <col width="24" customWidth="1" min="1" max="1"/>
    <col width="12" customWidth="1" min="2" max="2"/>
    <col width="29" customWidth="1" min="3" max="3"/>
    <col width="11.8" customWidth="1" min="4" max="4"/>
    <col width="10" customWidth="1" min="5" max="5"/>
    <col width="17" customWidth="1" min="6" max="6"/>
    <col width="26.7" customWidth="1" min="7" max="7"/>
    <col width="13.6" customWidth="1" min="8" max="8"/>
    <col width="14" customWidth="1" min="9" max="9"/>
    <col width="1" customWidth="1" min="10" max="10"/>
    <col width="4.3" customWidth="1" min="11" max="11"/>
    <col width="22.643" customWidth="1" min="12" max="12"/>
    <col hidden="1" width="2" customWidth="1" min="13" max="13"/>
    <col hidden="1" width="9.4" customWidth="1" min="14" max="14"/>
    <col hidden="1" width="13" customWidth="1" min="16" max="16"/>
    <col hidden="1" width="13" customWidth="1" min="17" max="17"/>
    <col hidden="1" width="13" customWidth="1" min="18" max="18"/>
    <col hidden="1" width="13" customWidth="1" min="19" max="19"/>
    <col hidden="1" width="13" customWidth="1" min="20" max="20"/>
  </cols>
  <sheetData>
    <row r="1" ht="24" customHeight="1">
      <c r="A1" s="1" t="inlineStr">
        <is>
          <t>Caminho — Explorando Galáxias v1.1</t>
        </is>
      </c>
    </row>
    <row r="2" ht="37" customHeight="1">
      <c r="A2" s="2" t="inlineStr">
        <is>
          <t>Legenda:</t>
        </is>
      </c>
      <c r="B2" s="3" t="inlineStr">
        <is>
          <t>Entrada (preencha)</t>
        </is>
      </c>
      <c r="C2" s="4" t="inlineStr">
        <is>
          <t>Calculada (automático)</t>
        </is>
      </c>
      <c r="D2" s="5" t="inlineStr">
        <is>
          <t>Aviso (texto em vermelho)</t>
        </is>
      </c>
      <c r="F2" s="6" t="inlineStr">
        <is>
          <t>Título de bloco</t>
        </is>
      </c>
      <c r="G2" s="7" t="inlineStr">
        <is>
          <t>Cabeçalho de coluna</t>
        </is>
      </c>
      <c r="H2" s="8" t="inlineStr">
        <is>
          <t>Rótulo da linha</t>
        </is>
      </c>
      <c r="I2" s="9" t="inlineStr">
        <is>
          <t>Linha alternada (outro tom)</t>
        </is>
      </c>
      <c r="J2" s="10" t="inlineStr">
        <is>
          <t>Não se aplica</t>
        </is>
      </c>
    </row>
    <row r="3">
      <c r="A3" s="11" t="inlineStr">
        <is>
          <t>O seu Caminho, as Bênçãos adquiridas e o Memoespírito.</t>
        </is>
      </c>
    </row>
    <row r="4"/>
    <row r="5">
      <c r="A5" s="14" t="inlineStr">
        <is>
          <t>Ficha do Caminho (escolha o Caminho na aba Criação, Passo 3)</t>
        </is>
      </c>
    </row>
    <row r="6">
      <c r="A6" s="8" t="inlineStr">
        <is>
          <t>Caminho</t>
        </is>
      </c>
      <c r="B6" s="17">
        <f>IF('Criação'!$Q$33="","Escolha na aba Criação",'Criação'!$Q$33)</f>
        <v/>
      </c>
      <c r="D6" s="12" t="inlineStr">
        <is>
          <t>Aeon</t>
        </is>
      </c>
      <c r="E6" s="22">
        <f>'Criação'!$B$34</f>
        <v/>
      </c>
      <c r="G6" s="12" t="inlineStr">
        <is>
          <t>Atributo de Habilidade usado</t>
        </is>
      </c>
      <c r="H6" s="17">
        <f>'Criação'!$D$54</f>
        <v/>
      </c>
    </row>
    <row r="7">
      <c r="A7" s="8" t="inlineStr">
        <is>
          <t>A ideia</t>
        </is>
      </c>
      <c r="B7" s="22">
        <f>'Criação'!$B$35</f>
        <v/>
      </c>
    </row>
    <row r="8">
      <c r="A8" s="8" t="inlineStr">
        <is>
          <t>N (PV)</t>
        </is>
      </c>
      <c r="B8" s="17">
        <f>'Criação'!$B$36</f>
        <v/>
      </c>
      <c r="C8" s="12" t="inlineStr">
        <is>
          <t>Bônus de Velocidade</t>
        </is>
      </c>
      <c r="D8" s="17">
        <f>'Criação'!$B$37</f>
        <v/>
      </c>
      <c r="E8" s="12" t="inlineStr">
        <is>
          <t>Perícias do Caminho</t>
        </is>
      </c>
      <c r="G8" s="22">
        <f>'Criação'!$B$38&amp;IF('Criação'!$Q$33="",""," · ")&amp;'Criação'!$D$38&amp;IF('Criação'!$Q$33="",""," · ")&amp;'Criação'!$F$38</f>
        <v/>
      </c>
    </row>
    <row r="9">
      <c r="A9" s="8" t="inlineStr">
        <is>
          <t>Recurso próprio</t>
        </is>
      </c>
      <c r="B9" s="22">
        <f>'Criação'!$B$40</f>
        <v/>
      </c>
    </row>
    <row r="10"/>
    <row r="11">
      <c r="A11" s="14" t="inlineStr">
        <is>
          <t>Recurso próprio do Caminho (capítulos 07 a 15)</t>
        </is>
      </c>
    </row>
    <row r="12">
      <c r="A12" s="22">
        <f>IF('Criação'!$Q$33="A Preservação","Teto de Barreira (15.2) = 3 × Eficiência = "&amp;3*'Criação'!$C$14,IF('Criação'!$Q$33="A Caça","Marcação de Presa (14.2): Ação Complementar, 1 inimigo por vez, +1 dado base contra ele.",IF('Criação'!$Q$33="A Euforia","Tabela do Riso (13.2): role 1d6 quando uma Bênção mandar.",IF('Criação'!$Q$33="A Erudição","Acúmulos de Cálculo (12.2): máximo "&amp;IF((COUNTIF($I$27:$I$36,"Teto Rompido")&gt;0),7,5)&amp;" por combate",IF('Criação'!$Q$33="A Recordação","Memoespírito (11.3 a 11.5): monte a ficha dele no bloco abaixo.",IF('Criação'!$Q$33="A Abundância","Nenhum recurso além dos acúmulos das Bênçãos (10.1): Florescimento (até 5).",IF('Criação'!$Q$33="A Harmonia","Nenhum recurso além dos acúmulos das Bênçãos (9.1): Eco da Vitória (até 3).",IF('Criação'!$Q$33="A Inexistência","Nenhum recurso além dos acúmulos das Bênçãos (8.1): Marca do Vazio (até 3) e Corrupção (até 5).",IF('Criação'!$Q$33="A Destruição","PV como moeda (7.2): ativação ou acúmulo de Bênção de custo = 2 × nível = "&amp;2*'Criação'!$A$14&amp;" PV","Escolha o Caminho na aba Criação (Passo 3).")))))))))</f>
        <v/>
      </c>
    </row>
    <row r="13">
      <c r="A13" s="22">
        <f>IF('Criação'!$Q$33="A Preservação","Barreira não acumula com outro PV temporário: fica o maior valor.",IF('Criação'!$Q$33="A Caça","A marca dura até o fim do combate e migra de graça quando o alvo é derrotado.",IF('Criação'!$Q$33="A Euforia","1: Piada interna — +1 dado base no seu próximo ataque neste Ciclo",IF('Criação'!$Q$33="A Erudição","Ganha 1 acúmulo por inimigo atingido por um mesmo ataque, Habilidade ou Ultimate sua.",IF('Criação'!$Q$33="A Recordação","Invocar: Ação Complementar + 1 PH. A Energia das ações dele vale metade para você.",IF('Criação'!$Q$33="A Abundância","Use a frequência e os acúmulos das Bênçãos adquiridas, nos slots abaixo.",IF('Criação'!$Q$33="A Harmonia","Use a frequência e os acúmulos das Bênçãos adquiridas, nos slots abaixo.",IF('Criação'!$Q$33="A Inexistência","Use a frequência e os acúmulos das Bênçãos adquiridas, nos slots abaixo.",IF('Criação'!$Q$33="A Destruição","Dado base comprado no Avatar = 5 × nível = "&amp;(5*'Criação'!$A$14)&amp;" PV","")))))))))</f>
        <v/>
      </c>
    </row>
    <row r="14">
      <c r="A14" s="22">
        <f>IF('Criação'!$Q$33="A Preservação","Cura não repõe Barreira. O dano passa pela RD antes da Barreira.",IF('Criação'!$Q$33="A Caça","Faixa de crítico: "&amp;IF((COUNTIF($I$27:$I$36,"Olho de Lan")&gt;0),"19-20 (Olho de Lan)","20"),IF('Criação'!$Q$33="A Euforia","2: Tropeço cósmico — o inimigo mais próximo é Atrasado em 1 casa (capítulo 19, respeita a Firmeza de Elite e Boss)",IF('Criação'!$Q$33="A Erudição","Gastar 1 acúmulo: +1 alvo para a ação em curso. Gastar 2: +1 dado base no dano.",IF('Criação'!$Q$33="A Destruição","Você escolhe pagar e não pode pagar se o custo for igual ou maior que os seus PV atuais.","")))))</f>
        <v/>
      </c>
    </row>
    <row r="15">
      <c r="A15" s="22">
        <f>IF('Criação'!$Q$33="A Euforia","3: Riso contagioso — um aliado a até Distância Média ganha +2 na próxima rolagem dele",IF('Criação'!$Q$33="A Erudição","Gastar não consome ação. Os acúmulos zeram no fim do combate.",IF('Criação'!$Q$33="A Destruição","PV gastos assim não são dano: não geram Energia, não passam por RD e contam para as Marcas.","")))</f>
        <v/>
      </c>
    </row>
    <row r="16">
      <c r="A16" s="22">
        <f>IF('Criação'!$Q$33="A Euforia","4: Troca de lugar — você e um aliado trocam de casa na Fila; nenhum dos dois pode já ter agido neste Ciclo","")</f>
        <v/>
      </c>
    </row>
    <row r="17">
      <c r="A17" s="22">
        <f>IF('Criação'!$Q$33="A Euforia","5: Sorte do tolo — você ganha Vantagem na sua próxima rolagem neste Ciclo","")</f>
        <v/>
      </c>
    </row>
    <row r="18">
      <c r="A18" s="22">
        <f>IF('Criação'!$Q$33="A Euforia","6: Aha! aprova — o grupo recupera 1 PH (uma vez por Ciclo)","")</f>
        <v/>
      </c>
    </row>
    <row r="19"/>
    <row r="20">
      <c r="A20" s="14" t="inlineStr">
        <is>
          <t>Bênçãos com número na ficha</t>
        </is>
      </c>
    </row>
    <row r="21" ht="30" customHeight="1">
      <c r="A21" s="7" t="inlineStr">
        <is>
          <t>Bênção</t>
        </is>
      </c>
      <c r="B21" s="15" t="n"/>
      <c r="C21" s="7" t="inlineStr">
        <is>
          <t>Custo em PV</t>
        </is>
      </c>
      <c r="D21" s="7" t="inlineStr">
        <is>
          <t>Bônus de dano</t>
        </is>
      </c>
      <c r="E21" s="7" t="inlineStr">
        <is>
          <t>Bônus ferido</t>
        </is>
      </c>
      <c r="F21" s="7" t="inlineStr">
        <is>
          <t>Ferido com PV até</t>
        </is>
      </c>
      <c r="G21" s="7" t="inlineStr">
        <is>
          <t>Como funciona</t>
        </is>
      </c>
      <c r="H21" s="15" t="n"/>
    </row>
    <row r="22" ht="37" customHeight="1">
      <c r="A22" s="8" t="inlineStr">
        <is>
          <t>Pacto da Ruína (7.3, nº 1)</t>
        </is>
      </c>
      <c r="C22" s="17">
        <f>IF((COUNTIF($I$27:$I$36,"Pacto da Ruína")&gt;0),2*'Criação'!$A$14,"")</f>
        <v/>
      </c>
      <c r="D22" s="17">
        <f>IF((COUNTIF($I$27:$I$36,"Pacto da Ruína")&gt;0),'Criação'!$C$14,"")</f>
        <v/>
      </c>
      <c r="E22" s="17">
        <f>IF((COUNTIF($I$27:$I$36,"Pacto da Ruína")&gt;0),2*'Criação'!$C$14,"")</f>
        <v/>
      </c>
      <c r="F22" s="17">
        <f>IF((COUNTIF($I$27:$I$36,"Pacto da Ruína")&gt;0),INT('Criação'!$D$95/2),"")</f>
        <v/>
      </c>
      <c r="G22" s="4">
        <f>IF((COUNTIF($I$27:$I$36,"Pacto da Ruína")&gt;0),"Uma vez por turno: pague o custo e some o bônus ao dano; dobra com metade dos PV ou menos","Só com a Bênção Pacto da Ruína")</f>
        <v/>
      </c>
    </row>
    <row r="23"/>
    <row r="24">
      <c r="A24" s="14" t="inlineStr">
        <is>
          <t>Bênçãos adquiridas — uma por nível ímpar (06.7); o Tier I cabe em qualquer slot</t>
        </is>
      </c>
    </row>
    <row r="25" ht="26" customHeight="1">
      <c r="A25" s="8" t="inlineStr">
        <is>
          <t>Possuídas / permitidas no nível</t>
        </is>
      </c>
      <c r="B25" s="17">
        <f>SUMPRODUCT((LEN($I$27:$I$36)&gt;0)*1)</f>
        <v/>
      </c>
      <c r="C25" s="22">
        <f>"de "&amp;'Criação'!$L$14&amp;" permitidas no nível "&amp;'Criação'!$A$14</f>
        <v/>
      </c>
    </row>
    <row r="26" ht="60" customHeight="1">
      <c r="A26" s="7" t="inlineStr">
        <is>
          <t>Slot</t>
        </is>
      </c>
      <c r="B26" s="7" t="inlineStr">
        <is>
          <t>Nível do slot</t>
        </is>
      </c>
      <c r="C26" s="7" t="inlineStr">
        <is>
          <t>Bênção (preencha)</t>
        </is>
      </c>
      <c r="D26" s="7" t="inlineStr">
        <is>
          <t>Tier</t>
        </is>
      </c>
      <c r="E26" s="7" t="inlineStr">
        <is>
          <t>Requisito (nível)</t>
        </is>
      </c>
      <c r="F26" s="7" t="inlineStr">
        <is>
          <t>Liberado?</t>
        </is>
      </c>
      <c r="G26" s="7" t="inlineStr">
        <is>
          <t>Em uma linha</t>
        </is>
      </c>
      <c r="H26" s="7" t="inlineStr">
        <is>
          <t>Frequência</t>
        </is>
      </c>
      <c r="I26" s="7" t="inlineStr">
        <is>
          <t>Conta na ficha</t>
        </is>
      </c>
      <c r="K26" s="7" t="inlineStr">
        <is>
          <t>Aviso</t>
        </is>
      </c>
      <c r="L26" s="15" t="n"/>
      <c r="N26" s="26" t="inlineStr">
        <is>
          <t>Lista auxiliar: Bênçãos do Caminho</t>
        </is>
      </c>
    </row>
    <row r="27" ht="48" customHeight="1">
      <c r="A27" s="16" t="inlineStr">
        <is>
          <t>Slot 1</t>
        </is>
      </c>
      <c r="B27" s="22" t="n">
        <v>1</v>
      </c>
      <c r="C27" s="23" t="n"/>
      <c r="D27" s="22">
        <f>IF($Q$27="","",IFERROR(INDEX('Dados'!$D$119:$D$226,MATCH($Q$27,'Dados'!$C$119:$C$226,0)),"—"))</f>
        <v/>
      </c>
      <c r="E27" s="22">
        <f>IF($Q$27="","",IFERROR(INDEX('Dados'!$E$119:$E$226,MATCH($Q$27,'Dados'!$C$119:$C$226,0)),""))</f>
        <v/>
      </c>
      <c r="F27" s="22">
        <f>IF('Criação'!$A$14&gt;=1,"Sim","Não (nível 1)")</f>
        <v/>
      </c>
      <c r="G27" s="4">
        <f>IF($Q$27="","",IFERROR(INDEX('Dados'!$F$119:$F$226,MATCH($Q$27,'Dados'!$C$119:$C$226,0)),"Fora do catálogo dos capítulos 07 a 15"))</f>
        <v/>
      </c>
      <c r="H27" s="4">
        <f>IF($Q$27="","",IFERROR(INDEX('Dados'!$G$119:$G$226,MATCH($Q$27,'Dados'!$C$119:$C$226,0)),""))</f>
        <v/>
      </c>
      <c r="I27" s="4">
        <f>IF(AND($Q$27&lt;&gt;"",'Criação'!$A$14&gt;=1),$Q$27,"")</f>
        <v/>
      </c>
      <c r="K27" s="13">
        <f>IF(T27&gt;0,"O Google leu como fórmula: escolha de novo na lista.",IF($Q$27="","",IF('Criação'!$A$14&lt;1,"Slot ainda não liberado (nível 1). ","")&amp;IF(ISERROR(MATCH($Q$27,'Dados'!$C$119:$C$226,0)),"Bênção fora do catálogo dos capítulos 07 a 15. ",IF(INDEX('Dados'!$A$119:$A$226,MATCH($Q$27,'Dados'!$C$119:$C$226,0))&lt;&gt;'Criação'!$Q$33,"Bênção de outro Caminho ("&amp;INDEX('Dados'!$A$119:$A$226,MATCH($Q$27,'Dados'!$C$119:$C$226,0))&amp;"). ",IF(INDEX('Dados'!$E$119:$E$226,MATCH($Q$27,'Dados'!$C$119:$C$226,0))&gt;1,"Tier "&amp;INDEX('Dados'!$D$119:$D$226,MATCH($Q$27,'Dados'!$C$119:$C$226,0))&amp;" exige slot de nível "&amp;INDEX('Dados'!$E$119:$E$226,MATCH($Q$27,'Dados'!$C$119:$C$226,0))&amp;" ou mais. ","")))&amp;IF(COUNTIF($Q$27:$Q$36,$Q$27)&gt;1,"Bênção repetida.","")))</f>
        <v/>
      </c>
      <c r="N27" s="25">
        <f>IF('Criação'!$Q$33="","",IFERROR(INDEX('Dados'!$C$119:$C$226,MATCH('Criação'!$Q$33,'Dados'!$A$119:$A$226,0)+0),""))</f>
        <v/>
      </c>
      <c r="Q27">
        <f>IF(ISERROR($C$27),"",IF(ISBLANK($C$27),"",$C$27))</f>
        <v/>
      </c>
      <c r="T27">
        <f>ISERROR($C$27)*1</f>
        <v/>
      </c>
    </row>
    <row r="28" ht="48" customHeight="1">
      <c r="A28" s="18" t="inlineStr">
        <is>
          <t>Slot 2</t>
        </is>
      </c>
      <c r="B28" s="21" t="n">
        <v>3</v>
      </c>
      <c r="C28" s="36" t="n"/>
      <c r="D28" s="21">
        <f>IF($Q$28="","",IFERROR(INDEX('Dados'!$D$119:$D$226,MATCH($Q$28,'Dados'!$C$119:$C$226,0)),"—"))</f>
        <v/>
      </c>
      <c r="E28" s="21">
        <f>IF($Q$28="","",IFERROR(INDEX('Dados'!$E$119:$E$226,MATCH($Q$28,'Dados'!$C$119:$C$226,0)),""))</f>
        <v/>
      </c>
      <c r="F28" s="21">
        <f>IF('Criação'!$A$14&gt;=3,"Sim","Não (nível 3)")</f>
        <v/>
      </c>
      <c r="G28" s="9">
        <f>IF($Q$28="","",IFERROR(INDEX('Dados'!$F$119:$F$226,MATCH($Q$28,'Dados'!$C$119:$C$226,0)),"Fora do catálogo dos capítulos 07 a 15"))</f>
        <v/>
      </c>
      <c r="H28" s="9">
        <f>IF($Q$28="","",IFERROR(INDEX('Dados'!$G$119:$G$226,MATCH($Q$28,'Dados'!$C$119:$C$226,0)),""))</f>
        <v/>
      </c>
      <c r="I28" s="9">
        <f>IF(AND($Q$28&lt;&gt;"",'Criação'!$A$14&gt;=3),$Q$28,"")</f>
        <v/>
      </c>
      <c r="J28" s="35" t="n"/>
      <c r="K28" s="20">
        <f>IF(T28&gt;0,"O Google leu como fórmula: escolha de novo na lista.",IF($Q$28="","",IF('Criação'!$A$14&lt;3,"Slot ainda não liberado (nível 3). ","")&amp;IF(ISERROR(MATCH($Q$28,'Dados'!$C$119:$C$226,0)),"Bênção fora do catálogo dos capítulos 07 a 15. ",IF(INDEX('Dados'!$A$119:$A$226,MATCH($Q$28,'Dados'!$C$119:$C$226,0))&lt;&gt;'Criação'!$Q$33,"Bênção de outro Caminho ("&amp;INDEX('Dados'!$A$119:$A$226,MATCH($Q$28,'Dados'!$C$119:$C$226,0))&amp;"). ",IF(INDEX('Dados'!$E$119:$E$226,MATCH($Q$28,'Dados'!$C$119:$C$226,0))&gt;3,"Tier "&amp;INDEX('Dados'!$D$119:$D$226,MATCH($Q$28,'Dados'!$C$119:$C$226,0))&amp;" exige slot de nível "&amp;INDEX('Dados'!$E$119:$E$226,MATCH($Q$28,'Dados'!$C$119:$C$226,0))&amp;" ou mais. ","")))&amp;IF(COUNTIF($Q$27:$Q$36,$Q$28)&gt;1,"Bênção repetida.","")))</f>
        <v/>
      </c>
      <c r="N28" s="25">
        <f>IF('Criação'!$Q$33="","",IFERROR(INDEX('Dados'!$C$119:$C$226,MATCH('Criação'!$Q$33,'Dados'!$A$119:$A$226,0)+1),""))</f>
        <v/>
      </c>
      <c r="Q28">
        <f>IF(ISERROR($C$28),"",IF(ISBLANK($C$28),"",$C$28))</f>
        <v/>
      </c>
      <c r="T28">
        <f>ISERROR($C$28)*1</f>
        <v/>
      </c>
    </row>
    <row r="29" ht="48" customHeight="1">
      <c r="A29" s="16" t="inlineStr">
        <is>
          <t>Slot 3</t>
        </is>
      </c>
      <c r="B29" s="22" t="n">
        <v>5</v>
      </c>
      <c r="C29" s="23" t="n"/>
      <c r="D29" s="22">
        <f>IF($Q$29="","",IFERROR(INDEX('Dados'!$D$119:$D$226,MATCH($Q$29,'Dados'!$C$119:$C$226,0)),"—"))</f>
        <v/>
      </c>
      <c r="E29" s="22">
        <f>IF($Q$29="","",IFERROR(INDEX('Dados'!$E$119:$E$226,MATCH($Q$29,'Dados'!$C$119:$C$226,0)),""))</f>
        <v/>
      </c>
      <c r="F29" s="22">
        <f>IF('Criação'!$A$14&gt;=5,"Sim","Não (nível 5)")</f>
        <v/>
      </c>
      <c r="G29" s="4">
        <f>IF($Q$29="","",IFERROR(INDEX('Dados'!$F$119:$F$226,MATCH($Q$29,'Dados'!$C$119:$C$226,0)),"Fora do catálogo dos capítulos 07 a 15"))</f>
        <v/>
      </c>
      <c r="H29" s="4">
        <f>IF($Q$29="","",IFERROR(INDEX('Dados'!$G$119:$G$226,MATCH($Q$29,'Dados'!$C$119:$C$226,0)),""))</f>
        <v/>
      </c>
      <c r="I29" s="4">
        <f>IF(AND($Q$29&lt;&gt;"",'Criação'!$A$14&gt;=5),$Q$29,"")</f>
        <v/>
      </c>
      <c r="K29" s="13">
        <f>IF(T29&gt;0,"O Google leu como fórmula: escolha de novo na lista.",IF($Q$29="","",IF('Criação'!$A$14&lt;5,"Slot ainda não liberado (nível 5). ","")&amp;IF(ISERROR(MATCH($Q$29,'Dados'!$C$119:$C$226,0)),"Bênção fora do catálogo dos capítulos 07 a 15. ",IF(INDEX('Dados'!$A$119:$A$226,MATCH($Q$29,'Dados'!$C$119:$C$226,0))&lt;&gt;'Criação'!$Q$33,"Bênção de outro Caminho ("&amp;INDEX('Dados'!$A$119:$A$226,MATCH($Q$29,'Dados'!$C$119:$C$226,0))&amp;"). ",IF(INDEX('Dados'!$E$119:$E$226,MATCH($Q$29,'Dados'!$C$119:$C$226,0))&gt;5,"Tier "&amp;INDEX('Dados'!$D$119:$D$226,MATCH($Q$29,'Dados'!$C$119:$C$226,0))&amp;" exige slot de nível "&amp;INDEX('Dados'!$E$119:$E$226,MATCH($Q$29,'Dados'!$C$119:$C$226,0))&amp;" ou mais. ","")))&amp;IF(COUNTIF($Q$27:$Q$36,$Q$29)&gt;1,"Bênção repetida.","")))</f>
        <v/>
      </c>
      <c r="N29" s="25">
        <f>IF('Criação'!$Q$33="","",IFERROR(INDEX('Dados'!$C$119:$C$226,MATCH('Criação'!$Q$33,'Dados'!$A$119:$A$226,0)+2),""))</f>
        <v/>
      </c>
      <c r="Q29">
        <f>IF(ISERROR($C$29),"",IF(ISBLANK($C$29),"",$C$29))</f>
        <v/>
      </c>
      <c r="T29">
        <f>ISERROR($C$29)*1</f>
        <v/>
      </c>
    </row>
    <row r="30" ht="48" customHeight="1">
      <c r="A30" s="18" t="inlineStr">
        <is>
          <t>Slot 4</t>
        </is>
      </c>
      <c r="B30" s="21" t="n">
        <v>7</v>
      </c>
      <c r="C30" s="36" t="n"/>
      <c r="D30" s="21">
        <f>IF($Q$30="","",IFERROR(INDEX('Dados'!$D$119:$D$226,MATCH($Q$30,'Dados'!$C$119:$C$226,0)),"—"))</f>
        <v/>
      </c>
      <c r="E30" s="21">
        <f>IF($Q$30="","",IFERROR(INDEX('Dados'!$E$119:$E$226,MATCH($Q$30,'Dados'!$C$119:$C$226,0)),""))</f>
        <v/>
      </c>
      <c r="F30" s="21">
        <f>IF('Criação'!$A$14&gt;=7,"Sim","Não (nível 7)")</f>
        <v/>
      </c>
      <c r="G30" s="9">
        <f>IF($Q$30="","",IFERROR(INDEX('Dados'!$F$119:$F$226,MATCH($Q$30,'Dados'!$C$119:$C$226,0)),"Fora do catálogo dos capítulos 07 a 15"))</f>
        <v/>
      </c>
      <c r="H30" s="9">
        <f>IF($Q$30="","",IFERROR(INDEX('Dados'!$G$119:$G$226,MATCH($Q$30,'Dados'!$C$119:$C$226,0)),""))</f>
        <v/>
      </c>
      <c r="I30" s="9">
        <f>IF(AND($Q$30&lt;&gt;"",'Criação'!$A$14&gt;=7),$Q$30,"")</f>
        <v/>
      </c>
      <c r="J30" s="35" t="n"/>
      <c r="K30" s="20">
        <f>IF(T30&gt;0,"O Google leu como fórmula: escolha de novo na lista.",IF($Q$30="","",IF('Criação'!$A$14&lt;7,"Slot ainda não liberado (nível 7). ","")&amp;IF(ISERROR(MATCH($Q$30,'Dados'!$C$119:$C$226,0)),"Bênção fora do catálogo dos capítulos 07 a 15. ",IF(INDEX('Dados'!$A$119:$A$226,MATCH($Q$30,'Dados'!$C$119:$C$226,0))&lt;&gt;'Criação'!$Q$33,"Bênção de outro Caminho ("&amp;INDEX('Dados'!$A$119:$A$226,MATCH($Q$30,'Dados'!$C$119:$C$226,0))&amp;"). ",IF(INDEX('Dados'!$E$119:$E$226,MATCH($Q$30,'Dados'!$C$119:$C$226,0))&gt;7,"Tier "&amp;INDEX('Dados'!$D$119:$D$226,MATCH($Q$30,'Dados'!$C$119:$C$226,0))&amp;" exige slot de nível "&amp;INDEX('Dados'!$E$119:$E$226,MATCH($Q$30,'Dados'!$C$119:$C$226,0))&amp;" ou mais. ","")))&amp;IF(COUNTIF($Q$27:$Q$36,$Q$30)&gt;1,"Bênção repetida.","")))</f>
        <v/>
      </c>
      <c r="N30" s="25">
        <f>IF('Criação'!$Q$33="","",IFERROR(INDEX('Dados'!$C$119:$C$226,MATCH('Criação'!$Q$33,'Dados'!$A$119:$A$226,0)+3),""))</f>
        <v/>
      </c>
      <c r="Q30">
        <f>IF(ISERROR($C$30),"",IF(ISBLANK($C$30),"",$C$30))</f>
        <v/>
      </c>
      <c r="T30">
        <f>ISERROR($C$30)*1</f>
        <v/>
      </c>
    </row>
    <row r="31" ht="48" customHeight="1">
      <c r="A31" s="16" t="inlineStr">
        <is>
          <t>Slot 5</t>
        </is>
      </c>
      <c r="B31" s="22" t="n">
        <v>9</v>
      </c>
      <c r="C31" s="23" t="n"/>
      <c r="D31" s="22">
        <f>IF($Q$31="","",IFERROR(INDEX('Dados'!$D$119:$D$226,MATCH($Q$31,'Dados'!$C$119:$C$226,0)),"—"))</f>
        <v/>
      </c>
      <c r="E31" s="22">
        <f>IF($Q$31="","",IFERROR(INDEX('Dados'!$E$119:$E$226,MATCH($Q$31,'Dados'!$C$119:$C$226,0)),""))</f>
        <v/>
      </c>
      <c r="F31" s="22">
        <f>IF('Criação'!$A$14&gt;=9,"Sim","Não (nível 9)")</f>
        <v/>
      </c>
      <c r="G31" s="4">
        <f>IF($Q$31="","",IFERROR(INDEX('Dados'!$F$119:$F$226,MATCH($Q$31,'Dados'!$C$119:$C$226,0)),"Fora do catálogo dos capítulos 07 a 15"))</f>
        <v/>
      </c>
      <c r="H31" s="4">
        <f>IF($Q$31="","",IFERROR(INDEX('Dados'!$G$119:$G$226,MATCH($Q$31,'Dados'!$C$119:$C$226,0)),""))</f>
        <v/>
      </c>
      <c r="I31" s="4">
        <f>IF(AND($Q$31&lt;&gt;"",'Criação'!$A$14&gt;=9),$Q$31,"")</f>
        <v/>
      </c>
      <c r="K31" s="13">
        <f>IF(T31&gt;0,"O Google leu como fórmula: escolha de novo na lista.",IF($Q$31="","",IF('Criação'!$A$14&lt;9,"Slot ainda não liberado (nível 9). ","")&amp;IF(ISERROR(MATCH($Q$31,'Dados'!$C$119:$C$226,0)),"Bênção fora do catálogo dos capítulos 07 a 15. ",IF(INDEX('Dados'!$A$119:$A$226,MATCH($Q$31,'Dados'!$C$119:$C$226,0))&lt;&gt;'Criação'!$Q$33,"Bênção de outro Caminho ("&amp;INDEX('Dados'!$A$119:$A$226,MATCH($Q$31,'Dados'!$C$119:$C$226,0))&amp;"). ",IF(INDEX('Dados'!$E$119:$E$226,MATCH($Q$31,'Dados'!$C$119:$C$226,0))&gt;9,"Tier "&amp;INDEX('Dados'!$D$119:$D$226,MATCH($Q$31,'Dados'!$C$119:$C$226,0))&amp;" exige slot de nível "&amp;INDEX('Dados'!$E$119:$E$226,MATCH($Q$31,'Dados'!$C$119:$C$226,0))&amp;" ou mais. ","")))&amp;IF(COUNTIF($Q$27:$Q$36,$Q$31)&gt;1,"Bênção repetida.","")))</f>
        <v/>
      </c>
      <c r="N31" s="25">
        <f>IF('Criação'!$Q$33="","",IFERROR(INDEX('Dados'!$C$119:$C$226,MATCH('Criação'!$Q$33,'Dados'!$A$119:$A$226,0)+4),""))</f>
        <v/>
      </c>
      <c r="Q31">
        <f>IF(ISERROR($C$31),"",IF(ISBLANK($C$31),"",$C$31))</f>
        <v/>
      </c>
      <c r="T31">
        <f>ISERROR($C$31)*1</f>
        <v/>
      </c>
    </row>
    <row r="32" ht="48" customHeight="1">
      <c r="A32" s="18" t="inlineStr">
        <is>
          <t>Slot 6</t>
        </is>
      </c>
      <c r="B32" s="21" t="n">
        <v>11</v>
      </c>
      <c r="C32" s="36" t="n"/>
      <c r="D32" s="21">
        <f>IF($Q$32="","",IFERROR(INDEX('Dados'!$D$119:$D$226,MATCH($Q$32,'Dados'!$C$119:$C$226,0)),"—"))</f>
        <v/>
      </c>
      <c r="E32" s="21">
        <f>IF($Q$32="","",IFERROR(INDEX('Dados'!$E$119:$E$226,MATCH($Q$32,'Dados'!$C$119:$C$226,0)),""))</f>
        <v/>
      </c>
      <c r="F32" s="21">
        <f>IF('Criação'!$A$14&gt;=11,"Sim","Não (nível 11)")</f>
        <v/>
      </c>
      <c r="G32" s="9">
        <f>IF($Q$32="","",IFERROR(INDEX('Dados'!$F$119:$F$226,MATCH($Q$32,'Dados'!$C$119:$C$226,0)),"Fora do catálogo dos capítulos 07 a 15"))</f>
        <v/>
      </c>
      <c r="H32" s="9">
        <f>IF($Q$32="","",IFERROR(INDEX('Dados'!$G$119:$G$226,MATCH($Q$32,'Dados'!$C$119:$C$226,0)),""))</f>
        <v/>
      </c>
      <c r="I32" s="9">
        <f>IF(AND($Q$32&lt;&gt;"",'Criação'!$A$14&gt;=11),$Q$32,"")</f>
        <v/>
      </c>
      <c r="J32" s="35" t="n"/>
      <c r="K32" s="20">
        <f>IF(T32&gt;0,"O Google leu como fórmula: escolha de novo na lista.",IF($Q$32="","",IF('Criação'!$A$14&lt;11,"Slot ainda não liberado (nível 11). ","")&amp;IF(ISERROR(MATCH($Q$32,'Dados'!$C$119:$C$226,0)),"Bênção fora do catálogo dos capítulos 07 a 15. ",IF(INDEX('Dados'!$A$119:$A$226,MATCH($Q$32,'Dados'!$C$119:$C$226,0))&lt;&gt;'Criação'!$Q$33,"Bênção de outro Caminho ("&amp;INDEX('Dados'!$A$119:$A$226,MATCH($Q$32,'Dados'!$C$119:$C$226,0))&amp;"). ",IF(INDEX('Dados'!$E$119:$E$226,MATCH($Q$32,'Dados'!$C$119:$C$226,0))&gt;11,"Tier "&amp;INDEX('Dados'!$D$119:$D$226,MATCH($Q$32,'Dados'!$C$119:$C$226,0))&amp;" exige slot de nível "&amp;INDEX('Dados'!$E$119:$E$226,MATCH($Q$32,'Dados'!$C$119:$C$226,0))&amp;" ou mais. ","")))&amp;IF(COUNTIF($Q$27:$Q$36,$Q$32)&gt;1,"Bênção repetida.","")))</f>
        <v/>
      </c>
      <c r="N32" s="25">
        <f>IF('Criação'!$Q$33="","",IFERROR(INDEX('Dados'!$C$119:$C$226,MATCH('Criação'!$Q$33,'Dados'!$A$119:$A$226,0)+5),""))</f>
        <v/>
      </c>
      <c r="Q32">
        <f>IF(ISERROR($C$32),"",IF(ISBLANK($C$32),"",$C$32))</f>
        <v/>
      </c>
      <c r="T32">
        <f>ISERROR($C$32)*1</f>
        <v/>
      </c>
    </row>
    <row r="33" ht="48" customHeight="1">
      <c r="A33" s="16" t="inlineStr">
        <is>
          <t>Slot 7</t>
        </is>
      </c>
      <c r="B33" s="22" t="n">
        <v>13</v>
      </c>
      <c r="C33" s="23" t="n"/>
      <c r="D33" s="22">
        <f>IF($Q$33="","",IFERROR(INDEX('Dados'!$D$119:$D$226,MATCH($Q$33,'Dados'!$C$119:$C$226,0)),"—"))</f>
        <v/>
      </c>
      <c r="E33" s="22">
        <f>IF($Q$33="","",IFERROR(INDEX('Dados'!$E$119:$E$226,MATCH($Q$33,'Dados'!$C$119:$C$226,0)),""))</f>
        <v/>
      </c>
      <c r="F33" s="22">
        <f>IF('Criação'!$A$14&gt;=13,"Sim","Não (nível 13)")</f>
        <v/>
      </c>
      <c r="G33" s="4">
        <f>IF($Q$33="","",IFERROR(INDEX('Dados'!$F$119:$F$226,MATCH($Q$33,'Dados'!$C$119:$C$226,0)),"Fora do catálogo dos capítulos 07 a 15"))</f>
        <v/>
      </c>
      <c r="H33" s="4">
        <f>IF($Q$33="","",IFERROR(INDEX('Dados'!$G$119:$G$226,MATCH($Q$33,'Dados'!$C$119:$C$226,0)),""))</f>
        <v/>
      </c>
      <c r="I33" s="4">
        <f>IF(AND($Q$33&lt;&gt;"",'Criação'!$A$14&gt;=13),$Q$33,"")</f>
        <v/>
      </c>
      <c r="K33" s="13">
        <f>IF(T33&gt;0,"O Google leu como fórmula: escolha de novo na lista.",IF($Q$33="","",IF('Criação'!$A$14&lt;13,"Slot ainda não liberado (nível 13). ","")&amp;IF(ISERROR(MATCH($Q$33,'Dados'!$C$119:$C$226,0)),"Bênção fora do catálogo dos capítulos 07 a 15. ",IF(INDEX('Dados'!$A$119:$A$226,MATCH($Q$33,'Dados'!$C$119:$C$226,0))&lt;&gt;'Criação'!$Q$33,"Bênção de outro Caminho ("&amp;INDEX('Dados'!$A$119:$A$226,MATCH($Q$33,'Dados'!$C$119:$C$226,0))&amp;"). ",IF(INDEX('Dados'!$E$119:$E$226,MATCH($Q$33,'Dados'!$C$119:$C$226,0))&gt;13,"Tier "&amp;INDEX('Dados'!$D$119:$D$226,MATCH($Q$33,'Dados'!$C$119:$C$226,0))&amp;" exige slot de nível "&amp;INDEX('Dados'!$E$119:$E$226,MATCH($Q$33,'Dados'!$C$119:$C$226,0))&amp;" ou mais. ","")))&amp;IF(COUNTIF($Q$27:$Q$36,$Q$33)&gt;1,"Bênção repetida.","")))</f>
        <v/>
      </c>
      <c r="N33" s="25">
        <f>IF('Criação'!$Q$33="","",IFERROR(INDEX('Dados'!$C$119:$C$226,MATCH('Criação'!$Q$33,'Dados'!$A$119:$A$226,0)+6),""))</f>
        <v/>
      </c>
      <c r="Q33">
        <f>IF(ISERROR($C$33),"",IF(ISBLANK($C$33),"",$C$33))</f>
        <v/>
      </c>
      <c r="T33">
        <f>ISERROR($C$33)*1</f>
        <v/>
      </c>
    </row>
    <row r="34" ht="48" customHeight="1">
      <c r="A34" s="18" t="inlineStr">
        <is>
          <t>Slot 8</t>
        </is>
      </c>
      <c r="B34" s="21" t="n">
        <v>15</v>
      </c>
      <c r="C34" s="36" t="n"/>
      <c r="D34" s="21">
        <f>IF($Q$34="","",IFERROR(INDEX('Dados'!$D$119:$D$226,MATCH($Q$34,'Dados'!$C$119:$C$226,0)),"—"))</f>
        <v/>
      </c>
      <c r="E34" s="21">
        <f>IF($Q$34="","",IFERROR(INDEX('Dados'!$E$119:$E$226,MATCH($Q$34,'Dados'!$C$119:$C$226,0)),""))</f>
        <v/>
      </c>
      <c r="F34" s="21">
        <f>IF('Criação'!$A$14&gt;=15,"Sim","Não (nível 15)")</f>
        <v/>
      </c>
      <c r="G34" s="9">
        <f>IF($Q$34="","",IFERROR(INDEX('Dados'!$F$119:$F$226,MATCH($Q$34,'Dados'!$C$119:$C$226,0)),"Fora do catálogo dos capítulos 07 a 15"))</f>
        <v/>
      </c>
      <c r="H34" s="9">
        <f>IF($Q$34="","",IFERROR(INDEX('Dados'!$G$119:$G$226,MATCH($Q$34,'Dados'!$C$119:$C$226,0)),""))</f>
        <v/>
      </c>
      <c r="I34" s="9">
        <f>IF(AND($Q$34&lt;&gt;"",'Criação'!$A$14&gt;=15),$Q$34,"")</f>
        <v/>
      </c>
      <c r="J34" s="35" t="n"/>
      <c r="K34" s="20">
        <f>IF(T34&gt;0,"O Google leu como fórmula: escolha de novo na lista.",IF($Q$34="","",IF('Criação'!$A$14&lt;15,"Slot ainda não liberado (nível 15). ","")&amp;IF(ISERROR(MATCH($Q$34,'Dados'!$C$119:$C$226,0)),"Bênção fora do catálogo dos capítulos 07 a 15. ",IF(INDEX('Dados'!$A$119:$A$226,MATCH($Q$34,'Dados'!$C$119:$C$226,0))&lt;&gt;'Criação'!$Q$33,"Bênção de outro Caminho ("&amp;INDEX('Dados'!$A$119:$A$226,MATCH($Q$34,'Dados'!$C$119:$C$226,0))&amp;"). ",IF(INDEX('Dados'!$E$119:$E$226,MATCH($Q$34,'Dados'!$C$119:$C$226,0))&gt;15,"Tier "&amp;INDEX('Dados'!$D$119:$D$226,MATCH($Q$34,'Dados'!$C$119:$C$226,0))&amp;" exige slot de nível "&amp;INDEX('Dados'!$E$119:$E$226,MATCH($Q$34,'Dados'!$C$119:$C$226,0))&amp;" ou mais. ","")))&amp;IF(COUNTIF($Q$27:$Q$36,$Q$34)&gt;1,"Bênção repetida.","")))</f>
        <v/>
      </c>
      <c r="N34" s="25">
        <f>IF('Criação'!$Q$33="","",IFERROR(INDEX('Dados'!$C$119:$C$226,MATCH('Criação'!$Q$33,'Dados'!$A$119:$A$226,0)+7),""))</f>
        <v/>
      </c>
      <c r="Q34">
        <f>IF(ISERROR($C$34),"",IF(ISBLANK($C$34),"",$C$34))</f>
        <v/>
      </c>
      <c r="T34">
        <f>ISERROR($C$34)*1</f>
        <v/>
      </c>
    </row>
    <row r="35" ht="48" customHeight="1">
      <c r="A35" s="16" t="inlineStr">
        <is>
          <t>Slot 9</t>
        </is>
      </c>
      <c r="B35" s="22" t="n">
        <v>17</v>
      </c>
      <c r="C35" s="23" t="n"/>
      <c r="D35" s="22">
        <f>IF($Q$35="","",IFERROR(INDEX('Dados'!$D$119:$D$226,MATCH($Q$35,'Dados'!$C$119:$C$226,0)),"—"))</f>
        <v/>
      </c>
      <c r="E35" s="22">
        <f>IF($Q$35="","",IFERROR(INDEX('Dados'!$E$119:$E$226,MATCH($Q$35,'Dados'!$C$119:$C$226,0)),""))</f>
        <v/>
      </c>
      <c r="F35" s="22">
        <f>IF('Criação'!$A$14&gt;=17,"Sim","Não (nível 17)")</f>
        <v/>
      </c>
      <c r="G35" s="4">
        <f>IF($Q$35="","",IFERROR(INDEX('Dados'!$F$119:$F$226,MATCH($Q$35,'Dados'!$C$119:$C$226,0)),"Fora do catálogo dos capítulos 07 a 15"))</f>
        <v/>
      </c>
      <c r="H35" s="4">
        <f>IF($Q$35="","",IFERROR(INDEX('Dados'!$G$119:$G$226,MATCH($Q$35,'Dados'!$C$119:$C$226,0)),""))</f>
        <v/>
      </c>
      <c r="I35" s="4">
        <f>IF(AND($Q$35&lt;&gt;"",'Criação'!$A$14&gt;=17),$Q$35,"")</f>
        <v/>
      </c>
      <c r="K35" s="13">
        <f>IF(T35&gt;0,"O Google leu como fórmula: escolha de novo na lista.",IF($Q$35="","",IF('Criação'!$A$14&lt;17,"Slot ainda não liberado (nível 17). ","")&amp;IF(ISERROR(MATCH($Q$35,'Dados'!$C$119:$C$226,0)),"Bênção fora do catálogo dos capítulos 07 a 15. ",IF(INDEX('Dados'!$A$119:$A$226,MATCH($Q$35,'Dados'!$C$119:$C$226,0))&lt;&gt;'Criação'!$Q$33,"Bênção de outro Caminho ("&amp;INDEX('Dados'!$A$119:$A$226,MATCH($Q$35,'Dados'!$C$119:$C$226,0))&amp;"). ",IF(INDEX('Dados'!$E$119:$E$226,MATCH($Q$35,'Dados'!$C$119:$C$226,0))&gt;17,"Tier "&amp;INDEX('Dados'!$D$119:$D$226,MATCH($Q$35,'Dados'!$C$119:$C$226,0))&amp;" exige slot de nível "&amp;INDEX('Dados'!$E$119:$E$226,MATCH($Q$35,'Dados'!$C$119:$C$226,0))&amp;" ou mais. ","")))&amp;IF(COUNTIF($Q$27:$Q$36,$Q$35)&gt;1,"Bênção repetida.","")))</f>
        <v/>
      </c>
      <c r="N35" s="25">
        <f>IF('Criação'!$Q$33="","",IFERROR(INDEX('Dados'!$C$119:$C$226,MATCH('Criação'!$Q$33,'Dados'!$A$119:$A$226,0)+8),""))</f>
        <v/>
      </c>
      <c r="Q35">
        <f>IF(ISERROR($C$35),"",IF(ISBLANK($C$35),"",$C$35))</f>
        <v/>
      </c>
      <c r="T35">
        <f>ISERROR($C$35)*1</f>
        <v/>
      </c>
    </row>
    <row r="36" ht="48" customHeight="1">
      <c r="A36" s="18" t="inlineStr">
        <is>
          <t>Slot 10</t>
        </is>
      </c>
      <c r="B36" s="21" t="n">
        <v>19</v>
      </c>
      <c r="C36" s="36" t="n"/>
      <c r="D36" s="21">
        <f>IF($Q$36="","",IFERROR(INDEX('Dados'!$D$119:$D$226,MATCH($Q$36,'Dados'!$C$119:$C$226,0)),"—"))</f>
        <v/>
      </c>
      <c r="E36" s="21">
        <f>IF($Q$36="","",IFERROR(INDEX('Dados'!$E$119:$E$226,MATCH($Q$36,'Dados'!$C$119:$C$226,0)),""))</f>
        <v/>
      </c>
      <c r="F36" s="21">
        <f>IF('Criação'!$A$14&gt;=19,"Sim","Não (nível 19)")</f>
        <v/>
      </c>
      <c r="G36" s="9">
        <f>IF($Q$36="","",IFERROR(INDEX('Dados'!$F$119:$F$226,MATCH($Q$36,'Dados'!$C$119:$C$226,0)),"Fora do catálogo dos capítulos 07 a 15"))</f>
        <v/>
      </c>
      <c r="H36" s="9">
        <f>IF($Q$36="","",IFERROR(INDEX('Dados'!$G$119:$G$226,MATCH($Q$36,'Dados'!$C$119:$C$226,0)),""))</f>
        <v/>
      </c>
      <c r="I36" s="9">
        <f>IF(AND($Q$36&lt;&gt;"",'Criação'!$A$14&gt;=19),$Q$36,"")</f>
        <v/>
      </c>
      <c r="J36" s="35" t="n"/>
      <c r="K36" s="20">
        <f>IF(T36&gt;0,"O Google leu como fórmula: escolha de novo na lista.",IF($Q$36="","",IF('Criação'!$A$14&lt;19,"Slot ainda não liberado (nível 19). ","")&amp;IF(ISERROR(MATCH($Q$36,'Dados'!$C$119:$C$226,0)),"Bênção fora do catálogo dos capítulos 07 a 15. ",IF(INDEX('Dados'!$A$119:$A$226,MATCH($Q$36,'Dados'!$C$119:$C$226,0))&lt;&gt;'Criação'!$Q$33,"Bênção de outro Caminho ("&amp;INDEX('Dados'!$A$119:$A$226,MATCH($Q$36,'Dados'!$C$119:$C$226,0))&amp;"). ",IF(INDEX('Dados'!$E$119:$E$226,MATCH($Q$36,'Dados'!$C$119:$C$226,0))&gt;19,"Tier "&amp;INDEX('Dados'!$D$119:$D$226,MATCH($Q$36,'Dados'!$C$119:$C$226,0))&amp;" exige slot de nível "&amp;INDEX('Dados'!$E$119:$E$226,MATCH($Q$36,'Dados'!$C$119:$C$226,0))&amp;" ou mais. ","")))&amp;IF(COUNTIF($Q$27:$Q$36,$Q$36)&gt;1,"Bênção repetida.","")))</f>
        <v/>
      </c>
      <c r="N36" s="25">
        <f>IF('Criação'!$Q$33="","",IFERROR(INDEX('Dados'!$C$119:$C$226,MATCH('Criação'!$Q$33,'Dados'!$A$119:$A$226,0)+9),""))</f>
        <v/>
      </c>
      <c r="Q36">
        <f>IF(ISERROR($C$36),"",IF(ISBLANK($C$36),"",$C$36))</f>
        <v/>
      </c>
      <c r="T36">
        <f>ISERROR($C$36)*1</f>
        <v/>
      </c>
    </row>
    <row r="37">
      <c r="N37" s="25">
        <f>IF('Criação'!$Q$33="","",IFERROR(INDEX('Dados'!$C$119:$C$226,MATCH('Criação'!$Q$33,'Dados'!$A$119:$A$226,0)+10),""))</f>
        <v/>
      </c>
    </row>
    <row r="38">
      <c r="A38" s="14" t="inlineStr">
        <is>
          <t>Catálogo das 12 Bênçãos do seu Caminho</t>
        </is>
      </c>
      <c r="N38" s="25">
        <f>IF('Criação'!$Q$33="","",IFERROR(INDEX('Dados'!$C$119:$C$226,MATCH('Criação'!$Q$33,'Dados'!$A$119:$A$226,0)+11),""))</f>
        <v/>
      </c>
    </row>
    <row r="39" ht="30" customHeight="1">
      <c r="A39" s="7" t="inlineStr">
        <is>
          <t>Nº</t>
        </is>
      </c>
      <c r="C39" s="7" t="inlineStr">
        <is>
          <t>Bênção</t>
        </is>
      </c>
      <c r="D39" s="7" t="inlineStr">
        <is>
          <t>Tier</t>
        </is>
      </c>
      <c r="E39" s="7" t="inlineStr">
        <is>
          <t>Requisito (nível)</t>
        </is>
      </c>
      <c r="F39" s="7" t="inlineStr">
        <is>
          <t>Pode escolher agora?</t>
        </is>
      </c>
      <c r="G39" s="7" t="inlineStr">
        <is>
          <t>Em uma linha</t>
        </is>
      </c>
      <c r="H39" s="7" t="inlineStr">
        <is>
          <t>Frequência</t>
        </is>
      </c>
    </row>
    <row r="40" ht="48" customHeight="1">
      <c r="A40" s="16" t="n">
        <v>1</v>
      </c>
      <c r="C40" s="22">
        <f>$N$27</f>
        <v/>
      </c>
      <c r="D40" s="22">
        <f>IF($N$27="","",IFERROR(INDEX('Dados'!$D$119:$D$226,MATCH($N$27,'Dados'!$C$119:$C$226,0)),""))</f>
        <v/>
      </c>
      <c r="E40" s="22">
        <f>IF($N$27="","",IFERROR(INDEX('Dados'!$E$119:$E$226,MATCH($N$27,'Dados'!$C$119:$C$226,0)),""))</f>
        <v/>
      </c>
      <c r="F40" s="4">
        <f>IF($N$27="","",IF(COUNTIF($Q$27:$Q$36,$N$27)&gt;0,"Já escolhida",IF('Criação'!$A$14&gt;=$E$40,"Sim","A partir do nível "&amp;$E$40)))</f>
        <v/>
      </c>
      <c r="G40" s="4">
        <f>IF($N$27="","",IFERROR(INDEX('Dados'!$F$119:$F$226,MATCH($N$27,'Dados'!$C$119:$C$226,0)),""))</f>
        <v/>
      </c>
      <c r="H40" s="4">
        <f>IF($N$27="","",IFERROR(INDEX('Dados'!$G$119:$G$226,MATCH($N$27,'Dados'!$C$119:$C$226,0)),""))</f>
        <v/>
      </c>
    </row>
    <row r="41" ht="48" customHeight="1">
      <c r="A41" s="18" t="n">
        <v>2</v>
      </c>
      <c r="B41" s="35" t="n"/>
      <c r="C41" s="21">
        <f>$N$28</f>
        <v/>
      </c>
      <c r="D41" s="21">
        <f>IF($N$28="","",IFERROR(INDEX('Dados'!$D$119:$D$226,MATCH($N$28,'Dados'!$C$119:$C$226,0)),""))</f>
        <v/>
      </c>
      <c r="E41" s="21">
        <f>IF($N$28="","",IFERROR(INDEX('Dados'!$E$119:$E$226,MATCH($N$28,'Dados'!$C$119:$C$226,0)),""))</f>
        <v/>
      </c>
      <c r="F41" s="9">
        <f>IF($N$28="","",IF(COUNTIF($Q$27:$Q$36,$N$28)&gt;0,"Já escolhida",IF('Criação'!$A$14&gt;=$E$41,"Sim","A partir do nível "&amp;$E$41)))</f>
        <v/>
      </c>
      <c r="G41" s="9">
        <f>IF($N$28="","",IFERROR(INDEX('Dados'!$F$119:$F$226,MATCH($N$28,'Dados'!$C$119:$C$226,0)),""))</f>
        <v/>
      </c>
      <c r="H41" s="9">
        <f>IF($N$28="","",IFERROR(INDEX('Dados'!$G$119:$G$226,MATCH($N$28,'Dados'!$C$119:$C$226,0)),""))</f>
        <v/>
      </c>
    </row>
    <row r="42" ht="48" customHeight="1">
      <c r="A42" s="16" t="n">
        <v>3</v>
      </c>
      <c r="C42" s="22">
        <f>$N$29</f>
        <v/>
      </c>
      <c r="D42" s="22">
        <f>IF($N$29="","",IFERROR(INDEX('Dados'!$D$119:$D$226,MATCH($N$29,'Dados'!$C$119:$C$226,0)),""))</f>
        <v/>
      </c>
      <c r="E42" s="22">
        <f>IF($N$29="","",IFERROR(INDEX('Dados'!$E$119:$E$226,MATCH($N$29,'Dados'!$C$119:$C$226,0)),""))</f>
        <v/>
      </c>
      <c r="F42" s="4">
        <f>IF($N$29="","",IF(COUNTIF($Q$27:$Q$36,$N$29)&gt;0,"Já escolhida",IF('Criação'!$A$14&gt;=$E$42,"Sim","A partir do nível "&amp;$E$42)))</f>
        <v/>
      </c>
      <c r="G42" s="4">
        <f>IF($N$29="","",IFERROR(INDEX('Dados'!$F$119:$F$226,MATCH($N$29,'Dados'!$C$119:$C$226,0)),""))</f>
        <v/>
      </c>
      <c r="H42" s="4">
        <f>IF($N$29="","",IFERROR(INDEX('Dados'!$G$119:$G$226,MATCH($N$29,'Dados'!$C$119:$C$226,0)),""))</f>
        <v/>
      </c>
    </row>
    <row r="43" ht="48" customHeight="1">
      <c r="A43" s="18" t="n">
        <v>4</v>
      </c>
      <c r="B43" s="35" t="n"/>
      <c r="C43" s="21">
        <f>$N$30</f>
        <v/>
      </c>
      <c r="D43" s="21">
        <f>IF($N$30="","",IFERROR(INDEX('Dados'!$D$119:$D$226,MATCH($N$30,'Dados'!$C$119:$C$226,0)),""))</f>
        <v/>
      </c>
      <c r="E43" s="21">
        <f>IF($N$30="","",IFERROR(INDEX('Dados'!$E$119:$E$226,MATCH($N$30,'Dados'!$C$119:$C$226,0)),""))</f>
        <v/>
      </c>
      <c r="F43" s="9">
        <f>IF($N$30="","",IF(COUNTIF($Q$27:$Q$36,$N$30)&gt;0,"Já escolhida",IF('Criação'!$A$14&gt;=$E$43,"Sim","A partir do nível "&amp;$E$43)))</f>
        <v/>
      </c>
      <c r="G43" s="9">
        <f>IF($N$30="","",IFERROR(INDEX('Dados'!$F$119:$F$226,MATCH($N$30,'Dados'!$C$119:$C$226,0)),""))</f>
        <v/>
      </c>
      <c r="H43" s="9">
        <f>IF($N$30="","",IFERROR(INDEX('Dados'!$G$119:$G$226,MATCH($N$30,'Dados'!$C$119:$C$226,0)),""))</f>
        <v/>
      </c>
    </row>
    <row r="44" ht="48" customHeight="1">
      <c r="A44" s="16" t="n">
        <v>5</v>
      </c>
      <c r="C44" s="22">
        <f>$N$31</f>
        <v/>
      </c>
      <c r="D44" s="22">
        <f>IF($N$31="","",IFERROR(INDEX('Dados'!$D$119:$D$226,MATCH($N$31,'Dados'!$C$119:$C$226,0)),""))</f>
        <v/>
      </c>
      <c r="E44" s="22">
        <f>IF($N$31="","",IFERROR(INDEX('Dados'!$E$119:$E$226,MATCH($N$31,'Dados'!$C$119:$C$226,0)),""))</f>
        <v/>
      </c>
      <c r="F44" s="4">
        <f>IF($N$31="","",IF(COUNTIF($Q$27:$Q$36,$N$31)&gt;0,"Já escolhida",IF('Criação'!$A$14&gt;=$E$44,"Sim","A partir do nível "&amp;$E$44)))</f>
        <v/>
      </c>
      <c r="G44" s="4">
        <f>IF($N$31="","",IFERROR(INDEX('Dados'!$F$119:$F$226,MATCH($N$31,'Dados'!$C$119:$C$226,0)),""))</f>
        <v/>
      </c>
      <c r="H44" s="4">
        <f>IF($N$31="","",IFERROR(INDEX('Dados'!$G$119:$G$226,MATCH($N$31,'Dados'!$C$119:$C$226,0)),""))</f>
        <v/>
      </c>
    </row>
    <row r="45" ht="48" customHeight="1">
      <c r="A45" s="18" t="n">
        <v>6</v>
      </c>
      <c r="B45" s="35" t="n"/>
      <c r="C45" s="21">
        <f>$N$32</f>
        <v/>
      </c>
      <c r="D45" s="21">
        <f>IF($N$32="","",IFERROR(INDEX('Dados'!$D$119:$D$226,MATCH($N$32,'Dados'!$C$119:$C$226,0)),""))</f>
        <v/>
      </c>
      <c r="E45" s="21">
        <f>IF($N$32="","",IFERROR(INDEX('Dados'!$E$119:$E$226,MATCH($N$32,'Dados'!$C$119:$C$226,0)),""))</f>
        <v/>
      </c>
      <c r="F45" s="9">
        <f>IF($N$32="","",IF(COUNTIF($Q$27:$Q$36,$N$32)&gt;0,"Já escolhida",IF('Criação'!$A$14&gt;=$E$45,"Sim","A partir do nível "&amp;$E$45)))</f>
        <v/>
      </c>
      <c r="G45" s="9">
        <f>IF($N$32="","",IFERROR(INDEX('Dados'!$F$119:$F$226,MATCH($N$32,'Dados'!$C$119:$C$226,0)),""))</f>
        <v/>
      </c>
      <c r="H45" s="9">
        <f>IF($N$32="","",IFERROR(INDEX('Dados'!$G$119:$G$226,MATCH($N$32,'Dados'!$C$119:$C$226,0)),""))</f>
        <v/>
      </c>
    </row>
    <row r="46" ht="48" customHeight="1">
      <c r="A46" s="16" t="n">
        <v>7</v>
      </c>
      <c r="C46" s="22">
        <f>$N$33</f>
        <v/>
      </c>
      <c r="D46" s="22">
        <f>IF($N$33="","",IFERROR(INDEX('Dados'!$D$119:$D$226,MATCH($N$33,'Dados'!$C$119:$C$226,0)),""))</f>
        <v/>
      </c>
      <c r="E46" s="22">
        <f>IF($N$33="","",IFERROR(INDEX('Dados'!$E$119:$E$226,MATCH($N$33,'Dados'!$C$119:$C$226,0)),""))</f>
        <v/>
      </c>
      <c r="F46" s="4">
        <f>IF($N$33="","",IF(COUNTIF($Q$27:$Q$36,$N$33)&gt;0,"Já escolhida",IF('Criação'!$A$14&gt;=$E$46,"Sim","A partir do nível "&amp;$E$46)))</f>
        <v/>
      </c>
      <c r="G46" s="4">
        <f>IF($N$33="","",IFERROR(INDEX('Dados'!$F$119:$F$226,MATCH($N$33,'Dados'!$C$119:$C$226,0)),""))</f>
        <v/>
      </c>
      <c r="H46" s="4">
        <f>IF($N$33="","",IFERROR(INDEX('Dados'!$G$119:$G$226,MATCH($N$33,'Dados'!$C$119:$C$226,0)),""))</f>
        <v/>
      </c>
    </row>
    <row r="47" ht="48" customHeight="1">
      <c r="A47" s="18" t="n">
        <v>8</v>
      </c>
      <c r="B47" s="35" t="n"/>
      <c r="C47" s="21">
        <f>$N$34</f>
        <v/>
      </c>
      <c r="D47" s="21">
        <f>IF($N$34="","",IFERROR(INDEX('Dados'!$D$119:$D$226,MATCH($N$34,'Dados'!$C$119:$C$226,0)),""))</f>
        <v/>
      </c>
      <c r="E47" s="21">
        <f>IF($N$34="","",IFERROR(INDEX('Dados'!$E$119:$E$226,MATCH($N$34,'Dados'!$C$119:$C$226,0)),""))</f>
        <v/>
      </c>
      <c r="F47" s="9">
        <f>IF($N$34="","",IF(COUNTIF($Q$27:$Q$36,$N$34)&gt;0,"Já escolhida",IF('Criação'!$A$14&gt;=$E$47,"Sim","A partir do nível "&amp;$E$47)))</f>
        <v/>
      </c>
      <c r="G47" s="9">
        <f>IF($N$34="","",IFERROR(INDEX('Dados'!$F$119:$F$226,MATCH($N$34,'Dados'!$C$119:$C$226,0)),""))</f>
        <v/>
      </c>
      <c r="H47" s="9">
        <f>IF($N$34="","",IFERROR(INDEX('Dados'!$G$119:$G$226,MATCH($N$34,'Dados'!$C$119:$C$226,0)),""))</f>
        <v/>
      </c>
    </row>
    <row r="48" ht="48" customHeight="1">
      <c r="A48" s="16" t="n">
        <v>9</v>
      </c>
      <c r="C48" s="22">
        <f>$N$35</f>
        <v/>
      </c>
      <c r="D48" s="22">
        <f>IF($N$35="","",IFERROR(INDEX('Dados'!$D$119:$D$226,MATCH($N$35,'Dados'!$C$119:$C$226,0)),""))</f>
        <v/>
      </c>
      <c r="E48" s="22">
        <f>IF($N$35="","",IFERROR(INDEX('Dados'!$E$119:$E$226,MATCH($N$35,'Dados'!$C$119:$C$226,0)),""))</f>
        <v/>
      </c>
      <c r="F48" s="4">
        <f>IF($N$35="","",IF(COUNTIF($Q$27:$Q$36,$N$35)&gt;0,"Já escolhida",IF('Criação'!$A$14&gt;=$E$48,"Sim","A partir do nível "&amp;$E$48)))</f>
        <v/>
      </c>
      <c r="G48" s="4">
        <f>IF($N$35="","",IFERROR(INDEX('Dados'!$F$119:$F$226,MATCH($N$35,'Dados'!$C$119:$C$226,0)),""))</f>
        <v/>
      </c>
      <c r="H48" s="4">
        <f>IF($N$35="","",IFERROR(INDEX('Dados'!$G$119:$G$226,MATCH($N$35,'Dados'!$C$119:$C$226,0)),""))</f>
        <v/>
      </c>
    </row>
    <row r="49" ht="48" customHeight="1">
      <c r="A49" s="18" t="n">
        <v>10</v>
      </c>
      <c r="B49" s="35" t="n"/>
      <c r="C49" s="21">
        <f>$N$36</f>
        <v/>
      </c>
      <c r="D49" s="21">
        <f>IF($N$36="","",IFERROR(INDEX('Dados'!$D$119:$D$226,MATCH($N$36,'Dados'!$C$119:$C$226,0)),""))</f>
        <v/>
      </c>
      <c r="E49" s="21">
        <f>IF($N$36="","",IFERROR(INDEX('Dados'!$E$119:$E$226,MATCH($N$36,'Dados'!$C$119:$C$226,0)),""))</f>
        <v/>
      </c>
      <c r="F49" s="9">
        <f>IF($N$36="","",IF(COUNTIF($Q$27:$Q$36,$N$36)&gt;0,"Já escolhida",IF('Criação'!$A$14&gt;=$E$49,"Sim","A partir do nível "&amp;$E$49)))</f>
        <v/>
      </c>
      <c r="G49" s="9">
        <f>IF($N$36="","",IFERROR(INDEX('Dados'!$F$119:$F$226,MATCH($N$36,'Dados'!$C$119:$C$226,0)),""))</f>
        <v/>
      </c>
      <c r="H49" s="9">
        <f>IF($N$36="","",IFERROR(INDEX('Dados'!$G$119:$G$226,MATCH($N$36,'Dados'!$C$119:$C$226,0)),""))</f>
        <v/>
      </c>
    </row>
    <row r="50" ht="48" customHeight="1">
      <c r="A50" s="16" t="n">
        <v>11</v>
      </c>
      <c r="C50" s="22">
        <f>$N$37</f>
        <v/>
      </c>
      <c r="D50" s="22">
        <f>IF($N$37="","",IFERROR(INDEX('Dados'!$D$119:$D$226,MATCH($N$37,'Dados'!$C$119:$C$226,0)),""))</f>
        <v/>
      </c>
      <c r="E50" s="22">
        <f>IF($N$37="","",IFERROR(INDEX('Dados'!$E$119:$E$226,MATCH($N$37,'Dados'!$C$119:$C$226,0)),""))</f>
        <v/>
      </c>
      <c r="F50" s="4">
        <f>IF($N$37="","",IF(COUNTIF($Q$27:$Q$36,$N$37)&gt;0,"Já escolhida",IF('Criação'!$A$14&gt;=$E$50,"Sim","A partir do nível "&amp;$E$50)))</f>
        <v/>
      </c>
      <c r="G50" s="4">
        <f>IF($N$37="","",IFERROR(INDEX('Dados'!$F$119:$F$226,MATCH($N$37,'Dados'!$C$119:$C$226,0)),""))</f>
        <v/>
      </c>
      <c r="H50" s="4">
        <f>IF($N$37="","",IFERROR(INDEX('Dados'!$G$119:$G$226,MATCH($N$37,'Dados'!$C$119:$C$226,0)),""))</f>
        <v/>
      </c>
    </row>
    <row r="51" ht="48" customHeight="1">
      <c r="A51" s="18" t="n">
        <v>12</v>
      </c>
      <c r="B51" s="35" t="n"/>
      <c r="C51" s="21">
        <f>$N$38</f>
        <v/>
      </c>
      <c r="D51" s="21">
        <f>IF($N$38="","",IFERROR(INDEX('Dados'!$D$119:$D$226,MATCH($N$38,'Dados'!$C$119:$C$226,0)),""))</f>
        <v/>
      </c>
      <c r="E51" s="21">
        <f>IF($N$38="","",IFERROR(INDEX('Dados'!$E$119:$E$226,MATCH($N$38,'Dados'!$C$119:$C$226,0)),""))</f>
        <v/>
      </c>
      <c r="F51" s="9">
        <f>IF($N$38="","",IF(COUNTIF($Q$27:$Q$36,$N$38)&gt;0,"Já escolhida",IF('Criação'!$A$14&gt;=$E$51,"Sim","A partir do nível "&amp;$E$51)))</f>
        <v/>
      </c>
      <c r="G51" s="9">
        <f>IF($N$38="","",IFERROR(INDEX('Dados'!$F$119:$F$226,MATCH($N$38,'Dados'!$C$119:$C$226,0)),""))</f>
        <v/>
      </c>
      <c r="H51" s="9">
        <f>IF($N$38="","",IFERROR(INDEX('Dados'!$G$119:$G$226,MATCH($N$38,'Dados'!$C$119:$C$226,0)),""))</f>
        <v/>
      </c>
    </row>
    <row r="52"/>
    <row r="53">
      <c r="A53" s="14">
        <f>IF('Criação'!$Q$33="A Recordação","Memoespírito — 11.3 a 11.5","Memoespírito — só para A Recordação")</f>
        <v/>
      </c>
    </row>
    <row r="54" ht="37" customHeight="1">
      <c r="A54" s="8" t="inlineStr">
        <is>
          <t>Só para A Recordação?</t>
        </is>
      </c>
      <c r="B54" s="17">
        <f>IF('Criação'!$Q$33="A Recordação","Sim","Não")</f>
        <v/>
      </c>
      <c r="D54" s="12" t="inlineStr">
        <is>
          <t>Fora da Recordação o bloco fica cinza e as contas ficam vazias.</t>
        </is>
      </c>
      <c r="K54" s="13">
        <f>IF(AND(NOT(($B$54="Sim")),(LEN($P$55)+LEN($P$56)+LEN($P$57)+LEN($P$58)+LEN($P$60)+LEN($P$61)+LEN($P$62)+LEN($P$63)+LEN($P$64)+LEN($P$65)+LEN($P$67)+LEN($P$69)+LEN($P$70)+LEN($P$71)+LEN($P$72)+LEN($S$72)+LEN($P$73)+LEN($S$73)+LEN($Q$75)+LEN($Q$76)+LEN($Q$77)+LEN($P$78))&gt;0),"Memoespírito só na Recordação: estes campos não contam","")</f>
        <v/>
      </c>
    </row>
    <row r="55" ht="37" customHeight="1">
      <c r="A55" s="8" t="inlineStr">
        <is>
          <t>Nome do Memoespírito</t>
        </is>
      </c>
      <c r="B55" s="27" t="n"/>
      <c r="C55" s="28" t="n"/>
      <c r="D55" s="28" t="n"/>
      <c r="E55" s="29" t="n"/>
      <c r="K55" s="13">
        <f>IF(T55&gt;0,"O Google leu como fórmula: digite de novo com ' na frente.","")</f>
        <v/>
      </c>
      <c r="P55">
        <f>IF(ISERROR($B$55),"",IF(ISBLANK($B$55),"",$B$55))</f>
        <v/>
      </c>
      <c r="T55">
        <f>ISERROR($B$55)*1</f>
        <v/>
      </c>
    </row>
    <row r="56" ht="37" customHeight="1">
      <c r="A56" s="8" t="inlineStr">
        <is>
          <t>Conceito (11.3 Passo 2)</t>
        </is>
      </c>
      <c r="B56" s="23" t="n"/>
      <c r="C56" s="29" t="n"/>
      <c r="D56" s="22">
        <f>IF(OR(NOT(($B$54="Sim")),$P$56=""),"",IFERROR(VLOOKUP($P$56,'Dados'!$A$544:$B$548,2,FALSE),""))</f>
        <v/>
      </c>
      <c r="K56" s="13">
        <f>IF(T56&gt;0,"O Google leu como fórmula: escolha de novo na lista.","")</f>
        <v/>
      </c>
      <c r="P56">
        <f>IF(ISERROR($B$56),"",IF(ISBLANK($B$56),"",$B$56))</f>
        <v/>
      </c>
      <c r="T56">
        <f>ISERROR($B$56)*1</f>
        <v/>
      </c>
    </row>
    <row r="57" ht="37" customHeight="1">
      <c r="A57" s="8" t="inlineStr">
        <is>
          <t>Função (11.3 Passo 3)</t>
        </is>
      </c>
      <c r="B57" s="23" t="n"/>
      <c r="C57" s="29" t="n"/>
      <c r="D57" s="4">
        <f>IF(OR(NOT(($B$54="Sim")),$P$57=""),"",IFERROR(VLOOKUP($P$57,'Dados'!$A$552:$B$555,2,FALSE),""))</f>
        <v/>
      </c>
      <c r="K57" s="13">
        <f>IF(T57&gt;0,"O Google leu como fórmula: escolha de novo na lista.","")</f>
        <v/>
      </c>
      <c r="P57">
        <f>IF(ISERROR($B$57),"",IF(ISBLANK($B$57),"",$B$57))</f>
        <v/>
      </c>
      <c r="T57">
        <f>ISERROR($B$57)*1</f>
        <v/>
      </c>
    </row>
    <row r="58" ht="37" customHeight="1">
      <c r="A58" s="8" t="inlineStr">
        <is>
          <t>Elemento dele</t>
        </is>
      </c>
      <c r="B58" s="23" t="n"/>
      <c r="C58" s="29" t="n"/>
      <c r="K58" s="13">
        <f>IF(T58&gt;0,"O Google leu como fórmula: escolha de novo na lista.","")</f>
        <v/>
      </c>
      <c r="P58">
        <f>IF(ISERROR($B$58),"",IF(ISBLANK($B$58),"",$B$58))</f>
        <v/>
      </c>
      <c r="T58">
        <f>ISERROR($B$58)*1</f>
        <v/>
      </c>
    </row>
    <row r="59" ht="37" customHeight="1">
      <c r="A59" s="7" t="inlineStr">
        <is>
          <t>Atributo</t>
        </is>
      </c>
      <c r="B59" s="7" t="inlineStr">
        <is>
          <t>Pontos (preencha, máx. 5)</t>
        </is>
      </c>
      <c r="C59" s="7" t="inlineStr">
        <is>
          <t>Pontos usados</t>
        </is>
      </c>
      <c r="D59" s="7" t="inlineStr">
        <is>
          <t>Teste de Resistência dele</t>
        </is>
      </c>
      <c r="K59" s="7" t="inlineStr">
        <is>
          <t>Aviso</t>
        </is>
      </c>
      <c r="L59" s="15" t="n"/>
    </row>
    <row r="60" ht="37" customHeight="1">
      <c r="A60" s="16" t="inlineStr">
        <is>
          <t>Poder</t>
        </is>
      </c>
      <c r="B60" s="23" t="n"/>
      <c r="C60" s="22">
        <f>IF(ISNUMBER($P$60),MAX(0,MIN(5,INT($P$60))),0)</f>
        <v/>
      </c>
      <c r="D60" s="22">
        <f>IF(($B$54="Sim"),"d20"&amp;IF(($C$60+'Criação'!$C$14)&gt;=0,"+","")&amp;($C$60+'Criação'!$C$14),"")</f>
        <v/>
      </c>
      <c r="K60" s="13">
        <f>IF(T60&gt;0,"O Google leu como fórmula: digite de novo com ' na frente.",IF($P$60="","",IF(ISNUMBER($P$60),IF($P$60&gt;5,"Máximo 5 pontos por Atributo","")&amp;IF($P$60&lt;0,"Pontos não podem ser negativos",""),"Precisa ser um número")))</f>
        <v/>
      </c>
      <c r="P60">
        <f>IF(ISERROR($B$60),"",IF(ISBLANK($B$60),"",$B$60))</f>
        <v/>
      </c>
      <c r="T60">
        <f>ISERROR($B$60)*1</f>
        <v/>
      </c>
    </row>
    <row r="61" ht="37" customHeight="1">
      <c r="A61" s="18" t="inlineStr">
        <is>
          <t>Agilidade</t>
        </is>
      </c>
      <c r="B61" s="36" t="n"/>
      <c r="C61" s="21">
        <f>IF(ISNUMBER($P$61),MAX(0,MIN(5,INT($P$61))),0)</f>
        <v/>
      </c>
      <c r="D61" s="21">
        <f>IF(($B$54="Sim"),"d20"&amp;IF(($C$61+'Criação'!$C$14)&gt;=0,"+","")&amp;($C$61+'Criação'!$C$14),"")</f>
        <v/>
      </c>
      <c r="E61" s="35" t="n"/>
      <c r="F61" s="35" t="n"/>
      <c r="G61" s="35" t="n"/>
      <c r="H61" s="35" t="n"/>
      <c r="I61" s="35" t="n"/>
      <c r="J61" s="35" t="n"/>
      <c r="K61" s="20">
        <f>IF(T61&gt;0,"O Google leu como fórmula: digite de novo com ' na frente.",IF($P$61="","",IF(ISNUMBER($P$61),IF($P$61&gt;5,"Máximo 5 pontos por Atributo","")&amp;IF($P$61&lt;0,"Pontos não podem ser negativos",""),"Precisa ser um número")))</f>
        <v/>
      </c>
      <c r="P61">
        <f>IF(ISERROR($B$61),"",IF(ISBLANK($B$61),"",$B$61))</f>
        <v/>
      </c>
      <c r="T61">
        <f>ISERROR($B$61)*1</f>
        <v/>
      </c>
    </row>
    <row r="62" ht="37" customHeight="1">
      <c r="A62" s="16" t="inlineStr">
        <is>
          <t>Vigor</t>
        </is>
      </c>
      <c r="B62" s="23" t="n"/>
      <c r="C62" s="22">
        <f>IF(ISNUMBER($P$62),MAX(0,MIN(5,INT($P$62))),0)</f>
        <v/>
      </c>
      <c r="D62" s="22">
        <f>IF(($B$54="Sim"),"d20"&amp;IF(($C$62+'Criação'!$C$14)&gt;=0,"+","")&amp;($C$62+'Criação'!$C$14),"")</f>
        <v/>
      </c>
      <c r="K62" s="13">
        <f>IF(T62&gt;0,"O Google leu como fórmula: digite de novo com ' na frente.",IF($P$62="","",IF(ISNUMBER($P$62),IF($P$62&gt;5,"Máximo 5 pontos por Atributo","")&amp;IF($P$62&lt;0,"Pontos não podem ser negativos",""),"Precisa ser um número")))</f>
        <v/>
      </c>
      <c r="P62">
        <f>IF(ISERROR($B$62),"",IF(ISBLANK($B$62),"",$B$62))</f>
        <v/>
      </c>
      <c r="T62">
        <f>ISERROR($B$62)*1</f>
        <v/>
      </c>
    </row>
    <row r="63" ht="37" customHeight="1">
      <c r="A63" s="18" t="inlineStr">
        <is>
          <t>Sincronia</t>
        </is>
      </c>
      <c r="B63" s="36" t="n"/>
      <c r="C63" s="21">
        <f>IF(ISNUMBER($P$63),MAX(0,MIN(5,INT($P$63))),0)</f>
        <v/>
      </c>
      <c r="D63" s="21">
        <f>IF(($B$54="Sim"),"d20"&amp;IF(($C$63+'Criação'!$C$14)&gt;=0,"+","")&amp;($C$63+'Criação'!$C$14),"")</f>
        <v/>
      </c>
      <c r="E63" s="35" t="n"/>
      <c r="F63" s="35" t="n"/>
      <c r="G63" s="35" t="n"/>
      <c r="H63" s="35" t="n"/>
      <c r="I63" s="35" t="n"/>
      <c r="J63" s="35" t="n"/>
      <c r="K63" s="20">
        <f>IF(T63&gt;0,"O Google leu como fórmula: digite de novo com ' na frente.",IF($P$63="","",IF(ISNUMBER($P$63),IF($P$63&gt;5,"Máximo 5 pontos por Atributo","")&amp;IF($P$63&lt;0,"Pontos não podem ser negativos",""),"Precisa ser um número")))</f>
        <v/>
      </c>
      <c r="P63">
        <f>IF(ISERROR($B$63),"",IF(ISBLANK($B$63),"",$B$63))</f>
        <v/>
      </c>
      <c r="T63">
        <f>ISERROR($B$63)*1</f>
        <v/>
      </c>
    </row>
    <row r="64" ht="37" customHeight="1">
      <c r="A64" s="16" t="inlineStr">
        <is>
          <t>Discernimento</t>
        </is>
      </c>
      <c r="B64" s="23" t="n"/>
      <c r="C64" s="22">
        <f>IF(ISNUMBER($P$64),MAX(0,MIN(5,INT($P$64))),0)</f>
        <v/>
      </c>
      <c r="D64" s="22">
        <f>IF(($B$54="Sim"),"d20"&amp;IF(($C$64+'Criação'!$C$14)&gt;=0,"+","")&amp;($C$64+'Criação'!$C$14),"")</f>
        <v/>
      </c>
      <c r="K64" s="13">
        <f>IF(T64&gt;0,"O Google leu como fórmula: digite de novo com ' na frente.",IF($P$64="","",IF(ISNUMBER($P$64),IF($P$64&gt;5,"Máximo 5 pontos por Atributo","")&amp;IF($P$64&lt;0,"Pontos não podem ser negativos",""),"Precisa ser um número")))</f>
        <v/>
      </c>
      <c r="P64">
        <f>IF(ISERROR($B$64),"",IF(ISBLANK($B$64),"",$B$64))</f>
        <v/>
      </c>
      <c r="T64">
        <f>ISERROR($B$64)*1</f>
        <v/>
      </c>
    </row>
    <row r="65" ht="37" customHeight="1">
      <c r="A65" s="18" t="inlineStr">
        <is>
          <t>Presença</t>
        </is>
      </c>
      <c r="B65" s="36" t="n"/>
      <c r="C65" s="21">
        <f>IF(ISNUMBER($P$65),MAX(0,MIN(5,INT($P$65))),0)</f>
        <v/>
      </c>
      <c r="D65" s="21">
        <f>IF(($B$54="Sim"),"d20"&amp;IF(($C$65+'Criação'!$C$14)&gt;=0,"+","")&amp;($C$65+'Criação'!$C$14),"")</f>
        <v/>
      </c>
      <c r="E65" s="35" t="n"/>
      <c r="F65" s="35" t="n"/>
      <c r="G65" s="35" t="n"/>
      <c r="H65" s="35" t="n"/>
      <c r="I65" s="35" t="n"/>
      <c r="J65" s="35" t="n"/>
      <c r="K65" s="20">
        <f>IF(T65&gt;0,"O Google leu como fórmula: digite de novo com ' na frente.",IF($P$65="","",IF(ISNUMBER($P$65),IF($P$65&gt;5,"Máximo 5 pontos por Atributo","")&amp;IF($P$65&lt;0,"Pontos não podem ser negativos",""),"Precisa ser um número")))</f>
        <v/>
      </c>
      <c r="P65">
        <f>IF(ISERROR($B$65),"",IF(ISBLANK($B$65),"",$B$65))</f>
        <v/>
      </c>
      <c r="T65">
        <f>ISERROR($B$65)*1</f>
        <v/>
      </c>
    </row>
    <row r="66" ht="37" customHeight="1">
      <c r="A66" s="8" t="inlineStr">
        <is>
          <t>Pontos totais (12 + metade do nível) / gastos</t>
        </is>
      </c>
      <c r="B66" s="17">
        <f>IF(($B$54="Sim"),'Criação'!$K$16,"")</f>
        <v/>
      </c>
      <c r="C66" s="17">
        <f>SUM($P$60:$P$65)</f>
        <v/>
      </c>
      <c r="K66" s="13">
        <f>IF(AND(($B$54="Sim"),$C$66&gt;'Criação'!$K$16),"Pontos acima do total ("&amp;'Criação'!$K$16&amp;")","")</f>
        <v/>
      </c>
    </row>
    <row r="67" ht="37" customHeight="1">
      <c r="A67" s="33" t="inlineStr">
        <is>
          <t>Atributo de ataque dele (vazio = Poder)</t>
        </is>
      </c>
      <c r="B67" s="36" t="n"/>
      <c r="C67" s="29" t="n"/>
      <c r="D67" s="21">
        <f>IF($P$67="","Poder",$P$67)</f>
        <v/>
      </c>
      <c r="F67" s="35" t="n"/>
      <c r="G67" s="35" t="n"/>
      <c r="H67" s="35" t="n"/>
      <c r="I67" s="35" t="n"/>
      <c r="J67" s="35" t="n"/>
      <c r="K67" s="20">
        <f>IF(T67&gt;0,"O Google leu como fórmula: escolha de novo na lista.","")</f>
        <v/>
      </c>
      <c r="P67">
        <f>IF(ISERROR($B$67),"",IF(ISBLANK($B$67),"",$B$67))</f>
        <v/>
      </c>
      <c r="T67">
        <f>ISERROR($B$67)*1</f>
        <v/>
      </c>
    </row>
    <row r="68" ht="26" customHeight="1">
      <c r="A68" s="7" t="inlineStr">
        <is>
          <t>Bônus menor (11.3 Passo 4)</t>
        </is>
      </c>
      <c r="B68" s="7" t="inlineStr">
        <is>
          <t>Escolha (preencha)</t>
        </is>
      </c>
      <c r="D68" s="7" t="inlineStr">
        <is>
          <t>Efeito</t>
        </is>
      </c>
    </row>
    <row r="69" ht="37" customHeight="1">
      <c r="A69" s="16" t="inlineStr">
        <is>
          <t>Bônus menor 1</t>
        </is>
      </c>
      <c r="B69" s="23" t="n"/>
      <c r="C69" s="29" t="n"/>
      <c r="D69" s="4">
        <f>IF($P$69="","",IFERROR(VLOOKUP($P$69,'Dados'!$A$559:$B$564,2,FALSE),""))</f>
        <v/>
      </c>
      <c r="K69" s="13">
        <f>IF(T69&gt;0,"O Google leu como fórmula: escolha de novo na lista.",IF($P$69="","",IF(COUNTIF($P$69:$P$71,$P$69)&gt;1,"Bônus menor repetido: escolha 3 diferentes",IF(COUNTIF('Dados'!$AE$6:$AE$11,$P$69)=0,"Fora da lista de 11.3",""))))</f>
        <v/>
      </c>
      <c r="P69">
        <f>IF(ISERROR($B$69),"",IF(ISBLANK($B$69),"",$B$69))</f>
        <v/>
      </c>
      <c r="T69">
        <f>ISERROR($B$69)*1</f>
        <v/>
      </c>
    </row>
    <row r="70" ht="37" customHeight="1">
      <c r="A70" s="18" t="inlineStr">
        <is>
          <t>Bônus menor 2</t>
        </is>
      </c>
      <c r="B70" s="36" t="n"/>
      <c r="C70" s="29" t="n"/>
      <c r="D70" s="9">
        <f>IF($P$70="","",IFERROR(VLOOKUP($P$70,'Dados'!$A$559:$B$564,2,FALSE),""))</f>
        <v/>
      </c>
      <c r="K70" s="13">
        <f>IF(T70&gt;0,"O Google leu como fórmula: escolha de novo na lista.",IF($P$70="","",IF(COUNTIF($P$69:$P$71,$P$70)&gt;1,"Bônus menor repetido: escolha 3 diferentes",IF(COUNTIF('Dados'!$AE$6:$AE$11,$P$70)=0,"Fora da lista de 11.3",""))))</f>
        <v/>
      </c>
      <c r="P70">
        <f>IF(ISERROR($B$70),"",IF(ISBLANK($B$70),"",$B$70))</f>
        <v/>
      </c>
      <c r="T70">
        <f>ISERROR($B$70)*1</f>
        <v/>
      </c>
    </row>
    <row r="71" ht="37" customHeight="1">
      <c r="A71" s="16" t="inlineStr">
        <is>
          <t>Bônus menor 3</t>
        </is>
      </c>
      <c r="B71" s="23" t="n"/>
      <c r="C71" s="29" t="n"/>
      <c r="D71" s="4">
        <f>IF($P$71="","",IFERROR(VLOOKUP($P$71,'Dados'!$A$559:$B$564,2,FALSE),""))</f>
        <v/>
      </c>
      <c r="K71" s="13">
        <f>IF(T71&gt;0,"O Google leu como fórmula: escolha de novo na lista.",IF($P$71="","",IF(COUNTIF($P$69:$P$71,$P$71)&gt;1,"Bônus menor repetido: escolha 3 diferentes",IF(COUNTIF('Dados'!$AE$6:$AE$11,$P$71)=0,"Fora da lista de 11.3",""))))</f>
        <v/>
      </c>
      <c r="P71">
        <f>IF(ISERROR($B$71),"",IF(ISBLANK($B$71),"",$B$71))</f>
        <v/>
      </c>
      <c r="T71">
        <f>ISERROR($B$71)*1</f>
        <v/>
      </c>
    </row>
    <row r="72" ht="59" customHeight="1">
      <c r="A72" s="33" t="inlineStr">
        <is>
          <t>Técnica Principal: nome</t>
        </is>
      </c>
      <c r="B72" s="60" t="n"/>
      <c r="C72" s="29" t="n"/>
      <c r="D72" s="34" t="inlineStr">
        <is>
          <t>o que faz</t>
        </is>
      </c>
      <c r="E72" s="27" t="n"/>
      <c r="F72" s="28" t="n"/>
      <c r="G72" s="28" t="n"/>
      <c r="H72" s="29" t="n"/>
      <c r="K72" s="13">
        <f>IF(T72&gt;0,"O Google leu como fórmula: digite de novo com ' na frente.","")</f>
        <v/>
      </c>
      <c r="P72">
        <f>IF(ISERROR($B$72),"",IF(ISBLANK($B$72),"",$B$72))</f>
        <v/>
      </c>
      <c r="S72">
        <f>IF(ISERROR($E$72),"",IF(ISBLANK($E$72),"",$E$72))</f>
        <v/>
      </c>
      <c r="T72">
        <f>ISERROR($B$72)*1+ISERROR($E$72)*1</f>
        <v/>
      </c>
    </row>
    <row r="73" ht="60" customHeight="1">
      <c r="A73" s="8" t="inlineStr">
        <is>
          <t>Técnica Auxiliar: nome</t>
        </is>
      </c>
      <c r="B73" s="27" t="n"/>
      <c r="C73" s="29" t="n"/>
      <c r="D73" s="12" t="inlineStr">
        <is>
          <t>o que faz</t>
        </is>
      </c>
      <c r="E73" s="27" t="n"/>
      <c r="F73" s="28" t="n"/>
      <c r="G73" s="28" t="n"/>
      <c r="H73" s="29" t="n"/>
      <c r="K73" s="13">
        <f>IF(T73&gt;0,"O Google leu como fórmula: digite de novo com ' na frente.","")</f>
        <v/>
      </c>
      <c r="P73">
        <f>IF(ISERROR($B$73),"",IF(ISBLANK($B$73),"",$B$73))</f>
        <v/>
      </c>
      <c r="S73">
        <f>IF(ISERROR($E$73),"",IF(ISBLANK($E$73),"",$E$73))</f>
        <v/>
      </c>
      <c r="T73">
        <f>ISERROR($B$73)*1+ISERROR($E$73)*1</f>
        <v/>
      </c>
    </row>
    <row r="74">
      <c r="A74" s="7" t="inlineStr">
        <is>
          <t>Evolução (11.3)</t>
        </is>
      </c>
      <c r="B74" s="7" t="inlineStr">
        <is>
          <t>Nível</t>
        </is>
      </c>
      <c r="C74" s="7" t="inlineStr">
        <is>
          <t>Escolha (preencha)</t>
        </is>
      </c>
      <c r="D74" s="7" t="inlineStr">
        <is>
          <t>Efeito</t>
        </is>
      </c>
    </row>
    <row r="75" ht="37" customHeight="1">
      <c r="A75" s="16" t="inlineStr">
        <is>
          <t>Evolução 1</t>
        </is>
      </c>
      <c r="B75" s="22" t="n">
        <v>8</v>
      </c>
      <c r="C75" s="23" t="n"/>
      <c r="D75" s="4">
        <f>IF($Q$75="","",IFERROR(VLOOKUP($Q$75,'Dados'!$A$582:$B$584,2,FALSE),""))</f>
        <v/>
      </c>
      <c r="K75" s="13">
        <f>IF(T75&gt;0,"O Google leu como fórmula: escolha de novo na lista.",IF($Q$75="","",IF('Criação'!$A$14&lt;8,"Só a partir do nível 8. ","")&amp;IF(COUNTIF($Q$75:$Q$77,$Q$75)&gt;1,"Evolução repetida: cada uma só uma vez.","")))</f>
        <v/>
      </c>
      <c r="Q75">
        <f>IF(ISERROR($C$75),"",IF(ISBLANK($C$75),"",$C$75))</f>
        <v/>
      </c>
      <c r="T75">
        <f>ISERROR($C$75)*1</f>
        <v/>
      </c>
    </row>
    <row r="76" ht="37" customHeight="1">
      <c r="A76" s="18" t="inlineStr">
        <is>
          <t>Evolução 2</t>
        </is>
      </c>
      <c r="B76" s="21" t="n">
        <v>14</v>
      </c>
      <c r="C76" s="36" t="n"/>
      <c r="D76" s="9">
        <f>IF($Q$76="","",IFERROR(VLOOKUP($Q$76,'Dados'!$A$582:$B$584,2,FALSE),""))</f>
        <v/>
      </c>
      <c r="K76" s="13">
        <f>IF(T76&gt;0,"O Google leu como fórmula: escolha de novo na lista.",IF($Q$76="","",IF('Criação'!$A$14&lt;14,"Só a partir do nível 14. ","")&amp;IF(COUNTIF($Q$75:$Q$77,$Q$76)&gt;1,"Evolução repetida: cada uma só uma vez.","")))</f>
        <v/>
      </c>
      <c r="Q76">
        <f>IF(ISERROR($C$76),"",IF(ISBLANK($C$76),"",$C$76))</f>
        <v/>
      </c>
      <c r="T76">
        <f>ISERROR($C$76)*1</f>
        <v/>
      </c>
    </row>
    <row r="77" ht="37" customHeight="1">
      <c r="A77" s="16" t="inlineStr">
        <is>
          <t>Evolução 3</t>
        </is>
      </c>
      <c r="B77" s="22" t="n">
        <v>20</v>
      </c>
      <c r="C77" s="23" t="n"/>
      <c r="D77" s="4">
        <f>IF($Q$77="","",IFERROR(VLOOKUP($Q$77,'Dados'!$A$582:$B$584,2,FALSE),""))</f>
        <v/>
      </c>
      <c r="K77" s="13">
        <f>IF(T77&gt;0,"O Google leu como fórmula: escolha de novo na lista.",IF($Q$77="","",IF('Criação'!$A$14&lt;20,"Só a partir do nível 20. ","")&amp;IF(COUNTIF($Q$75:$Q$77,$Q$77)&gt;1,"Evolução repetida: cada uma só uma vez.","")))</f>
        <v/>
      </c>
      <c r="Q77">
        <f>IF(ISERROR($C$77),"",IF(ISBLANK($C$77),"",$C$77))</f>
        <v/>
      </c>
      <c r="T77">
        <f>ISERROR($C$77)*1</f>
        <v/>
      </c>
    </row>
    <row r="78" ht="37" customHeight="1">
      <c r="A78" s="33" t="inlineStr">
        <is>
          <t>Memória Desperta: +2 em</t>
        </is>
      </c>
      <c r="B78" s="36" t="n"/>
      <c r="C78" s="29" t="n"/>
      <c r="D78" s="35" t="n"/>
      <c r="K78" s="13">
        <f>IF(T78&gt;0,"O Google leu como fórmula: escolha de novo na lista.","")</f>
        <v/>
      </c>
      <c r="P78">
        <f>IF(ISERROR($B$78),"",IF(ISBLANK($B$78),"",$B$78))</f>
        <v/>
      </c>
      <c r="T78">
        <f>ISERROR($B$78)*1</f>
        <v/>
      </c>
    </row>
    <row r="79">
      <c r="A79" s="14" t="inlineStr">
        <is>
          <t>Estatísticas do Memoespírito (11.4, com Função, Bônus menores, Evoluções e Bênçãos)</t>
        </is>
      </c>
    </row>
    <row r="80">
      <c r="A80" s="8" t="inlineStr">
        <is>
          <t>PV</t>
        </is>
      </c>
      <c r="B80" s="17">
        <f>IF(($B$54="Sim"),8*'Criação'!$A$14+3*$C$62+IF($P$57="Guardião",3*'Criação'!$A$14,0)+IF((COUNTIF($P$69:$P$71,"Resistência Espiritual")&gt;0),2*'Criação'!$A$14,0)+IF((COUNTIF($I$27:$I$36,"Ecos do Passado")&gt;0),4*'Criação'!$A$14,0),"")</f>
        <v/>
      </c>
    </row>
    <row r="81">
      <c r="A81" s="8" t="inlineStr">
        <is>
          <t>Defesa</t>
        </is>
      </c>
      <c r="B81" s="17">
        <f>IF(($B$54="Sim"),10+$C$61+'Criação'!$C$14+IF(AND((COUNTIF($Q$75:$Q$77,"Memória Desperta")&gt;0),$P$78&lt;&gt;"Velocidade"),2,0),"")</f>
        <v/>
      </c>
    </row>
    <row r="82">
      <c r="A82" s="8" t="inlineStr">
        <is>
          <t>Velocidade</t>
        </is>
      </c>
      <c r="B82" s="17">
        <f>IF(($B$54="Sim"),10+$C$61+'Criação'!$B$37+IF((COUNTIF($P$69:$P$71,"Velocidade Espiritual")&gt;0),2,0)+IF(AND((COUNTIF($Q$75:$Q$77,"Memória Desperta")&gt;0),$P$78="Velocidade"),2,0),"")</f>
        <v/>
      </c>
    </row>
    <row r="83" ht="26" customHeight="1">
      <c r="A83" s="8" t="inlineStr">
        <is>
          <t>Teste de Ataque (número)</t>
        </is>
      </c>
      <c r="B83" s="17">
        <f>IF(($B$54="Sim"),'Criação'!$B$55+IFERROR(INDEX($C$60:$C$65,MATCH($D$67,$A$60:$A$65,0)),0)+'Criação'!$C$14,"")</f>
        <v/>
      </c>
    </row>
    <row r="84">
      <c r="A84" s="8" t="inlineStr">
        <is>
          <t>Teste de Ataque</t>
        </is>
      </c>
      <c r="B84" s="17">
        <f>IF(($B$54="Sim"),"d20"&amp;IF($B$83&gt;=0,"+","")&amp;$B$83,"")</f>
        <v/>
      </c>
    </row>
    <row r="85">
      <c r="A85" s="8" t="inlineStr">
        <is>
          <t>Dados de dano (d6)</t>
        </is>
      </c>
      <c r="B85" s="17">
        <f>IF(($B$54="Sim"),'Criação'!$D$16+IF((COUNTIF($Q$75:$Q$77,"Forma Completa")&gt;0),1,0),"")</f>
        <v/>
      </c>
    </row>
    <row r="86">
      <c r="A86" s="8" t="inlineStr">
        <is>
          <t>Dano fixo</t>
        </is>
      </c>
      <c r="B86" s="17">
        <f>IF(($B$54="Sim"),IFERROR(INDEX($C$60:$C$65,MATCH($D$67,$A$60:$A$65,0)),0)+IF((COUNTIF($P$69:$P$71,"Força Espiritual")&gt;0),2,0)+IF((COUNTIF($I$27:$I$36,"Ecos do Passado")&gt;0),'Criação'!$B$55,0),"")</f>
        <v/>
      </c>
    </row>
    <row r="87">
      <c r="A87" s="8" t="inlineStr">
        <is>
          <t>Dano do ataque</t>
        </is>
      </c>
      <c r="B87" s="17">
        <f>IF(($B$54="Sim"),IF($B$85&lt;=0,""&amp;$B$86,$B$85&amp;"d"&amp;6&amp;IF($B$86&gt;0,"+"&amp;$B$86,IF($B$86&lt;0,""&amp;$B$86,""))),"")</f>
        <v/>
      </c>
    </row>
    <row r="88">
      <c r="A88" s="8" t="inlineStr">
        <is>
          <t>Média do dano</t>
        </is>
      </c>
      <c r="B88" s="17">
        <f>IF(($B$54="Sim"),INT($B$85*7/2)+$B$86,"")</f>
        <v/>
      </c>
    </row>
    <row r="89" ht="26" customHeight="1">
      <c r="A89" s="8" t="inlineStr">
        <is>
          <t>Média contra Fraqueza (+2 dados)</t>
        </is>
      </c>
      <c r="B89" s="17">
        <f>IF(($B$54="Sim"),INT(($B$85+2)*7/2)+$B$86,"")</f>
        <v/>
      </c>
    </row>
    <row r="90">
      <c r="A90" s="8" t="inlineStr">
        <is>
          <t>Redução de Tenacidade</t>
        </is>
      </c>
      <c r="B90" s="17">
        <f>IF(($B$54="Sim"),IF('Criação'!$A$14&gt;=11,2,1)+IF((COUNTIF($I$27:$I$36,"Eternidade Recordada")&gt;0),1,0),"")</f>
        <v/>
      </c>
    </row>
    <row r="91">
      <c r="A91" s="8" t="inlineStr">
        <is>
          <t>RD</t>
        </is>
      </c>
      <c r="B91" s="17">
        <f>IF(($B$54="Sim"),IF((COUNTIF($P$69:$P$71,"Resistência Espiritual")&gt;0),1,0),"")</f>
        <v/>
      </c>
    </row>
    <row r="92">
      <c r="A92" s="8" t="inlineStr">
        <is>
          <t>Função Predador</t>
        </is>
      </c>
      <c r="B92" s="17">
        <f>IF(AND(($B$54="Sim"),$P$57="Predador"),"+1d8 de dano nos ataques dele","")</f>
        <v/>
      </c>
    </row>
    <row r="93"/>
    <row r="94">
      <c r="A94" s="14" t="inlineStr">
        <is>
          <t>Escolhas permanentes de Bênção (só vale com a Bênção adquirida)</t>
        </is>
      </c>
    </row>
    <row r="95" ht="49" customHeight="1">
      <c r="A95" s="8" t="inlineStr">
        <is>
          <t>Fragmentos do Eu Perdido: Memória escolhida</t>
        </is>
      </c>
      <c r="B95" s="23" t="n"/>
      <c r="C95" s="29" t="n"/>
      <c r="D95" s="4">
        <f>"Fúria: +1d8 nos ataques dele e nos seus com ele ativo · Guarda: +Eficiência de Defesa com ele ativo · Sabedoria: Eficácia em um Teste de Perícia, 2 vezes por dia"</f>
        <v/>
      </c>
      <c r="K95" s="13">
        <f>IF(T95&gt;0,"O Google leu como fórmula: escolha de novo na lista.",IF($P$95="","",IF(OR($P$95="Fúria",$P$95="Guarda",$P$95="Sabedoria"),"","Escolha uma opção da lista. ")&amp;IF((COUNTIF($I$27:$I$36,"Fragmentos do Eu Perdido")&gt;0),"","Só vale com a Bênção Fragmentos do Eu Perdido num slot liberado.")))</f>
        <v/>
      </c>
      <c r="P95">
        <f>IF(ISERROR($B$95),"",IF(ISBLANK($B$95),"",$B$95))</f>
        <v/>
      </c>
      <c r="T95">
        <f>ISERROR($B$95)*1</f>
        <v/>
      </c>
    </row>
    <row r="96" ht="49" customHeight="1">
      <c r="A96" s="8" t="inlineStr">
        <is>
          <t>Avatar da Recordação: Forma escolhida</t>
        </is>
      </c>
      <c r="B96" s="23" t="n"/>
      <c r="C96" s="29" t="n"/>
      <c r="D96" s="4">
        <f>"Manifestada: o Memoespírito ganha +1 Distância e +2 dados · Sincronizada: você ganha PV +2 × nível, +1 de Defesa e +1 dado base nos seus ataques"</f>
        <v/>
      </c>
      <c r="K96" s="13">
        <f>IF(T96&gt;0,"O Google leu como fórmula: escolha de novo na lista.",IF($P$96="","",IF(OR($P$96="Manifestada",$P$96="Sincronizada"),"","Escolha uma opção da lista. ")&amp;IF((COUNTIF($I$27:$I$36,"Avatar da Recordação")&gt;0),"","Só vale com a Bênção Avatar da Recordação num slot liberado.")))</f>
        <v/>
      </c>
      <c r="P96">
        <f>IF(ISERROR($B$96),"",IF(ISBLANK($B$96),"",$B$96))</f>
        <v/>
      </c>
      <c r="T96">
        <f>ISERROR($B$96)*1</f>
        <v/>
      </c>
    </row>
  </sheetData>
  <mergeCells count="106">
    <mergeCell ref="B91:C91"/>
    <mergeCell ref="G21:H21"/>
    <mergeCell ref="K95:L95"/>
    <mergeCell ref="K33:L33"/>
    <mergeCell ref="E8:F8"/>
    <mergeCell ref="K26:L26"/>
    <mergeCell ref="K35:L35"/>
    <mergeCell ref="B86:C86"/>
    <mergeCell ref="B67:C67"/>
    <mergeCell ref="K76:L76"/>
    <mergeCell ref="D76:H76"/>
    <mergeCell ref="K58:L58"/>
    <mergeCell ref="B69:C69"/>
    <mergeCell ref="D75:H75"/>
    <mergeCell ref="K67:L67"/>
    <mergeCell ref="B78:C78"/>
    <mergeCell ref="D96:I96"/>
    <mergeCell ref="E73:H73"/>
    <mergeCell ref="A22:B22"/>
    <mergeCell ref="K28:L28"/>
    <mergeCell ref="A13:H13"/>
    <mergeCell ref="G22:H22"/>
    <mergeCell ref="K69:L69"/>
    <mergeCell ref="C25:E25"/>
    <mergeCell ref="K78:L78"/>
    <mergeCell ref="D95:I95"/>
    <mergeCell ref="K30:L30"/>
    <mergeCell ref="A15:H15"/>
    <mergeCell ref="B90:C90"/>
    <mergeCell ref="A3:L3"/>
    <mergeCell ref="K55:L55"/>
    <mergeCell ref="K64:L64"/>
    <mergeCell ref="D2:E2"/>
    <mergeCell ref="D57:H57"/>
    <mergeCell ref="A16:H16"/>
    <mergeCell ref="K32:L32"/>
    <mergeCell ref="A5:L5"/>
    <mergeCell ref="K63:L63"/>
    <mergeCell ref="K72:L72"/>
    <mergeCell ref="B7:H7"/>
    <mergeCell ref="K96:L96"/>
    <mergeCell ref="A18:H18"/>
    <mergeCell ref="K56:L56"/>
    <mergeCell ref="A38:L38"/>
    <mergeCell ref="K27:L27"/>
    <mergeCell ref="B84:C84"/>
    <mergeCell ref="A24:L24"/>
    <mergeCell ref="B6:C6"/>
    <mergeCell ref="B80:C80"/>
    <mergeCell ref="B95:C95"/>
    <mergeCell ref="B89:C89"/>
    <mergeCell ref="K66:L66"/>
    <mergeCell ref="D54:H54"/>
    <mergeCell ref="D69:H69"/>
    <mergeCell ref="B9:H9"/>
    <mergeCell ref="B72:C72"/>
    <mergeCell ref="B81:C81"/>
    <mergeCell ref="B55:E55"/>
    <mergeCell ref="B56:C56"/>
    <mergeCell ref="B71:C71"/>
    <mergeCell ref="B96:C96"/>
    <mergeCell ref="K54:L54"/>
    <mergeCell ref="B58:C58"/>
    <mergeCell ref="K60:L60"/>
    <mergeCell ref="K29:L29"/>
    <mergeCell ref="K31:L31"/>
    <mergeCell ref="B57:C57"/>
    <mergeCell ref="B88:C88"/>
    <mergeCell ref="B82:C82"/>
    <mergeCell ref="A20:L20"/>
    <mergeCell ref="A21:B21"/>
    <mergeCell ref="E6:F6"/>
    <mergeCell ref="K71:L71"/>
    <mergeCell ref="D71:H71"/>
    <mergeCell ref="B83:C83"/>
    <mergeCell ref="A17:H17"/>
    <mergeCell ref="B92:C92"/>
    <mergeCell ref="K73:L73"/>
    <mergeCell ref="K65:L65"/>
    <mergeCell ref="D67:E67"/>
    <mergeCell ref="J2:K2"/>
    <mergeCell ref="B85:C85"/>
    <mergeCell ref="K57:L57"/>
    <mergeCell ref="K34:L34"/>
    <mergeCell ref="E72:H72"/>
    <mergeCell ref="G8:H8"/>
    <mergeCell ref="K36:L36"/>
    <mergeCell ref="B70:C70"/>
    <mergeCell ref="D77:H77"/>
    <mergeCell ref="K75:L75"/>
    <mergeCell ref="D70:H70"/>
    <mergeCell ref="A53:L53"/>
    <mergeCell ref="B73:C73"/>
    <mergeCell ref="A12:H12"/>
    <mergeCell ref="B87:C87"/>
    <mergeCell ref="K59:L59"/>
    <mergeCell ref="K77:L77"/>
    <mergeCell ref="A14:H14"/>
    <mergeCell ref="K61:L61"/>
    <mergeCell ref="D56:H56"/>
    <mergeCell ref="K70:L70"/>
    <mergeCell ref="A11:L11"/>
    <mergeCell ref="A1:L1"/>
    <mergeCell ref="A94:L94"/>
    <mergeCell ref="A79:L79"/>
    <mergeCell ref="K62:L62"/>
  </mergeCells>
  <conditionalFormatting sqref="A54:K92">
    <cfRule type="expression" priority="1" dxfId="1">
      <formula>$B$54="Não"</formula>
    </cfRule>
  </conditionalFormatting>
  <conditionalFormatting sqref="K27">
    <cfRule type="expression" priority="2" dxfId="0">
      <formula>LEN(K27)&gt;0</formula>
    </cfRule>
  </conditionalFormatting>
  <conditionalFormatting sqref="K28">
    <cfRule type="expression" priority="3" dxfId="0">
      <formula>LEN(K28)&gt;0</formula>
    </cfRule>
  </conditionalFormatting>
  <conditionalFormatting sqref="K29">
    <cfRule type="expression" priority="4" dxfId="0">
      <formula>LEN(K29)&gt;0</formula>
    </cfRule>
  </conditionalFormatting>
  <conditionalFormatting sqref="K30">
    <cfRule type="expression" priority="5" dxfId="0">
      <formula>LEN(K30)&gt;0</formula>
    </cfRule>
  </conditionalFormatting>
  <conditionalFormatting sqref="K31">
    <cfRule type="expression" priority="6" dxfId="0">
      <formula>LEN(K31)&gt;0</formula>
    </cfRule>
  </conditionalFormatting>
  <conditionalFormatting sqref="K32">
    <cfRule type="expression" priority="7" dxfId="0">
      <formula>LEN(K32)&gt;0</formula>
    </cfRule>
  </conditionalFormatting>
  <conditionalFormatting sqref="K33">
    <cfRule type="expression" priority="8" dxfId="0">
      <formula>LEN(K33)&gt;0</formula>
    </cfRule>
  </conditionalFormatting>
  <conditionalFormatting sqref="K34">
    <cfRule type="expression" priority="9" dxfId="0">
      <formula>LEN(K34)&gt;0</formula>
    </cfRule>
  </conditionalFormatting>
  <conditionalFormatting sqref="K35">
    <cfRule type="expression" priority="10" dxfId="0">
      <formula>LEN(K35)&gt;0</formula>
    </cfRule>
  </conditionalFormatting>
  <conditionalFormatting sqref="K36">
    <cfRule type="expression" priority="11" dxfId="0">
      <formula>LEN(K36)&gt;0</formula>
    </cfRule>
  </conditionalFormatting>
  <conditionalFormatting sqref="K60">
    <cfRule type="expression" priority="12" dxfId="0">
      <formula>LEN(K60)&gt;0</formula>
    </cfRule>
  </conditionalFormatting>
  <conditionalFormatting sqref="K61">
    <cfRule type="expression" priority="13" dxfId="0">
      <formula>LEN(K61)&gt;0</formula>
    </cfRule>
  </conditionalFormatting>
  <conditionalFormatting sqref="K62">
    <cfRule type="expression" priority="14" dxfId="0">
      <formula>LEN(K62)&gt;0</formula>
    </cfRule>
  </conditionalFormatting>
  <conditionalFormatting sqref="K63">
    <cfRule type="expression" priority="15" dxfId="0">
      <formula>LEN(K63)&gt;0</formula>
    </cfRule>
  </conditionalFormatting>
  <conditionalFormatting sqref="K64">
    <cfRule type="expression" priority="16" dxfId="0">
      <formula>LEN(K64)&gt;0</formula>
    </cfRule>
  </conditionalFormatting>
  <conditionalFormatting sqref="K65">
    <cfRule type="expression" priority="17" dxfId="0">
      <formula>LEN(K65)&gt;0</formula>
    </cfRule>
  </conditionalFormatting>
  <conditionalFormatting sqref="K66">
    <cfRule type="expression" priority="18" dxfId="0">
      <formula>LEN(K66)&gt;0</formula>
    </cfRule>
  </conditionalFormatting>
  <conditionalFormatting sqref="K69">
    <cfRule type="expression" priority="19" dxfId="0">
      <formula>LEN(K69)&gt;0</formula>
    </cfRule>
  </conditionalFormatting>
  <conditionalFormatting sqref="K70">
    <cfRule type="expression" priority="20" dxfId="0">
      <formula>LEN(K70)&gt;0</formula>
    </cfRule>
  </conditionalFormatting>
  <conditionalFormatting sqref="K71">
    <cfRule type="expression" priority="21" dxfId="0">
      <formula>LEN(K71)&gt;0</formula>
    </cfRule>
  </conditionalFormatting>
  <conditionalFormatting sqref="K75">
    <cfRule type="expression" priority="22" dxfId="0">
      <formula>LEN(K75)&gt;0</formula>
    </cfRule>
  </conditionalFormatting>
  <conditionalFormatting sqref="K76">
    <cfRule type="expression" priority="23" dxfId="0">
      <formula>LEN(K76)&gt;0</formula>
    </cfRule>
  </conditionalFormatting>
  <conditionalFormatting sqref="K77">
    <cfRule type="expression" priority="24" dxfId="0">
      <formula>LEN(K77)&gt;0</formula>
    </cfRule>
  </conditionalFormatting>
  <conditionalFormatting sqref="K54">
    <cfRule type="expression" priority="25" dxfId="0">
      <formula>LEN(K54)&gt;0</formula>
    </cfRule>
  </conditionalFormatting>
  <conditionalFormatting sqref="K95">
    <cfRule type="expression" priority="26" dxfId="0">
      <formula>LEN(K95)&gt;0</formula>
    </cfRule>
  </conditionalFormatting>
  <conditionalFormatting sqref="K96">
    <cfRule type="expression" priority="27" dxfId="0">
      <formula>LEN(K96)&gt;0</formula>
    </cfRule>
  </conditionalFormatting>
  <conditionalFormatting sqref="K55">
    <cfRule type="expression" priority="28" dxfId="0">
      <formula>LEN(K55)&gt;0</formula>
    </cfRule>
  </conditionalFormatting>
  <conditionalFormatting sqref="K56">
    <cfRule type="expression" priority="29" dxfId="0">
      <formula>LEN(K56)&gt;0</formula>
    </cfRule>
  </conditionalFormatting>
  <conditionalFormatting sqref="K57">
    <cfRule type="expression" priority="30" dxfId="0">
      <formula>LEN(K57)&gt;0</formula>
    </cfRule>
  </conditionalFormatting>
  <conditionalFormatting sqref="K58">
    <cfRule type="expression" priority="31" dxfId="0">
      <formula>LEN(K58)&gt;0</formula>
    </cfRule>
  </conditionalFormatting>
  <conditionalFormatting sqref="K67">
    <cfRule type="expression" priority="32" dxfId="0">
      <formula>LEN(K67)&gt;0</formula>
    </cfRule>
  </conditionalFormatting>
  <conditionalFormatting sqref="K72">
    <cfRule type="expression" priority="33" dxfId="0">
      <formula>LEN(K72)&gt;0</formula>
    </cfRule>
  </conditionalFormatting>
  <conditionalFormatting sqref="K73">
    <cfRule type="expression" priority="34" dxfId="0">
      <formula>LEN(K73)&gt;0</formula>
    </cfRule>
  </conditionalFormatting>
  <conditionalFormatting sqref="K78">
    <cfRule type="expression" priority="35" dxfId="0">
      <formula>LEN(K78)&gt;0</formula>
    </cfRule>
  </conditionalFormatting>
  <dataValidations count="29">
    <dataValidation sqref="C27" showDropDown="0" showInputMessage="0" showErrorMessage="1" allowBlank="1" errorTitle="Fora da lista" error="Bênção do slot 1: escolha um valor da lista. A ficha pode não reconhecer outro valor." type="list" errorStyle="warning">
      <formula1>$N$27:$N$38</formula1>
    </dataValidation>
    <dataValidation sqref="C28" showDropDown="0" showInputMessage="0" showErrorMessage="1" allowBlank="1" errorTitle="Fora da lista" error="Bênção do slot 2: escolha um valor da lista. A ficha pode não reconhecer outro valor." type="list" errorStyle="warning">
      <formula1>$N$27:$N$38</formula1>
    </dataValidation>
    <dataValidation sqref="C29" showDropDown="0" showInputMessage="0" showErrorMessage="1" allowBlank="1" errorTitle="Fora da lista" error="Bênção do slot 3: escolha um valor da lista. A ficha pode não reconhecer outro valor." type="list" errorStyle="warning">
      <formula1>$N$27:$N$38</formula1>
    </dataValidation>
    <dataValidation sqref="C30" showDropDown="0" showInputMessage="0" showErrorMessage="1" allowBlank="1" errorTitle="Fora da lista" error="Bênção do slot 4: escolha um valor da lista. A ficha pode não reconhecer outro valor." type="list" errorStyle="warning">
      <formula1>$N$27:$N$38</formula1>
    </dataValidation>
    <dataValidation sqref="C31" showDropDown="0" showInputMessage="0" showErrorMessage="1" allowBlank="1" errorTitle="Fora da lista" error="Bênção do slot 5: escolha um valor da lista. A ficha pode não reconhecer outro valor." type="list" errorStyle="warning">
      <formula1>$N$27:$N$38</formula1>
    </dataValidation>
    <dataValidation sqref="C32" showDropDown="0" showInputMessage="0" showErrorMessage="1" allowBlank="1" errorTitle="Fora da lista" error="Bênção do slot 6: escolha um valor da lista. A ficha pode não reconhecer outro valor." type="list" errorStyle="warning">
      <formula1>$N$27:$N$38</formula1>
    </dataValidation>
    <dataValidation sqref="C33" showDropDown="0" showInputMessage="0" showErrorMessage="1" allowBlank="1" errorTitle="Fora da lista" error="Bênção do slot 7: escolha um valor da lista. A ficha pode não reconhecer outro valor." type="list" errorStyle="warning">
      <formula1>$N$27:$N$38</formula1>
    </dataValidation>
    <dataValidation sqref="C34" showDropDown="0" showInputMessage="0" showErrorMessage="1" allowBlank="1" errorTitle="Fora da lista" error="Bênção do slot 8: escolha um valor da lista. A ficha pode não reconhecer outro valor." type="list" errorStyle="warning">
      <formula1>$N$27:$N$38</formula1>
    </dataValidation>
    <dataValidation sqref="C35" showDropDown="0" showInputMessage="0" showErrorMessage="1" allowBlank="1" errorTitle="Fora da lista" error="Bênção do slot 9: escolha um valor da lista. A ficha pode não reconhecer outro valor." type="list" errorStyle="warning">
      <formula1>$N$27:$N$38</formula1>
    </dataValidation>
    <dataValidation sqref="C36" showDropDown="0" showInputMessage="0" showErrorMessage="1" allowBlank="1" errorTitle="Fora da lista" error="Bênção do slot 10: escolha um valor da lista. A ficha pode não reconhecer outro valor." type="list" errorStyle="warning">
      <formula1>$N$27:$N$38</formula1>
    </dataValidation>
    <dataValidation sqref="B56" showDropDown="0" showInputMessage="0" showErrorMessage="1" allowBlank="1" errorTitle="Fora da lista" error="Conceito (11.3 Passo 2): escolha um valor da lista. A ficha pode não reconhecer outro valor." type="list" errorStyle="warning">
      <formula1>'Dados'!$AC$6:$AC$10</formula1>
    </dataValidation>
    <dataValidation sqref="B57" showDropDown="0" showInputMessage="0" showErrorMessage="1" allowBlank="1" errorTitle="Fora da lista" error="Função (11.3 Passo 3): escolha um valor da lista. A ficha pode não reconhecer outro valor." type="list" errorStyle="warning">
      <formula1>'Dados'!$AD$6:$AD$9</formula1>
    </dataValidation>
    <dataValidation sqref="B58" showDropDown="0" showInputMessage="0" showErrorMessage="1" allowBlank="1" errorTitle="Fora da lista" error="Elemento dele: escolha um valor da lista. A ficha pode não reconhecer outro valor." type="list" errorStyle="warning">
      <formula1>'Dados'!$R$6:$R$12</formula1>
    </dataValidation>
    <dataValidation sqref="B60" showDropDown="0" showInputMessage="0" showErrorMessage="1" allowBlank="1" errorTitle="Valor fora da faixa" error="Pontos em Poder: use um número inteiro de 0 a 5." type="whole" errorStyle="warning" operator="between">
      <formula1>0</formula1>
      <formula2>5</formula2>
    </dataValidation>
    <dataValidation sqref="B61" showDropDown="0" showInputMessage="0" showErrorMessage="1" allowBlank="1" errorTitle="Valor fora da faixa" error="Pontos em Agilidade: use um número inteiro de 0 a 5." type="whole" errorStyle="warning" operator="between">
      <formula1>0</formula1>
      <formula2>5</formula2>
    </dataValidation>
    <dataValidation sqref="B62" showDropDown="0" showInputMessage="0" showErrorMessage="1" allowBlank="1" errorTitle="Valor fora da faixa" error="Pontos em Vigor: use um número inteiro de 0 a 5." type="whole" errorStyle="warning" operator="between">
      <formula1>0</formula1>
      <formula2>5</formula2>
    </dataValidation>
    <dataValidation sqref="B63" showDropDown="0" showInputMessage="0" showErrorMessage="1" allowBlank="1" errorTitle="Valor fora da faixa" error="Pontos em Sincronia: use um número inteiro de 0 a 5." type="whole" errorStyle="warning" operator="between">
      <formula1>0</formula1>
      <formula2>5</formula2>
    </dataValidation>
    <dataValidation sqref="B64" showDropDown="0" showInputMessage="0" showErrorMessage="1" allowBlank="1" errorTitle="Valor fora da faixa" error="Pontos em Discernimento: use um número inteiro de 0 a 5." type="whole" errorStyle="warning" operator="between">
      <formula1>0</formula1>
      <formula2>5</formula2>
    </dataValidation>
    <dataValidation sqref="B65" showDropDown="0" showInputMessage="0" showErrorMessage="1" allowBlank="1" errorTitle="Valor fora da faixa" error="Pontos em Presença: use um número inteiro de 0 a 5." type="whole" errorStyle="warning" operator="between">
      <formula1>0</formula1>
      <formula2>5</formula2>
    </dataValidation>
    <dataValidation sqref="B67" showDropDown="0" showInputMessage="0" showErrorMessage="1" allowBlank="1" errorTitle="Fora da lista" error="Atributo de ataque: escolha um valor da lista. A ficha pode não reconhecer outro valor." type="list" errorStyle="warning">
      <formula1>'Dados'!$Q$6:$Q$11</formula1>
    </dataValidation>
    <dataValidation sqref="B69" showDropDown="0" showInputMessage="0" showErrorMessage="1" allowBlank="1" errorTitle="Fora da lista" error="Bônus menor 1: escolha um valor da lista. A ficha pode não reconhecer outro valor." type="list" errorStyle="warning">
      <formula1>'Dados'!$AE$6:$AE$11</formula1>
    </dataValidation>
    <dataValidation sqref="B70" showDropDown="0" showInputMessage="0" showErrorMessage="1" allowBlank="1" errorTitle="Fora da lista" error="Bônus menor 2: escolha um valor da lista. A ficha pode não reconhecer outro valor." type="list" errorStyle="warning">
      <formula1>'Dados'!$AE$6:$AE$11</formula1>
    </dataValidation>
    <dataValidation sqref="B71" showDropDown="0" showInputMessage="0" showErrorMessage="1" allowBlank="1" errorTitle="Fora da lista" error="Bônus menor 3: escolha um valor da lista. A ficha pode não reconhecer outro valor." type="list" errorStyle="warning">
      <formula1>'Dados'!$AE$6:$AE$11</formula1>
    </dataValidation>
    <dataValidation sqref="C75" showDropDown="0" showInputMessage="0" showErrorMessage="1" allowBlank="1" errorTitle="Fora da lista" error="Evolução do nível 8: escolha um valor da lista. A ficha pode não reconhecer outro valor." type="list" errorStyle="warning">
      <formula1>'Dados'!$AF$6:$AF$8</formula1>
    </dataValidation>
    <dataValidation sqref="C76" showDropDown="0" showInputMessage="0" showErrorMessage="1" allowBlank="1" errorTitle="Fora da lista" error="Evolução do nível 14: escolha um valor da lista. A ficha pode não reconhecer outro valor." type="list" errorStyle="warning">
      <formula1>'Dados'!$AF$6:$AF$8</formula1>
    </dataValidation>
    <dataValidation sqref="C77" showDropDown="0" showInputMessage="0" showErrorMessage="1" allowBlank="1" errorTitle="Fora da lista" error="Evolução do nível 20: escolha um valor da lista. A ficha pode não reconhecer outro valor." type="list" errorStyle="warning">
      <formula1>'Dados'!$AF$6:$AF$8</formula1>
    </dataValidation>
    <dataValidation sqref="B78" showDropDown="0" showInputMessage="0" showErrorMessage="1" allowBlank="1" errorTitle="Fora da lista" error="Memória Desperta: escolha um valor da lista. A ficha pode não reconhecer outro valor." type="list" errorStyle="warning">
      <formula1>"Defesa,Velocidade"</formula1>
    </dataValidation>
    <dataValidation sqref="B95" showDropDown="0" showInputMessage="0" showErrorMessage="1" allowBlank="1" errorTitle="Fora da lista" error="Fragmentos do Eu Perdido: Memória escolhida: escolha um valor da lista. A ficha pode não reconhecer outro valor." type="list" errorStyle="warning">
      <formula1>"Fúria,Guarda,Sabedoria"</formula1>
    </dataValidation>
    <dataValidation sqref="B96" showDropDown="0" showInputMessage="0" showErrorMessage="1" allowBlank="1" errorTitle="Fora da lista" error="Avatar da Recordação: Forma escolhida: escolha um valor da lista. A ficha pode não reconhecer outro valor." type="list" errorStyle="warning">
      <formula1>"Manifestada,Sincronizada"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M97"/>
  <sheetViews>
    <sheetView showGridLines="1" workbookViewId="0">
      <selection activeCell="A1" sqref="A1"/>
    </sheetView>
  </sheetViews>
  <sheetFormatPr baseColWidth="8" defaultRowHeight="15"/>
  <cols>
    <col width="20" customWidth="1" min="1" max="1"/>
    <col width="18" customWidth="1" min="2" max="2"/>
    <col width="16" customWidth="1" min="3" max="3"/>
    <col width="13" customWidth="1" min="4" max="4"/>
    <col width="14" customWidth="1" min="5" max="5"/>
    <col width="20" customWidth="1" min="6" max="6"/>
    <col width="11" customWidth="1" min="7" max="7"/>
    <col width="10" customWidth="1" min="8" max="8"/>
    <col width="11.8" customWidth="1" min="9" max="9"/>
    <col width="13" customWidth="1" min="10" max="10"/>
    <col width="12" customWidth="1" min="11" max="11"/>
    <col width="27.071" customWidth="1" min="12" max="12"/>
    <col hidden="1" width="2" customWidth="1" min="13" max="13"/>
    <col hidden="1" width="2" customWidth="1" min="14" max="14"/>
    <col hidden="1" width="2" customWidth="1" min="15" max="15"/>
    <col hidden="1" width="8.6" customWidth="1" min="16" max="16"/>
    <col hidden="1" width="4.7" customWidth="1" min="17" max="17"/>
    <col hidden="1" width="3.4" customWidth="1" min="18" max="18"/>
    <col hidden="1" width="5.5" customWidth="1" min="19" max="19"/>
    <col hidden="1" width="3.4" customWidth="1" min="20" max="20"/>
    <col hidden="1" width="2" customWidth="1" min="21" max="21"/>
    <col hidden="1" width="9.300000000000001" customWidth="1" min="22" max="22"/>
    <col hidden="1" width="7.8" customWidth="1" min="23" max="23"/>
    <col hidden="1" width="2" customWidth="1" min="24" max="24"/>
    <col hidden="1" width="11.8" customWidth="1" min="25" max="25"/>
    <col hidden="1" width="2" customWidth="1" min="26" max="26"/>
    <col hidden="1" width="8" customWidth="1" min="27" max="27"/>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s>
  <sheetData>
    <row r="1" ht="24" customHeight="1">
      <c r="A1" s="1" t="inlineStr">
        <is>
          <t>Equipamento — Explorando Galáxias v1.1</t>
        </is>
      </c>
    </row>
    <row r="2" ht="37" customHeight="1">
      <c r="A2" s="2" t="inlineStr">
        <is>
          <t>Legenda:</t>
        </is>
      </c>
      <c r="B2" s="3" t="inlineStr">
        <is>
          <t>Entrada (preencha)</t>
        </is>
      </c>
      <c r="C2" s="4" t="inlineStr">
        <is>
          <t>Calculada (automático)</t>
        </is>
      </c>
      <c r="D2" s="5" t="inlineStr">
        <is>
          <t>Aviso (texto em vermelho)</t>
        </is>
      </c>
      <c r="E2" s="6" t="inlineStr">
        <is>
          <t>Título de bloco</t>
        </is>
      </c>
      <c r="F2" s="7" t="inlineStr">
        <is>
          <t>Cabeçalho de coluna</t>
        </is>
      </c>
      <c r="G2" s="8" t="inlineStr">
        <is>
          <t>Rótulo da linha</t>
        </is>
      </c>
      <c r="H2" s="9" t="inlineStr">
        <is>
          <t>Linha alternada (outro tom)</t>
        </is>
      </c>
      <c r="J2" s="10" t="inlineStr">
        <is>
          <t>Não se aplica</t>
        </is>
      </c>
    </row>
    <row r="3">
      <c r="A3" s="11" t="inlineStr">
        <is>
          <t>Arma, armadura, Cone de Luz, Relíquias, inventário e Créditos.</t>
        </is>
      </c>
    </row>
    <row r="4"/>
    <row r="5">
      <c r="A5" s="14" t="inlineStr">
        <is>
          <t>Armas e armadura — a arma principal e a armadura vêm da aba Criação (Passos 8 e 12)</t>
        </is>
      </c>
    </row>
    <row r="6" ht="37" customHeight="1">
      <c r="A6" s="7" t="inlineStr">
        <is>
          <t>Arma</t>
        </is>
      </c>
      <c r="B6" s="7" t="inlineStr">
        <is>
          <t>Nome</t>
        </is>
      </c>
      <c r="C6" s="7" t="inlineStr">
        <is>
          <t>Categoria</t>
        </is>
      </c>
      <c r="D6" s="7" t="inlineStr">
        <is>
          <t>Atributo (só arma Média)</t>
        </is>
      </c>
      <c r="E6" s="7" t="inlineStr">
        <is>
          <t>Elemento próprio</t>
        </is>
      </c>
      <c r="F6" s="7" t="inlineStr">
        <is>
          <t>Propriedade especial</t>
        </is>
      </c>
      <c r="G6" s="7" t="inlineStr">
        <is>
          <t>Espaço</t>
        </is>
      </c>
      <c r="H6" s="7" t="inlineStr">
        <is>
          <t>Dados base</t>
        </is>
      </c>
      <c r="I6" s="7" t="inlineStr">
        <is>
          <t>Atributo de ataque</t>
        </is>
      </c>
      <c r="J6" s="7" t="inlineStr">
        <is>
          <t>Elemento do Ataque Básico</t>
        </is>
      </c>
      <c r="K6" s="7" t="inlineStr">
        <is>
          <t>Aviso</t>
        </is>
      </c>
      <c r="L6" s="15" t="n"/>
    </row>
    <row r="7" ht="37" customHeight="1">
      <c r="A7" s="8" t="inlineStr">
        <is>
          <t>Principal (edite na aba Criação)</t>
        </is>
      </c>
      <c r="B7" s="4">
        <f>IF(LEN('Criação'!$Q$107)=0,"—",""&amp;'Criação'!$Q$107)</f>
        <v/>
      </c>
      <c r="C7" s="4">
        <f>IF(LEN('Criação'!$Q$108)=0,"—",""&amp;'Criação'!$Q$108)</f>
        <v/>
      </c>
      <c r="D7" s="4">
        <f>IF(LEN('Criação'!$Q$109)=0,"—",""&amp;'Criação'!$Q$109)</f>
        <v/>
      </c>
      <c r="E7" s="4">
        <f>IF(LEN('Criação'!$Q$110)=0,"—",""&amp;'Criação'!$Q$110)</f>
        <v/>
      </c>
      <c r="F7" s="22">
        <f>IF(LEN('Criação'!$Q$111)=0,"Nenhuma",""&amp;'Criação'!$Q$111)</f>
        <v/>
      </c>
      <c r="G7" s="22">
        <f>'Criação'!$B$112</f>
        <v/>
      </c>
      <c r="H7" s="22">
        <f>IF('Criação'!$Q$108="","",IFERROR(VLOOKUP('Criação'!$Q$108,'Dados'!$A$457:$J$462,2,FALSE),""))</f>
        <v/>
      </c>
      <c r="I7" s="22">
        <f>'Criação'!$D$109</f>
        <v/>
      </c>
      <c r="J7" s="22">
        <f>IF('Criação'!$Q$108="","",'Criação'!$D$110)</f>
        <v/>
      </c>
    </row>
    <row r="8" ht="94" customHeight="1">
      <c r="A8" s="33" t="inlineStr">
        <is>
          <t>Secundária (preencha)</t>
        </is>
      </c>
      <c r="B8" s="60" t="n"/>
      <c r="C8" s="36" t="n"/>
      <c r="D8" s="36" t="n"/>
      <c r="E8" s="36" t="n"/>
      <c r="F8" s="36" t="n"/>
      <c r="G8" s="21">
        <f>IF($AE$8="",0,IF($AH$8="Dissimulada",0.5,IFERROR(VLOOKUP($AE$8,'Dados'!$A$457:$J$462,8,FALSE),0)))</f>
        <v/>
      </c>
      <c r="H8" s="21">
        <f>IF($AE$8="","",IFERROR(VLOOKUP($AE$8,'Dados'!$A$457:$J$462,2,FALSE),""))</f>
        <v/>
      </c>
      <c r="I8" s="9">
        <f>IF($AE$8="","",IF($AE$8="Média",IF(OR($AF$8="Poder",$AF$8="Agilidade"),$AF$8,"Poder"),IFERROR(VLOOKUP($AE$8,'Dados'!$A$457:$J$462,6,FALSE),"")))</f>
        <v/>
      </c>
      <c r="J8" s="21">
        <f>IF($AE$8="","",IF($AG$8="","Físico",$AG$8))</f>
        <v/>
      </c>
      <c r="K8" s="20">
        <f>IF(AM8&gt;0,"O Google leu como fórmula: escolha de novo ou digite com ' na frente.",IF(AND($AE$8&lt;&gt;"",COUNTIF('Dados'!$T$6:$T$11,$AE$8)=0),"Categoria fora da lista do capítulo 24. ","")&amp;IF(AND($AF$8&lt;&gt;"",$AE$8&lt;&gt;"Média"),"O atributo só se escolhe na arma Média. ","")&amp;IF(AND($AE$8="Média",$AF$8=""),"Arma Média: escolha Poder ou Agilidade (contando Poder). ","")&amp;IF(AND($AG$8&lt;&gt;"",COUNTIF('Dados'!$R$6:$R$12,$AG$8)=0),"Elemento fora da lista do capítulo 20. ","")&amp;IF(AND($AH$8&lt;&gt;"",COUNTIF('Dados'!$V$6:$V$11,$AH$8)=0),"Só uma propriedade especial por arma (24.2): escolha uma da lista. ","")&amp;IF(AND($AE$8="",OR(LEN($AD$8)&gt;0,$AF$8&lt;&gt;"",$AG$8&lt;&gt;"",$AH$8&lt;&gt;"")),"Escolha a categoria da arma secundária.",""))</f>
        <v/>
      </c>
      <c r="AD8">
        <f>IF(ISERROR($B$8),"",IF(ISBLANK($B$8),"",$B$8))</f>
        <v/>
      </c>
      <c r="AE8">
        <f>IF(ISERROR($C$8),"",IF(ISBLANK($C$8),"",$C$8))</f>
        <v/>
      </c>
      <c r="AF8">
        <f>IF(ISERROR($D$8),"",IF(ISBLANK($D$8),"",$D$8))</f>
        <v/>
      </c>
      <c r="AG8">
        <f>IF(ISERROR($E$8),"",IF(ISBLANK($E$8),"",$E$8))</f>
        <v/>
      </c>
      <c r="AH8">
        <f>IF(ISERROR($F$8),"",IF(ISBLANK($F$8),"",$F$8))</f>
        <v/>
      </c>
      <c r="AM8">
        <f>ISERROR($B$8)*1+ISERROR($C$8)*1+ISERROR($D$8)*1+ISERROR($E$8)*1+ISERROR($F$8)*1</f>
        <v/>
      </c>
    </row>
    <row r="9" ht="26" customHeight="1">
      <c r="A9" s="8" t="inlineStr">
        <is>
          <t>Armadura (edite na aba Criação)</t>
        </is>
      </c>
      <c r="B9" s="22">
        <f>IF(LEN('Criação'!$Q$91)=0,"Sem armadura",""&amp;'Criação'!$Q$91)</f>
        <v/>
      </c>
      <c r="C9" s="22">
        <f>"Defesa +"&amp;'Criação'!$B$93</f>
        <v/>
      </c>
      <c r="D9" s="22">
        <f>"RD "&amp;'Criação'!$D$93</f>
        <v/>
      </c>
      <c r="E9" s="22">
        <f>"Velocidade "&amp;IF('Criação'!$C$93&gt;=0,"+","")&amp;'Criação'!$C$93</f>
        <v/>
      </c>
      <c r="F9" s="22">
        <f>"Esquiva: "&amp;'Criação'!$F$93</f>
        <v/>
      </c>
      <c r="G9" s="22">
        <f>IFERROR(VLOOKUP('Criação'!$Q$91,'Dados'!$A$474:$I$476,5,FALSE),0)</f>
        <v/>
      </c>
    </row>
    <row r="10"/>
    <row r="11">
      <c r="A11" s="14" t="inlineStr">
        <is>
          <t>Ataque Básico — 18.2 e 18.5 (dano = dados + atributo + equipamento: Mãos, Cone e Conjuntos, 25.3)</t>
        </is>
      </c>
    </row>
    <row r="12" ht="40" customHeight="1">
      <c r="A12" s="7" t="inlineStr">
        <is>
          <t>Arma</t>
        </is>
      </c>
      <c r="B12" s="7" t="inlineStr">
        <is>
          <t>Teste de Ataque</t>
        </is>
      </c>
      <c r="C12" s="7" t="inlineStr">
        <is>
          <t>Dano</t>
        </is>
      </c>
      <c r="D12" s="7" t="inlineStr">
        <is>
          <t>Média</t>
        </is>
      </c>
      <c r="E12" s="7" t="inlineStr">
        <is>
          <t>Fixo do atributo</t>
        </is>
      </c>
      <c r="F12" s="7" t="inlineStr">
        <is>
          <t>Fixo do equipamento</t>
        </is>
      </c>
      <c r="G12" s="7" t="inlineStr">
        <is>
          <t>Contra Fraqueza (+2 dados)</t>
        </is>
      </c>
      <c r="H12" s="7" t="inlineStr">
        <is>
          <t>Média</t>
        </is>
      </c>
      <c r="I12" s="7" t="inlineStr">
        <is>
          <t>Crítico</t>
        </is>
      </c>
      <c r="J12" s="7" t="inlineStr">
        <is>
          <t>Redução de Tenacidade</t>
        </is>
      </c>
      <c r="K12" s="7" t="inlineStr">
        <is>
          <t>Alcance</t>
        </is>
      </c>
      <c r="L12" s="7" t="inlineStr">
        <is>
          <t>Elemento</t>
        </is>
      </c>
      <c r="P12" s="7" t="inlineStr">
        <is>
          <t>nº de dados</t>
        </is>
      </c>
      <c r="Q12" s="7" t="inlineStr">
        <is>
          <t>face</t>
        </is>
      </c>
      <c r="R12" s="7" t="inlineStr">
        <is>
          <t>dano fixo</t>
        </is>
      </c>
      <c r="S12" s="7" t="inlineStr">
        <is>
          <t>equipamento</t>
        </is>
      </c>
      <c r="T12" s="7" t="inlineStr">
        <is>
          <t>ataque</t>
        </is>
      </c>
    </row>
    <row r="13">
      <c r="A13" s="16" t="inlineStr">
        <is>
          <t>Principal</t>
        </is>
      </c>
      <c r="B13" s="17">
        <f>IF('Criação'!$Q$108="","—","d20"&amp;IF($T$13&gt;=0,"+","")&amp;$T$13)</f>
        <v/>
      </c>
      <c r="C13" s="17">
        <f>IF('Criação'!$Q$108="","",IF($P$13&lt;=0,""&amp;($R$13+$S$13),$P$13&amp;"d"&amp;$Q$13&amp;IF(($R$13+$S$13)&gt;0,"+"&amp;($R$13+$S$13),IF(($R$13+$S$13)&lt;0,""&amp;($R$13+$S$13),""))))</f>
        <v/>
      </c>
      <c r="D13" s="17">
        <f>IF('Criação'!$Q$108="","",INT($P$13*($Q$13+1)/2)+($R$13+$S$13))</f>
        <v/>
      </c>
      <c r="E13" s="22">
        <f>IF('Criação'!$Q$108="","",$R$13)</f>
        <v/>
      </c>
      <c r="F13" s="22">
        <f>IF('Criação'!$Q$108="","",$S$13)</f>
        <v/>
      </c>
      <c r="G13" s="22">
        <f>IF('Criação'!$Q$108="","",IF(($P$13+2)&lt;=0,""&amp;($R$13+$S$13),($P$13+2)&amp;"d"&amp;$Q$13&amp;IF(($R$13+$S$13)&gt;0,"+"&amp;($R$13+$S$13),IF(($R$13+$S$13)&lt;0,""&amp;($R$13+$S$13),""))))</f>
        <v/>
      </c>
      <c r="H13" s="22">
        <f>IF('Criação'!$Q$108="","",INT(($P$13+2)*($Q$13+1)/2)+($R$13+$S$13))</f>
        <v/>
      </c>
      <c r="I13" s="22">
        <f>IF('Criação'!$Q$108="","",IF((COUNTIF('Caminho'!$I$27:$I$36,"Olho de Lan")&gt;0),"19-20","20"))</f>
        <v/>
      </c>
      <c r="J13" s="22">
        <f>IF('Criação'!$Q$108="","",1+IF('Criação'!$Q$111="Peso de impacto",1,0))</f>
        <v/>
      </c>
      <c r="K13" s="22">
        <f>IF('Criação'!$Q$108="","",IFERROR(INDEX('Dados'!$X$6:$X$10,MIN(5,MATCH(VLOOKUP('Criação'!$Q$108,'Dados'!$A$457:$J$462,5,FALSE),'Dados'!$X$6:$X$10,0)+IF('Criação'!$Q$111="Alcance estendido",1,0))),""))</f>
        <v/>
      </c>
      <c r="L13" s="22">
        <f>IF('Criação'!$Q$108="","",'Criação'!$D$110)</f>
        <v/>
      </c>
      <c r="P13" s="25">
        <f>IF('Criação'!$Q$108="",0,'Criação'!$D$16+IFERROR(VLOOKUP('Criação'!$Q$108,'Dados'!$A$457:$J$462,3,FALSE),1)-1+IF(AND((COUNTIF('Caminho'!$I$27:$I$36,"Avatar da Recordação")&gt;0),'Caminho'!$P$96="Sincronizada"),1,0))</f>
        <v/>
      </c>
      <c r="Q13" s="25">
        <f>IFERROR(VLOOKUP('Criação'!$Q$108,'Dados'!$A$457:$J$462,4,FALSE),0)</f>
        <v/>
      </c>
      <c r="R13" s="25">
        <f>IFERROR(INDEX('Criação'!$F$44:$F$49,MATCH('Criação'!$D$109,'Criação'!$A$44:$A$49,0)),0)</f>
        <v/>
      </c>
      <c r="S13" s="25">
        <f>$G$37+$D$31+$G$48</f>
        <v/>
      </c>
      <c r="T13" s="25">
        <f>IFERROR(INDEX('Criação'!$F$44:$F$49,MATCH('Criação'!$D$109,'Criação'!$A$44:$A$49,0)),0)+'Criação'!$C$14+'Criação'!$G$14+'Criação'!$B$124</f>
        <v/>
      </c>
    </row>
    <row r="14">
      <c r="A14" s="18" t="inlineStr">
        <is>
          <t>Secundária</t>
        </is>
      </c>
      <c r="B14" s="19">
        <f>IF($AE$8="","—","d20"&amp;IF($T$14&gt;=0,"+","")&amp;$T$14)</f>
        <v/>
      </c>
      <c r="C14" s="19">
        <f>IF($AE$8="","",IF($P$14&lt;=0,""&amp;($R$14+$S$14),$P$14&amp;"d"&amp;$Q$14&amp;IF(($R$14+$S$14)&gt;0,"+"&amp;($R$14+$S$14),IF(($R$14+$S$14)&lt;0,""&amp;($R$14+$S$14),""))))</f>
        <v/>
      </c>
      <c r="D14" s="19">
        <f>IF($AE$8="","",INT($P$14*($Q$14+1)/2)+($R$14+$S$14))</f>
        <v/>
      </c>
      <c r="E14" s="21">
        <f>IF($AE$8="","",$R$14)</f>
        <v/>
      </c>
      <c r="F14" s="21">
        <f>IF($AE$8="","",$S$14)</f>
        <v/>
      </c>
      <c r="G14" s="21">
        <f>IF($AE$8="","",IF(($P$14+2)&lt;=0,""&amp;($R$14+$S$14),($P$14+2)&amp;"d"&amp;$Q$14&amp;IF(($R$14+$S$14)&gt;0,"+"&amp;($R$14+$S$14),IF(($R$14+$S$14)&lt;0,""&amp;($R$14+$S$14),""))))</f>
        <v/>
      </c>
      <c r="H14" s="21">
        <f>IF($AE$8="","",INT(($P$14+2)*($Q$14+1)/2)+($R$14+$S$14))</f>
        <v/>
      </c>
      <c r="I14" s="21">
        <f>IF($AE$8="","",IF((COUNTIF('Caminho'!$I$27:$I$36,"Olho de Lan")&gt;0),"19-20","20"))</f>
        <v/>
      </c>
      <c r="J14" s="21">
        <f>IF($AE$8="","",1+IF($AH$8="Peso de impacto",1,0))</f>
        <v/>
      </c>
      <c r="K14" s="21">
        <f>IF($AE$8="","",IFERROR(INDEX('Dados'!$X$6:$X$10,MIN(5,MATCH(VLOOKUP($AE$8,'Dados'!$A$457:$J$462,5,FALSE),'Dados'!$X$6:$X$10,0)+IF($AH$8="Alcance estendido",1,0))),""))</f>
        <v/>
      </c>
      <c r="L14" s="21">
        <f>IF($AE$8="","",$J$8)</f>
        <v/>
      </c>
      <c r="M14" s="35" t="n"/>
      <c r="N14" s="35" t="n"/>
      <c r="O14" s="35" t="n"/>
      <c r="P14" s="25">
        <f>IF($AE$8="",0,'Criação'!$D$16+IFERROR(VLOOKUP($AE$8,'Dados'!$A$457:$J$462,3,FALSE),1)-1+IF(AND((COUNTIF('Caminho'!$I$27:$I$36,"Avatar da Recordação")&gt;0),'Caminho'!$P$96="Sincronizada"),1,0))</f>
        <v/>
      </c>
      <c r="Q14" s="25">
        <f>IFERROR(VLOOKUP($AE$8,'Dados'!$A$457:$J$462,4,FALSE),0)</f>
        <v/>
      </c>
      <c r="R14" s="25">
        <f>IFERROR(INDEX('Criação'!$F$44:$F$49,MATCH($I$8,'Criação'!$A$44:$A$49,0)),0)</f>
        <v/>
      </c>
      <c r="S14" s="25">
        <f>$G$37+$D$31+$G$48</f>
        <v/>
      </c>
      <c r="T14" s="25">
        <f>IFERROR(INDEX('Criação'!$F$44:$F$49,MATCH($I$8,'Criação'!$A$44:$A$49,0)),0)+'Criação'!$C$14+'Criação'!$G$14+'Criação'!$B$124</f>
        <v/>
      </c>
    </row>
    <row r="15">
      <c r="A15" s="8" t="inlineStr">
        <is>
          <t>Mãos (Relíquia) soma no Ataque Básico; a Esfera Planar nunca (25.3). Fraqueza: +2 dados que não critam; o crítico dobra só os dados base (18.3).</t>
        </is>
      </c>
    </row>
    <row r="16"/>
    <row r="17">
      <c r="A17" s="14" t="inlineStr">
        <is>
          <t>Cone de Luz — 25.2 (Bônus Maior permanente, fora do teto; Efeito Condicional temporário)</t>
        </is>
      </c>
    </row>
    <row r="18" ht="26" customHeight="1">
      <c r="A18" s="8" t="inlineStr">
        <is>
          <t>Nome do Cone de Luz</t>
        </is>
      </c>
      <c r="B18" s="27" t="n"/>
      <c r="C18" s="28" t="n"/>
      <c r="D18" s="28" t="n"/>
      <c r="E18" s="28" t="n"/>
      <c r="F18" s="29" t="n"/>
      <c r="K18" s="13">
        <f>IF(AM18&gt;0,"O Google leu como fórmula: digite de novo com ' na frente.","")</f>
        <v/>
      </c>
      <c r="AM18">
        <f>ISERROR($B$18)*1</f>
        <v/>
      </c>
    </row>
    <row r="19" ht="48" customHeight="1">
      <c r="A19" s="8" t="inlineStr">
        <is>
          <t>Nível do Cone (1 a 5)</t>
        </is>
      </c>
      <c r="B19" s="23" t="n"/>
      <c r="C19" s="22">
        <f>"Máximo na sua faixa: Nível "&amp;'Criação'!$B$14&amp;IF($P$28&gt;0," · Bônus Maior da tabela: "&amp;INDEX('Dados'!$C$522:$C$526,$P$28),"")</f>
        <v/>
      </c>
      <c r="L19" s="13">
        <f>IF(AM19&gt;0,"O Google leu como fórmula: digite de novo com ' na frente.",IF(LEN($AD$19)=0,"",IF(ISNUMBER($AD$19),IF(OR($AD$19&lt;1,$AD$19&gt;5),"O Nível do Cone vai de 1 a 5. ","")&amp;IF($P$28&gt;'Criação'!$B$14,"Cone de Nível "&amp;$P$28&amp;" acima do máximo da sua faixa (Nível "&amp;'Criação'!$B$14&amp;").",""),"Nível precisa ser um número de 1 a 5.")))</f>
        <v/>
      </c>
      <c r="AD19">
        <f>IF(ISERROR($B$19),"",IF(ISBLANK($B$19),"",$B$19))</f>
        <v/>
      </c>
      <c r="AM19">
        <f>ISERROR($B$19)*1</f>
        <v/>
      </c>
    </row>
    <row r="20" ht="93" customHeight="1">
      <c r="A20" s="8" t="inlineStr">
        <is>
          <t>Alvo do Bônus Maior (escolha um)</t>
        </is>
      </c>
      <c r="B20" s="23" t="n"/>
      <c r="C20" s="29" t="n"/>
      <c r="D20" s="22">
        <f>IF($AD$20="","Sem alvo, o bônus numérico não conta (o +PV dos Níveis 2 e 4 conta sempre)","O bônus vai para: "&amp;$AD$20&amp;IF(LEN($AD$21)&gt;0," ("&amp;$AD$21&amp;")",""))</f>
        <v/>
      </c>
      <c r="L20" s="13">
        <f>IF(AM20&gt;0,"O Google leu como fórmula: escolha de novo na lista.",IF($AD$20="","",IF(COUNTIF('Dados'!$AM$6:$AM$15,$AD$20)=0,"Alvo fora da lista de 25.2. ",IF(AND(OR($AD$20="Um Teste de Resistência",$AD$20="Uma Perícia"),LEN($AD$21)=0),"Escolha qual "&amp;IF($AD$20="Um Teste de Resistência","Teste de Resistência","Perícia")&amp;" recebe o bônus. ",""))&amp;IF($P$28=0,"Preencha o Nível do Cone para o bônus contar.","")))</f>
        <v/>
      </c>
      <c r="Y20" s="26" t="inlineStr">
        <is>
          <t>Lista: Teste de Resistência ou Perícia do Cone</t>
        </is>
      </c>
      <c r="AD20">
        <f>IF(ISERROR($B$20),"",IF(ISBLANK($B$20),"",$B$20))</f>
        <v/>
      </c>
      <c r="AM20">
        <f>ISERROR($B$20)*1</f>
        <v/>
      </c>
    </row>
    <row r="21" ht="48" customHeight="1">
      <c r="A21" s="8" t="inlineStr">
        <is>
          <t>Qual Teste de Resistência ou Perícia (se o alvo pedir)</t>
        </is>
      </c>
      <c r="B21" s="23" t="n"/>
      <c r="C21" s="29" t="n"/>
      <c r="K21" s="13">
        <f>IF(AM21&gt;0,"O Google leu como fórmula: escolha de novo na lista.",IF(LEN($AD$21)=0,"",IF(AND($AD$20&lt;&gt;"Um Teste de Resistência",$AD$20&lt;&gt;"Uma Perícia"),"Só vale com o alvo Um Teste de Resistência ou Uma Perícia.",IF(COUNTIF($Y$21:$Y$38,$AD$21)=0,"Escolha um nome da lista.",""))))</f>
        <v/>
      </c>
      <c r="Y21" s="25">
        <f>IF($AD$20="Um Teste de Resistência",IFERROR(INDEX('Dados'!$AA$6:$AA$11,1),""),IF($AD$20="Uma Perícia",IFERROR(INDEX('Dados'!$Z$6:$Z$23,1),""),""))</f>
        <v/>
      </c>
      <c r="AD21">
        <f>IF(ISERROR($B$21),"",IF(ISBLANK($B$21),"",$B$21))</f>
        <v/>
      </c>
      <c r="AM21">
        <f>ISERROR($B$21)*1</f>
        <v/>
      </c>
    </row>
    <row r="22" ht="37" customHeight="1">
      <c r="A22" s="8" t="inlineStr">
        <is>
          <t>Numérico ou PV (só nos Níveis 1, 3 e 5)</t>
        </is>
      </c>
      <c r="B22" s="23" t="n"/>
      <c r="C22" s="22">
        <f>IF($P$28=0,"",IF($Q$28="e","No Nível "&amp;$P$28&amp;" o Cone dá os dois: +"&amp;$S$28&amp;" e +"&amp;$T$28&amp;" PV",IF($AD$22="PV","Vale o PV: +"&amp;$T$28&amp;" PV","Vale o numérico: +"&amp;$S$28&amp;IF($AD$22=""," (vazio = Numérico)",""))))</f>
        <v/>
      </c>
      <c r="L22" s="13">
        <f>IF(AM22&gt;0,"O Google leu como fórmula: escolha de novo na lista.",IF($AD$22="","",IF(COUNTIF('Dados'!$AN$6:$AN$7,$AD$22)=0,"Escolha Numérico ou PV.",IF($Q$28="e","No Nível "&amp;$P$28&amp;" o Cone dá os dois: a escolha não se aplica.",""))))</f>
        <v/>
      </c>
      <c r="Y22" s="25">
        <f>IF($AD$20="Um Teste de Resistência",IFERROR(INDEX('Dados'!$AA$6:$AA$11,2),""),IF($AD$20="Uma Perícia",IFERROR(INDEX('Dados'!$Z$6:$Z$23,2),""),""))</f>
        <v/>
      </c>
      <c r="AD22">
        <f>IF(ISERROR($B$22),"",IF(ISBLANK($B$22),"",$B$22))</f>
        <v/>
      </c>
      <c r="AM22">
        <f>ISERROR($B$22)*1</f>
        <v/>
      </c>
    </row>
    <row r="23" ht="94" customHeight="1">
      <c r="A23" s="8" t="inlineStr">
        <is>
          <t>Sobreposições (cópias extras do mesmo Cone)</t>
        </is>
      </c>
      <c r="B23" s="23" t="n"/>
      <c r="C23" s="22">
        <f>"Cada uma: +1 e +10 PV, até o numérico chegar a +3 · no máximo 1 por faixa alcançada ("&amp;'Criação'!$B$14&amp;")"&amp;IF($P$28&gt;0," · este Cone aceita até "&amp;(3-INDEX('Dados'!$D$522:$D$526,$P$28)),"")&amp;" (25.2)"</f>
        <v/>
      </c>
      <c r="L23" s="13">
        <f>IF(AM23&gt;0,"O Google leu como fórmula: digite de novo com ' na frente.",IF(LEN($AD$23)=0,"",IF(ISNUMBER($AD$23),IF($AD$23&gt;'Criação'!$B$14,"Sobreposições acima de uma por faixa alcançada (máximo "&amp;'Criação'!$B$14&amp;"). ","")&amp;IF($AD$23&lt;0,"Não pode ser negativo. ","")&amp;IF($P$28=0,"Sem Cone: preencha o Nível.",IF($R$28&gt;(3-INDEX('Dados'!$D$522:$D$526,$P$28)),"Acima do teto: o Cone de Nível "&amp;$P$28&amp;" aceita no máximo "&amp;(3-INDEX('Dados'!$D$522:$D$526,$P$28))&amp;" (o numérico para em +3 e o PV para junto, 25.2).","")),"Precisa ser um número.")))</f>
        <v/>
      </c>
      <c r="Y23" s="25">
        <f>IF($AD$20="Um Teste de Resistência",IFERROR(INDEX('Dados'!$AA$6:$AA$11,3),""),IF($AD$20="Uma Perícia",IFERROR(INDEX('Dados'!$Z$6:$Z$23,3),""),""))</f>
        <v/>
      </c>
      <c r="AD23">
        <f>IF(ISERROR($B$23),"",IF(ISBLANK($B$23),"",$B$23))</f>
        <v/>
      </c>
      <c r="AM23">
        <f>ISERROR($B$23)*1</f>
        <v/>
      </c>
    </row>
    <row r="24" ht="37" customHeight="1">
      <c r="A24" s="8" t="inlineStr">
        <is>
          <t>Efeito Condicional (escreva com o Mestre)</t>
        </is>
      </c>
      <c r="B24" s="27" t="n"/>
      <c r="C24" s="28" t="n"/>
      <c r="D24" s="28" t="n"/>
      <c r="E24" s="28" t="n"/>
      <c r="F24" s="28" t="n"/>
      <c r="G24" s="28" t="n"/>
      <c r="H24" s="28" t="n"/>
      <c r="I24" s="28" t="n"/>
      <c r="J24" s="28" t="n"/>
      <c r="K24" s="29" t="n"/>
      <c r="L24" s="13">
        <f>IF(AM24&gt;0,"O Google leu como fórmula: digite de novo com ' na frente.","")</f>
        <v/>
      </c>
      <c r="Y24" s="25">
        <f>IF($AD$20="Um Teste de Resistência",IFERROR(INDEX('Dados'!$AA$6:$AA$11,4),""),IF($AD$20="Uma Perícia",IFERROR(INDEX('Dados'!$Z$6:$Z$23,4),""),""))</f>
        <v/>
      </c>
      <c r="AM24">
        <f>ISERROR($B$24)*1</f>
        <v/>
      </c>
    </row>
    <row r="25" ht="26" customHeight="1">
      <c r="A25" s="8" t="inlineStr">
        <is>
          <t>Frequência do Efeito Condicional</t>
        </is>
      </c>
      <c r="B25" s="22">
        <f>IF($P$28=0,"",IF($P$28=1,"1 vez por combate","1 vez por Ciclo")&amp;" · temporário: entra no teto de bônus somado (25.4)")</f>
        <v/>
      </c>
      <c r="Y25" s="25">
        <f>IF($AD$20="Um Teste de Resistência",IFERROR(INDEX('Dados'!$AA$6:$AA$11,5),""),IF($AD$20="Uma Perícia",IFERROR(INDEX('Dados'!$Z$6:$Z$23,5),""),""))</f>
        <v/>
      </c>
    </row>
    <row r="26" ht="26" customHeight="1">
      <c r="A26" s="8" t="inlineStr">
        <is>
          <t>Energia do Cone (17.2)</t>
        </is>
      </c>
      <c r="B26" s="22">
        <f>IF($P$28&gt;=3,"Sim: +5 de Energia, no máximo 1 vez por Ciclo (Efeito Condicional)",IF($P$28=0,"","Não: só no Nível 3 ou maior"))</f>
        <v/>
      </c>
      <c r="Y26" s="25">
        <f>IF($AD$20="Um Teste de Resistência",IFERROR(INDEX('Dados'!$AA$6:$AA$11,6),""),IF($AD$20="Uma Perícia",IFERROR(INDEX('Dados'!$Z$6:$Z$23,6),""),""))</f>
        <v/>
      </c>
    </row>
    <row r="27" ht="30" customHeight="1">
      <c r="B27" s="7" t="inlineStr">
        <is>
          <t>Numérico que vale</t>
        </is>
      </c>
      <c r="C27" s="7" t="inlineStr">
        <is>
          <t>PV que vale</t>
        </is>
      </c>
      <c r="D27" s="7" t="inlineStr">
        <is>
          <t>Resumo do Bônus Maior</t>
        </is>
      </c>
      <c r="P27" s="7" t="inlineStr">
        <is>
          <t>nível</t>
        </is>
      </c>
      <c r="Q27" s="7" t="inlineStr">
        <is>
          <t>e/ou</t>
        </is>
      </c>
      <c r="R27" s="7" t="inlineStr">
        <is>
          <t>cópias</t>
        </is>
      </c>
      <c r="S27" s="7" t="inlineStr">
        <is>
          <t>numérico</t>
        </is>
      </c>
      <c r="T27" s="7" t="inlineStr">
        <is>
          <t>PV</t>
        </is>
      </c>
      <c r="Y27" s="25">
        <f>IF($AD$20="Um Teste de Resistência",IFERROR(INDEX('Dados'!$AA$6:$AA$11,7),""),IF($AD$20="Uma Perícia",IFERROR(INDEX('Dados'!$Z$6:$Z$23,7),""),""))</f>
        <v/>
      </c>
    </row>
    <row r="28" ht="26" customHeight="1">
      <c r="A28" s="12" t="inlineStr">
        <is>
          <t>Numérico / PV que valem</t>
        </is>
      </c>
      <c r="B28" s="58">
        <f>IF($P$28=0,0,IF($AD$20="PV máximos",0,IF($Q$28="e",$S$28,IF($AD$22="PV",0,$S$28))))</f>
        <v/>
      </c>
      <c r="C28" s="17">
        <f>IF($P$28=0,0,IF(OR($AD$20="PV máximos",$Q$28="e",$AD$22="PV"),$T$28,0))</f>
        <v/>
      </c>
      <c r="D28" s="22">
        <f>IF($P$28=0,"Sem Cone","+"&amp;$B$28&amp;IF($AD$20=""," (sem alvo)"," em "&amp;$AD$20)&amp;IF($C$28&gt;0," · +"&amp;$C$28&amp;" PV máximos",""))</f>
        <v/>
      </c>
      <c r="P28" s="25">
        <f>IF(ISNUMBER($AD$19),IF($AD$19&lt;1,0,MIN(5,INT($AD$19))),0)</f>
        <v/>
      </c>
      <c r="Q28" s="25">
        <f>IF($P$28=0,"",INDEX('Dados'!$E$522:$E$526,$P$28))</f>
        <v/>
      </c>
      <c r="R28" s="25">
        <f>IF(ISNUMBER($AD$23),MAX(0,MIN('Criação'!$B$14,INT($AD$23))),0)</f>
        <v/>
      </c>
      <c r="S28" s="25">
        <f>IF($P$28=0,0,INDEX('Dados'!$D$522:$D$526,$P$28)+MIN($R$28,(3-INDEX('Dados'!$D$522:$D$526,$P$28))))</f>
        <v/>
      </c>
      <c r="T28" s="25">
        <f>IF($P$28=0,0,INDEX('Dados'!$F$522:$F$526,$P$28)+10*MIN($R$28,(3-INDEX('Dados'!$D$522:$D$526,$P$28))))</f>
        <v/>
      </c>
      <c r="Y28" s="25">
        <f>IF($AD$20="Um Teste de Resistência",IFERROR(INDEX('Dados'!$AA$6:$AA$11,8),""),IF($AD$20="Uma Perícia",IFERROR(INDEX('Dados'!$Z$6:$Z$23,8),""),""))</f>
        <v/>
      </c>
    </row>
    <row r="29" ht="37" customHeight="1">
      <c r="A29" s="26" t="inlineStr">
        <is>
          <t>Onde o Bônus Maior entra (automático)</t>
        </is>
      </c>
      <c r="Y29" s="25">
        <f>IF($AD$20="Um Teste de Resistência",IFERROR(INDEX('Dados'!$AA$6:$AA$11,9),""),IF($AD$20="Uma Perícia",IFERROR(INDEX('Dados'!$Z$6:$Z$23,9),""),""))</f>
        <v/>
      </c>
    </row>
    <row r="30" ht="37" customHeight="1">
      <c r="A30" s="7" t="inlineStr">
        <is>
          <t>PV máximos</t>
        </is>
      </c>
      <c r="B30" s="7" t="inlineStr">
        <is>
          <t>Defesa</t>
        </is>
      </c>
      <c r="C30" s="7" t="inlineStr">
        <is>
          <t>Velocidade</t>
        </is>
      </c>
      <c r="D30" s="7" t="inlineStr">
        <is>
          <t>Dano de Ataque Básico</t>
        </is>
      </c>
      <c r="E30" s="7" t="inlineStr">
        <is>
          <t>Dano de Habilidade</t>
        </is>
      </c>
      <c r="F30" s="7" t="inlineStr">
        <is>
          <t>Dano de Ultimate</t>
        </is>
      </c>
      <c r="G30" s="7" t="inlineStr">
        <is>
          <t>RD</t>
        </is>
      </c>
      <c r="H30" s="7" t="inlineStr">
        <is>
          <t>Teste de Ataque</t>
        </is>
      </c>
      <c r="I30" s="7" t="inlineStr">
        <is>
          <t>Teste de Resistência</t>
        </is>
      </c>
      <c r="J30" s="7" t="inlineStr">
        <is>
          <t>Qual Teste de Resistência</t>
        </is>
      </c>
      <c r="K30" s="7" t="inlineStr">
        <is>
          <t>Perícia</t>
        </is>
      </c>
      <c r="L30" s="7" t="inlineStr">
        <is>
          <t>Qual Perícia</t>
        </is>
      </c>
      <c r="Y30" s="25">
        <f>IF($AD$20="Um Teste de Resistência",IFERROR(INDEX('Dados'!$AA$6:$AA$11,10),""),IF($AD$20="Uma Perícia",IFERROR(INDEX('Dados'!$Z$6:$Z$23,10),""),""))</f>
        <v/>
      </c>
    </row>
    <row r="31" ht="26" customHeight="1">
      <c r="A31" s="58">
        <f>$C$28</f>
        <v/>
      </c>
      <c r="B31" s="17">
        <f>IF($AD$20="Defesa",$B$28,0)</f>
        <v/>
      </c>
      <c r="C31" s="17">
        <f>IF($AD$20="Velocidade",$B$28,0)</f>
        <v/>
      </c>
      <c r="D31" s="17">
        <f>IF($AD$20="Dano de Ataque Básico",$B$28,0)</f>
        <v/>
      </c>
      <c r="E31" s="17">
        <f>IF($AD$20="Dano de Habilidade",$B$28,0)</f>
        <v/>
      </c>
      <c r="F31" s="17">
        <f>IF($AD$20="Dano de Ultimate",$B$28,0)</f>
        <v/>
      </c>
      <c r="G31" s="17">
        <f>IF($AD$20="RD",$B$28,0)</f>
        <v/>
      </c>
      <c r="H31" s="17">
        <f>IF($AD$20="Teste de Ataque",$B$28,0)</f>
        <v/>
      </c>
      <c r="I31" s="17">
        <f>IF(AND($AD$20="Um Teste de Resistência",LEN($AD$21)&gt;0),$B$28,0)</f>
        <v/>
      </c>
      <c r="J31" s="4">
        <f>IF($AD$20="Um Teste de Resistência",""&amp;$AD$21,"")</f>
        <v/>
      </c>
      <c r="K31" s="17">
        <f>IF(AND($AD$20="Uma Perícia",LEN($AD$21)&gt;0),$B$28,0)</f>
        <v/>
      </c>
      <c r="L31" s="4">
        <f>IF($AD$20="Uma Perícia",""&amp;$AD$21,"")</f>
        <v/>
      </c>
      <c r="Y31" s="25">
        <f>IF($AD$20="Um Teste de Resistência",IFERROR(INDEX('Dados'!$AA$6:$AA$11,11),""),IF($AD$20="Uma Perícia",IFERROR(INDEX('Dados'!$Z$6:$Z$23,11),""),""))</f>
        <v/>
      </c>
    </row>
    <row r="32">
      <c r="Y32" s="25">
        <f>IF($AD$20="Um Teste de Resistência",IFERROR(INDEX('Dados'!$AA$6:$AA$11,12),""),IF($AD$20="Uma Perícia",IFERROR(INDEX('Dados'!$Z$6:$Z$23,12),""),""))</f>
        <v/>
      </c>
    </row>
    <row r="33">
      <c r="A33" s="14" t="inlineStr">
        <is>
          <t>Relíquias — 25.3 (6 slots; o Tier sobe sozinho com o nível; bônus de slot fora do teto)</t>
        </is>
      </c>
      <c r="Y33" s="25">
        <f>IF($AD$20="Um Teste de Resistência",IFERROR(INDEX('Dados'!$AA$6:$AA$11,13),""),IF($AD$20="Uma Perícia",IFERROR(INDEX('Dados'!$Z$6:$Z$23,13),""),""))</f>
        <v/>
      </c>
    </row>
    <row r="34">
      <c r="A34" s="8" t="inlineStr">
        <is>
          <t>Tier da sua faixa</t>
        </is>
      </c>
      <c r="B34" s="17">
        <f>CHOOSE('Criação'!$J$16,"I","II","III","IV")</f>
        <v/>
      </c>
      <c r="C34" s="12" t="inlineStr">
        <is>
          <t>Tier I (níveis 1-6) · II (7-12) · III (13-17) · IV (18-20) — recompensa de marco (25.1)</t>
        </is>
      </c>
      <c r="Y34" s="25">
        <f>IF($AD$20="Um Teste de Resistência",IFERROR(INDEX('Dados'!$AA$6:$AA$11,14),""),IF($AD$20="Uma Perícia",IFERROR(INDEX('Dados'!$Z$6:$Z$23,14),""),""))</f>
        <v/>
      </c>
    </row>
    <row r="35" ht="37" customHeight="1">
      <c r="A35" s="7" t="inlineStr">
        <is>
          <t>Slot</t>
        </is>
      </c>
      <c r="B35" s="7" t="inlineStr">
        <is>
          <t>Possui? (Sim)</t>
        </is>
      </c>
      <c r="C35" s="7" t="inlineStr">
        <is>
          <t>Nome da peça</t>
        </is>
      </c>
      <c r="D35" s="15" t="n"/>
      <c r="E35" s="7" t="inlineStr">
        <is>
          <t>Conjunto (A, B, C ou —)</t>
        </is>
      </c>
      <c r="F35" s="7" t="inlineStr">
        <is>
          <t>Tier</t>
        </is>
      </c>
      <c r="G35" s="7" t="inlineStr">
        <is>
          <t>Bônus</t>
        </is>
      </c>
      <c r="H35" s="7" t="inlineStr">
        <is>
          <t>O que dá</t>
        </is>
      </c>
      <c r="I35" s="15" t="n"/>
      <c r="J35" s="7" t="inlineStr">
        <is>
          <t>Elemento (só Esfera Planar)</t>
        </is>
      </c>
      <c r="K35" s="7" t="inlineStr">
        <is>
          <t>Vale no seu dano?</t>
        </is>
      </c>
      <c r="L35" s="7" t="inlineStr">
        <is>
          <t>Aviso</t>
        </is>
      </c>
      <c r="Y35" s="25">
        <f>IF($AD$20="Um Teste de Resistência",IFERROR(INDEX('Dados'!$AA$6:$AA$11,15),""),IF($AD$20="Uma Perícia",IFERROR(INDEX('Dados'!$Z$6:$Z$23,15),""),""))</f>
        <v/>
      </c>
    </row>
    <row r="36" ht="60" customHeight="1">
      <c r="A36" s="16" t="inlineStr">
        <is>
          <t>Cabeça</t>
        </is>
      </c>
      <c r="B36" s="23" t="n"/>
      <c r="C36" s="27" t="n"/>
      <c r="D36" s="29" t="n"/>
      <c r="E36" s="23" t="n"/>
      <c r="F36" s="22">
        <f>IF($AD$36="Sim",$B$34,"—")</f>
        <v/>
      </c>
      <c r="G36" s="37">
        <f>IF($AD$36="Sim",INDEX('Dados'!$A$530:$F$535,1,2+'Criação'!$J$16),0)</f>
        <v/>
      </c>
      <c r="H36" s="4">
        <f>IF($AD$36="Sim",INDEX('Dados'!$B$530:$B$535,1)&amp;": +"&amp;$G$36,INDEX('Dados'!$B$530:$B$535,1))</f>
        <v/>
      </c>
      <c r="J36" s="25" t="inlineStr">
        <is>
          <t>—</t>
        </is>
      </c>
      <c r="K36" s="25" t="inlineStr">
        <is>
          <t>—</t>
        </is>
      </c>
      <c r="L36" s="13">
        <f>IF(AM36&gt;0,"O Google leu como fórmula: escolha de novo ou digite com ' na frente.",IF(AND($AG$36&lt;&gt;"",$AG$36&lt;&gt;"—",$AD$36&lt;&gt;"Sim"),"A peça só conta para o Conjunto com Possui = Sim. ","")&amp;IF(AND($AG$36&lt;&gt;"",COUNTIF('Dados'!$AO$6:$AO$9,$AG$36)=0),"Conjunto: use A, B, C ou —. ","")&amp;IF(AND($AD$36&lt;&gt;"",$AD$36&lt;&gt;"Sim",$AD$36&lt;&gt;"Não"),"Possui: use Sim ou Não. ",""))</f>
        <v/>
      </c>
      <c r="Y36" s="25">
        <f>IF($AD$20="Um Teste de Resistência",IFERROR(INDEX('Dados'!$AA$6:$AA$11,16),""),IF($AD$20="Uma Perícia",IFERROR(INDEX('Dados'!$Z$6:$Z$23,16),""),""))</f>
        <v/>
      </c>
      <c r="AD36">
        <f>IF(ISERROR($B$36),"",IF(ISBLANK($B$36),"",$B$36))</f>
        <v/>
      </c>
      <c r="AG36">
        <f>IF(ISERROR($E$36),"",IF(ISBLANK($E$36),"",$E$36))</f>
        <v/>
      </c>
      <c r="AM36">
        <f>ISERROR($B$36)*1+ISERROR($C$36)*1+ISERROR($E$36)*1</f>
        <v/>
      </c>
    </row>
    <row r="37" ht="60" customHeight="1">
      <c r="A37" s="18" t="inlineStr">
        <is>
          <t>Mãos</t>
        </is>
      </c>
      <c r="B37" s="36" t="n"/>
      <c r="C37" s="60" t="n"/>
      <c r="D37" s="29" t="n"/>
      <c r="E37" s="36" t="n"/>
      <c r="F37" s="21">
        <f>IF($AD$37="Sim",$B$34,"—")</f>
        <v/>
      </c>
      <c r="G37" s="61">
        <f>IF($AD$37="Sim",INDEX('Dados'!$A$530:$F$535,2,2+'Criação'!$J$16),0)</f>
        <v/>
      </c>
      <c r="H37" s="9">
        <f>IF($AD$37="Sim",INDEX('Dados'!$B$530:$B$535,2)&amp;": +"&amp;$G$37,INDEX('Dados'!$B$530:$B$535,2))</f>
        <v/>
      </c>
      <c r="J37" s="25" t="inlineStr">
        <is>
          <t>—</t>
        </is>
      </c>
      <c r="K37" s="25" t="inlineStr">
        <is>
          <t>—</t>
        </is>
      </c>
      <c r="L37" s="20">
        <f>IF(AM37&gt;0,"O Google leu como fórmula: escolha de novo ou digite com ' na frente.",IF(AND($AG$37&lt;&gt;"",$AG$37&lt;&gt;"—",$AD$37&lt;&gt;"Sim"),"A peça só conta para o Conjunto com Possui = Sim. ","")&amp;IF(AND($AG$37&lt;&gt;"",COUNTIF('Dados'!$AO$6:$AO$9,$AG$37)=0),"Conjunto: use A, B, C ou —. ","")&amp;IF(AND($AD$37&lt;&gt;"",$AD$37&lt;&gt;"Sim",$AD$37&lt;&gt;"Não"),"Possui: use Sim ou Não. ",""))</f>
        <v/>
      </c>
      <c r="Y37" s="25">
        <f>IF($AD$20="Um Teste de Resistência",IFERROR(INDEX('Dados'!$AA$6:$AA$11,17),""),IF($AD$20="Uma Perícia",IFERROR(INDEX('Dados'!$Z$6:$Z$23,17),""),""))</f>
        <v/>
      </c>
      <c r="AD37">
        <f>IF(ISERROR($B$37),"",IF(ISBLANK($B$37),"",$B$37))</f>
        <v/>
      </c>
      <c r="AG37">
        <f>IF(ISERROR($E$37),"",IF(ISBLANK($E$37),"",$E$37))</f>
        <v/>
      </c>
      <c r="AM37">
        <f>ISERROR($B$37)*1+ISERROR($C$37)*1+ISERROR($E$37)*1</f>
        <v/>
      </c>
    </row>
    <row r="38" ht="60" customHeight="1">
      <c r="A38" s="16" t="inlineStr">
        <is>
          <t>Tronco</t>
        </is>
      </c>
      <c r="B38" s="23" t="n"/>
      <c r="C38" s="27" t="n"/>
      <c r="D38" s="29" t="n"/>
      <c r="E38" s="23" t="n"/>
      <c r="F38" s="22">
        <f>IF($AD$38="Sim",$B$34,"—")</f>
        <v/>
      </c>
      <c r="G38" s="37">
        <f>IF($AD$38="Sim",INDEX('Dados'!$A$530:$F$535,3,2+'Criação'!$J$16),0)</f>
        <v/>
      </c>
      <c r="H38" s="4">
        <f>IF($AD$38="Sim",INDEX('Dados'!$B$530:$B$535,3)&amp;": +"&amp;$G$38,INDEX('Dados'!$B$530:$B$535,3))</f>
        <v/>
      </c>
      <c r="J38" s="25" t="inlineStr">
        <is>
          <t>—</t>
        </is>
      </c>
      <c r="K38" s="25" t="inlineStr">
        <is>
          <t>—</t>
        </is>
      </c>
      <c r="L38" s="13">
        <f>IF(AM38&gt;0,"O Google leu como fórmula: escolha de novo ou digite com ' na frente.",IF(AND($AG$38&lt;&gt;"",$AG$38&lt;&gt;"—",$AD$38&lt;&gt;"Sim"),"A peça só conta para o Conjunto com Possui = Sim. ","")&amp;IF(AND($AG$38&lt;&gt;"",COUNTIF('Dados'!$AO$6:$AO$9,$AG$38)=0),"Conjunto: use A, B, C ou —. ","")&amp;IF(AND($AD$38&lt;&gt;"",$AD$38&lt;&gt;"Sim",$AD$38&lt;&gt;"Não"),"Possui: use Sim ou Não. ",""))</f>
        <v/>
      </c>
      <c r="Y38" s="25">
        <f>IF($AD$20="Um Teste de Resistência",IFERROR(INDEX('Dados'!$AA$6:$AA$11,18),""),IF($AD$20="Uma Perícia",IFERROR(INDEX('Dados'!$Z$6:$Z$23,18),""),""))</f>
        <v/>
      </c>
      <c r="AD38">
        <f>IF(ISERROR($B$38),"",IF(ISBLANK($B$38),"",$B$38))</f>
        <v/>
      </c>
      <c r="AG38">
        <f>IF(ISERROR($E$38),"",IF(ISBLANK($E$38),"",$E$38))</f>
        <v/>
      </c>
      <c r="AM38">
        <f>ISERROR($B$38)*1+ISERROR($C$38)*1+ISERROR($E$38)*1</f>
        <v/>
      </c>
    </row>
    <row r="39" ht="60" customHeight="1">
      <c r="A39" s="18" t="inlineStr">
        <is>
          <t>Botas</t>
        </is>
      </c>
      <c r="B39" s="36" t="n"/>
      <c r="C39" s="60" t="n"/>
      <c r="D39" s="29" t="n"/>
      <c r="E39" s="36" t="n"/>
      <c r="F39" s="21">
        <f>IF($AD$39="Sim",$B$34,"—")</f>
        <v/>
      </c>
      <c r="G39" s="61">
        <f>IF($AD$39="Sim",INDEX('Dados'!$A$530:$F$535,4,2+'Criação'!$J$16),0)</f>
        <v/>
      </c>
      <c r="H39" s="9">
        <f>IF($AD$39="Sim",INDEX('Dados'!$B$530:$B$535,4)&amp;": +"&amp;$G$39,INDEX('Dados'!$B$530:$B$535,4))</f>
        <v/>
      </c>
      <c r="J39" s="25" t="inlineStr">
        <is>
          <t>—</t>
        </is>
      </c>
      <c r="K39" s="25" t="inlineStr">
        <is>
          <t>—</t>
        </is>
      </c>
      <c r="L39" s="20">
        <f>IF(AM39&gt;0,"O Google leu como fórmula: escolha de novo ou digite com ' na frente.",IF(AND($AG$39&lt;&gt;"",$AG$39&lt;&gt;"—",$AD$39&lt;&gt;"Sim"),"A peça só conta para o Conjunto com Possui = Sim. ","")&amp;IF(AND($AG$39&lt;&gt;"",COUNTIF('Dados'!$AO$6:$AO$9,$AG$39)=0),"Conjunto: use A, B, C ou —. ","")&amp;IF(AND($AD$39&lt;&gt;"",$AD$39&lt;&gt;"Sim",$AD$39&lt;&gt;"Não"),"Possui: use Sim ou Não. ",""))</f>
        <v/>
      </c>
      <c r="AD39">
        <f>IF(ISERROR($B$39),"",IF(ISBLANK($B$39),"",$B$39))</f>
        <v/>
      </c>
      <c r="AG39">
        <f>IF(ISERROR($E$39),"",IF(ISBLANK($E$39),"",$E$39))</f>
        <v/>
      </c>
      <c r="AM39">
        <f>ISERROR($B$39)*1+ISERROR($C$39)*1+ISERROR($E$39)*1</f>
        <v/>
      </c>
    </row>
    <row r="40" ht="93" customHeight="1">
      <c r="A40" s="16" t="inlineStr">
        <is>
          <t>Esfera Planar</t>
        </is>
      </c>
      <c r="B40" s="23" t="n"/>
      <c r="C40" s="27" t="n"/>
      <c r="D40" s="29" t="n"/>
      <c r="E40" s="23" t="n"/>
      <c r="F40" s="22">
        <f>IF($AD$40="Sim",$B$34,"—")</f>
        <v/>
      </c>
      <c r="G40" s="37">
        <f>IF($AD$40="Sim",INDEX('Dados'!$A$530:$F$535,5,2+'Criação'!$J$16),0)</f>
        <v/>
      </c>
      <c r="H40" s="4">
        <f>IF($AD$40="Sim",INDEX('Dados'!$B$530:$B$535,5)&amp;": +"&amp;$G$40,INDEX('Dados'!$B$530:$B$535,5))</f>
        <v/>
      </c>
      <c r="J40" s="23" t="n"/>
      <c r="K40" s="4">
        <f>IF($AD$40&lt;&gt;"Sim","",IF($AL$40="","Escolha o Elemento",IF($AL$40='Criação'!$Q$60,"Sim: +"&amp;$G$40&amp;" nas Habilidades e na Ultimate","Não: o seu Elemento é "&amp;IF(LEN('Criação'!$Q$60)=0,"(vazio)",'Criação'!$Q$60))))</f>
        <v/>
      </c>
      <c r="L40" s="13">
        <f>IF(AM40&gt;0,"O Google leu como fórmula: escolha de novo ou digite com ' na frente.",IF(AND($AG$40&lt;&gt;"",$AG$40&lt;&gt;"—",$AD$40&lt;&gt;"Sim"),"A peça só conta para o Conjunto com Possui = Sim. ","")&amp;IF(AND($AG$40&lt;&gt;"",COUNTIF('Dados'!$AO$6:$AO$9,$AG$40)=0),"Conjunto: use A, B, C ou —. ","")&amp;IF(AND($AD$40&lt;&gt;"",$AD$40&lt;&gt;"Sim",$AD$40&lt;&gt;"Não"),"Possui: use Sim ou Não. ","")&amp;IF(AND($AL$40&lt;&gt;"",COUNTIF('Dados'!$R$6:$R$12,$AL$40)=0),"Elemento fora da lista do capítulo 20.",""))</f>
        <v/>
      </c>
      <c r="P40" s="25">
        <f>IF(AND($AD$40="Sim",$AL$40&lt;&gt;"",$AL$40='Criação'!$Q$60),$G$40,0)</f>
        <v/>
      </c>
      <c r="AD40">
        <f>IF(ISERROR($B$40),"",IF(ISBLANK($B$40),"",$B$40))</f>
        <v/>
      </c>
      <c r="AG40">
        <f>IF(ISERROR($E$40),"",IF(ISBLANK($E$40),"",$E$40))</f>
        <v/>
      </c>
      <c r="AL40">
        <f>IF(ISERROR($J$40),"",IF(ISBLANK($J$40),"",$J$40))</f>
        <v/>
      </c>
      <c r="AM40">
        <f>ISERROR($B$40)*1+ISERROR($C$40)*1+ISERROR($E$40)*1+ISERROR($J$40)*1</f>
        <v/>
      </c>
    </row>
    <row r="41" ht="93" customHeight="1">
      <c r="A41" s="18" t="inlineStr">
        <is>
          <t>Corda de Ligação</t>
        </is>
      </c>
      <c r="B41" s="36" t="n"/>
      <c r="C41" s="60" t="n"/>
      <c r="D41" s="29" t="n"/>
      <c r="E41" s="36" t="n"/>
      <c r="F41" s="21">
        <f>IF($AD$41="Sim",$B$34,"—")</f>
        <v/>
      </c>
      <c r="G41" s="61">
        <f>IF($AD$41="Sim",INDEX('Dados'!$A$530:$F$535,6,2+'Criação'!$J$16),0)</f>
        <v/>
      </c>
      <c r="H41" s="9">
        <f>IF($AD$41="Sim",INDEX('Dados'!$B$530:$B$535,6)&amp;": +"&amp;$G$41,INDEX('Dados'!$B$530:$B$535,6))</f>
        <v/>
      </c>
      <c r="J41" s="25" t="inlineStr">
        <is>
          <t>—</t>
        </is>
      </c>
      <c r="K41" s="9">
        <f>IF($AD$41="Sim","+"&amp;$G$41&amp;" de Energia ao entrar na Fila, 1 vez por combate","")</f>
        <v/>
      </c>
      <c r="L41" s="20">
        <f>IF(AM41&gt;0,"O Google leu como fórmula: escolha de novo ou digite com ' na frente.",IF(AND($AG$41&lt;&gt;"",$AG$41&lt;&gt;"—",$AD$41&lt;&gt;"Sim"),"A peça só conta para o Conjunto com Possui = Sim. ","")&amp;IF(AND($AG$41&lt;&gt;"",COUNTIF('Dados'!$AO$6:$AO$9,$AG$41)=0),"Conjunto: use A, B, C ou —. ","")&amp;IF(AND($AD$41&lt;&gt;"",$AD$41&lt;&gt;"Sim",$AD$41&lt;&gt;"Não"),"Possui: use Sim ou Não. ",""))</f>
        <v/>
      </c>
      <c r="AD41">
        <f>IF(ISERROR($B$41),"",IF(ISBLANK($B$41),"",$B$41))</f>
        <v/>
      </c>
      <c r="AG41">
        <f>IF(ISERROR($E$41),"",IF(ISBLANK($E$41),"",$E$41))</f>
        <v/>
      </c>
      <c r="AM41">
        <f>ISERROR($B$41)*1+ISERROR($C$41)*1+ISERROR($E$41)*1</f>
        <v/>
      </c>
    </row>
    <row r="42"/>
    <row r="43">
      <c r="A43" s="14" t="inlineStr">
        <is>
          <t>Conjuntos de Relíquias — 25.3 (2 peças: bônus pequeno; 4 peças: efeito por Ciclo; teto +3, dentro do teto global)</t>
        </is>
      </c>
    </row>
    <row r="44" ht="49" customHeight="1">
      <c r="A44" s="7" t="inlineStr">
        <is>
          <t>Conjunto</t>
        </is>
      </c>
      <c r="B44" s="7" t="inlineStr">
        <is>
          <t>Nome do Conjunto (preencha)</t>
        </is>
      </c>
      <c r="C44" s="7" t="inlineStr">
        <is>
          <t>Bônus de 2 peças (preencha)</t>
        </is>
      </c>
      <c r="D44" s="15" t="n"/>
      <c r="E44" s="7" t="inlineStr">
        <is>
          <t>Qual rolagem (só no Um tipo de rolagem +1)</t>
        </is>
      </c>
      <c r="F44" s="15" t="n"/>
      <c r="G44" s="7" t="inlineStr">
        <is>
          <t>Peças</t>
        </is>
      </c>
      <c r="H44" s="7" t="inlineStr">
        <is>
          <t>Ativo</t>
        </is>
      </c>
      <c r="I44" s="7" t="inlineStr">
        <is>
          <t>Aviso</t>
        </is>
      </c>
      <c r="J44" s="15" t="n"/>
      <c r="K44" s="15" t="n"/>
      <c r="L44" s="15" t="n"/>
      <c r="P44" s="7" t="inlineStr">
        <is>
          <t>rolagem</t>
        </is>
      </c>
      <c r="Q44" s="7" t="inlineStr">
        <is>
          <t>VEL</t>
        </is>
      </c>
      <c r="R44" s="7" t="inlineStr">
        <is>
          <t>RD</t>
        </is>
      </c>
      <c r="S44" s="7" t="inlineStr">
        <is>
          <t>dano</t>
        </is>
      </c>
      <c r="AA44" s="26" t="inlineStr">
        <is>
          <t>Lista: rolagens do Conjunto</t>
        </is>
      </c>
    </row>
    <row r="45" ht="37" customHeight="1">
      <c r="A45" s="16" t="inlineStr">
        <is>
          <t>A</t>
        </is>
      </c>
      <c r="B45" s="27" t="n"/>
      <c r="C45" s="23" t="n"/>
      <c r="D45" s="29" t="n"/>
      <c r="E45" s="23" t="n"/>
      <c r="F45" s="29" t="n"/>
      <c r="G45" s="17">
        <f>COUNTIFS($AG$36:$AG$41,"A",$AD$36:$AD$41,"Sim")</f>
        <v/>
      </c>
      <c r="H45" s="17">
        <f>IF($G$45&gt;=4,"4 peças",IF($G$45&gt;=2,"2 peças","—"))</f>
        <v/>
      </c>
      <c r="I45" s="13">
        <f>IF(AM45&gt;0,"O Google leu como fórmula: escolha de novo ou digite com ' na frente.",IF(AM51&gt;0,"Linha 51: O Google leu como fórmula: digite de novo com ' na frente.",IF(AND($AE$45&lt;&gt;"",COUNTIF('Dados'!$AP$6:$AP$9,$AE$45)=0),"Bônus fora da lista de 25.3. ","")&amp;IF(AND(LEN($AG$45)&gt;0,$AE$45&lt;&gt;"Um tipo de rolagem +1"),"Qual rolagem só vale com o bônus Um tipo de rolagem +1. ","")&amp;IF(AND(LEN($AG$45)&gt;0,COUNTIF($AA$45:$AA$69,$AG$45)=0),"Rolagem fora da lista. ","")&amp;IF(AND($G$45&gt;=2,$AE$45="Um tipo de rolagem +1",LEN($AG$45)=0),"Escolha qual rolagem recebe o +1.","")))</f>
        <v/>
      </c>
      <c r="P45" s="25">
        <f>IF(AND($G$45&gt;=2,$AE$45="Um tipo de rolagem +1",LEN($AG$45)&gt;0),""&amp;$AG$45,"")</f>
        <v/>
      </c>
      <c r="Q45" s="25">
        <f>IF(AND($G$45&gt;=2,$AE$45="Velocidade +1"),1,0)</f>
        <v/>
      </c>
      <c r="R45" s="25">
        <f>IF(AND($G$45&gt;=2,$AE$45="RD +1"),1,0)</f>
        <v/>
      </c>
      <c r="S45" s="25">
        <f>IF(AND($G$45&gt;=2,$AE$45="Dano +2"),2,0)</f>
        <v/>
      </c>
      <c r="AA45" s="10" t="inlineStr">
        <is>
          <t>Teste de Ataque</t>
        </is>
      </c>
      <c r="AD45">
        <f>IF(ISERROR($B$45),"",IF(ISBLANK($B$45),"",$B$45))</f>
        <v/>
      </c>
      <c r="AE45">
        <f>IF(ISERROR($C$45),"",IF(ISBLANK($C$45),"",$C$45))</f>
        <v/>
      </c>
      <c r="AG45">
        <f>IF(ISERROR($E$45),"",IF(ISBLANK($E$45),"",$E$45))</f>
        <v/>
      </c>
      <c r="AM45">
        <f>ISERROR($B$45)*1+ISERROR($C$45)*1+ISERROR($E$45)*1</f>
        <v/>
      </c>
    </row>
    <row r="46" ht="37" customHeight="1">
      <c r="A46" s="18" t="inlineStr">
        <is>
          <t>B</t>
        </is>
      </c>
      <c r="B46" s="60" t="n"/>
      <c r="C46" s="36" t="n"/>
      <c r="D46" s="29" t="n"/>
      <c r="E46" s="36" t="n"/>
      <c r="F46" s="29" t="n"/>
      <c r="G46" s="19">
        <f>COUNTIFS($AG$36:$AG$41,"B",$AD$36:$AD$41,"Sim")</f>
        <v/>
      </c>
      <c r="H46" s="19">
        <f>IF($G$46&gt;=4,"4 peças",IF($G$46&gt;=2,"2 peças","—"))</f>
        <v/>
      </c>
      <c r="I46" s="20">
        <f>IF(AM46&gt;0,"O Google leu como fórmula: escolha de novo ou digite com ' na frente.",IF(AM52&gt;0,"Linha 52: O Google leu como fórmula: digite de novo com ' na frente.",IF(AND($AE$46&lt;&gt;"",COUNTIF('Dados'!$AP$6:$AP$9,$AE$46)=0),"Bônus fora da lista de 25.3. ","")&amp;IF(AND(LEN($AG$46)&gt;0,$AE$46&lt;&gt;"Um tipo de rolagem +1"),"Qual rolagem só vale com o bônus Um tipo de rolagem +1. ","")&amp;IF(AND(LEN($AG$46)&gt;0,COUNTIF($AA$45:$AA$69,$AG$46)=0),"Rolagem fora da lista. ","")&amp;IF(AND($G$46&gt;=2,$AE$46="Um tipo de rolagem +1",LEN($AG$46)=0),"Escolha qual rolagem recebe o +1.","")))</f>
        <v/>
      </c>
      <c r="M46" s="35" t="n"/>
      <c r="N46" s="35" t="n"/>
      <c r="O46" s="35" t="n"/>
      <c r="P46" s="25">
        <f>IF(AND($G$46&gt;=2,$AE$46="Um tipo de rolagem +1",LEN($AG$46)&gt;0),""&amp;$AG$46,"")</f>
        <v/>
      </c>
      <c r="Q46" s="25">
        <f>IF(AND($G$46&gt;=2,$AE$46="Velocidade +1"),1,0)</f>
        <v/>
      </c>
      <c r="R46" s="25">
        <f>IF(AND($G$46&gt;=2,$AE$46="RD +1"),1,0)</f>
        <v/>
      </c>
      <c r="S46" s="25">
        <f>IF(AND($G$46&gt;=2,$AE$46="Dano +2"),2,0)</f>
        <v/>
      </c>
      <c r="AA46" s="10" t="inlineStr">
        <is>
          <t>Potência Física</t>
        </is>
      </c>
      <c r="AD46">
        <f>IF(ISERROR($B$46),"",IF(ISBLANK($B$46),"",$B$46))</f>
        <v/>
      </c>
      <c r="AE46">
        <f>IF(ISERROR($C$46),"",IF(ISBLANK($C$46),"",$C$46))</f>
        <v/>
      </c>
      <c r="AG46">
        <f>IF(ISERROR($E$46),"",IF(ISBLANK($E$46),"",$E$46))</f>
        <v/>
      </c>
      <c r="AM46">
        <f>ISERROR($B$46)*1+ISERROR($C$46)*1+ISERROR($E$46)*1</f>
        <v/>
      </c>
    </row>
    <row r="47" ht="37" customHeight="1">
      <c r="A47" s="16" t="inlineStr">
        <is>
          <t>C</t>
        </is>
      </c>
      <c r="B47" s="27" t="n"/>
      <c r="C47" s="23" t="n"/>
      <c r="D47" s="29" t="n"/>
      <c r="E47" s="23" t="n"/>
      <c r="F47" s="29" t="n"/>
      <c r="G47" s="17">
        <f>COUNTIFS($AG$36:$AG$41,"C",$AD$36:$AD$41,"Sim")</f>
        <v/>
      </c>
      <c r="H47" s="17">
        <f>IF($G$47&gt;=4,"4 peças",IF($G$47&gt;=2,"2 peças","—"))</f>
        <v/>
      </c>
      <c r="I47" s="13">
        <f>IF(AM47&gt;0,"O Google leu como fórmula: escolha de novo ou digite com ' na frente.",IF(AM53&gt;0,"Linha 53: O Google leu como fórmula: digite de novo com ' na frente.",IF(AND($AE$47&lt;&gt;"",COUNTIF('Dados'!$AP$6:$AP$9,$AE$47)=0),"Bônus fora da lista de 25.3. ","")&amp;IF(AND(LEN($AG$47)&gt;0,$AE$47&lt;&gt;"Um tipo de rolagem +1"),"Qual rolagem só vale com o bônus Um tipo de rolagem +1. ","")&amp;IF(AND(LEN($AG$47)&gt;0,COUNTIF($AA$45:$AA$69,$AG$47)=0),"Rolagem fora da lista. ","")&amp;IF(AND($G$47&gt;=2,$AE$47="Um tipo de rolagem +1",LEN($AG$47)=0),"Escolha qual rolagem recebe o +1.","")))</f>
        <v/>
      </c>
      <c r="P47" s="25">
        <f>IF(AND($G$47&gt;=2,$AE$47="Um tipo de rolagem +1",LEN($AG$47)&gt;0),""&amp;$AG$47,"")</f>
        <v/>
      </c>
      <c r="Q47" s="25">
        <f>IF(AND($G$47&gt;=2,$AE$47="Velocidade +1"),1,0)</f>
        <v/>
      </c>
      <c r="R47" s="25">
        <f>IF(AND($G$47&gt;=2,$AE$47="RD +1"),1,0)</f>
        <v/>
      </c>
      <c r="S47" s="25">
        <f>IF(AND($G$47&gt;=2,$AE$47="Dano +2"),2,0)</f>
        <v/>
      </c>
      <c r="AA47" s="10" t="inlineStr">
        <is>
          <t>Reflexos</t>
        </is>
      </c>
      <c r="AD47">
        <f>IF(ISERROR($B$47),"",IF(ISBLANK($B$47),"",$B$47))</f>
        <v/>
      </c>
      <c r="AE47">
        <f>IF(ISERROR($C$47),"",IF(ISBLANK($C$47),"",$C$47))</f>
        <v/>
      </c>
      <c r="AG47">
        <f>IF(ISERROR($E$47),"",IF(ISBLANK($E$47),"",$E$47))</f>
        <v/>
      </c>
      <c r="AM47">
        <f>ISERROR($B$47)*1+ISERROR($C$47)*1+ISERROR($E$47)*1</f>
        <v/>
      </c>
    </row>
    <row r="48" ht="37" customHeight="1">
      <c r="A48" s="33" t="inlineStr">
        <is>
          <t>Bônus de Conjunto somados</t>
        </is>
      </c>
      <c r="B48" s="34" t="inlineStr">
        <is>
          <t>Velocidade</t>
        </is>
      </c>
      <c r="C48" s="19">
        <f>SUM(Q45:Q47)</f>
        <v/>
      </c>
      <c r="D48" s="34" t="inlineStr">
        <is>
          <t>RD</t>
        </is>
      </c>
      <c r="E48" s="19">
        <f>SUM(R45:R47)</f>
        <v/>
      </c>
      <c r="F48" s="34" t="inlineStr">
        <is>
          <t>Dano do Ataque Básico (teto +3)</t>
        </is>
      </c>
      <c r="G48" s="19">
        <f>MIN(3,$S$48)</f>
        <v/>
      </c>
      <c r="H48" s="34" t="inlineStr">
        <is>
          <t>Rolagens com +1:</t>
        </is>
      </c>
      <c r="I48" s="21">
        <f>IF(SUMPRODUCT((LEN($P$45:$P$47)&gt;0)*1)=0,"nenhuma",P45&amp;IF(LEN(P46)&gt;0,IF(LEN(P45)&gt;0," · ","")&amp;P46,"")&amp;IF(LEN(P47)&gt;0,IF(LEN(P45&amp;P46)&gt;0," · ","")&amp;P47,""))</f>
        <v/>
      </c>
      <c r="L48" s="20">
        <f>IF($S$48&gt;3,"Os Conjuntos somam +"&amp;$S$48&amp;" de dano: o teto é +3 por rolagem (25.3).","")</f>
        <v/>
      </c>
      <c r="M48" s="35" t="n"/>
      <c r="N48" s="35" t="n"/>
      <c r="O48" s="35" t="n"/>
      <c r="P48" s="35" t="n"/>
      <c r="Q48" s="35" t="n"/>
      <c r="R48" s="35" t="n"/>
      <c r="S48" s="25">
        <f>SUM(S45:S47)</f>
        <v/>
      </c>
      <c r="AA48" s="10" t="inlineStr">
        <is>
          <t>Resistência Física</t>
        </is>
      </c>
    </row>
    <row r="49" ht="26" customHeight="1">
      <c r="AA49" s="10" t="inlineStr">
        <is>
          <t>Resistência Mental</t>
        </is>
      </c>
    </row>
    <row r="50" ht="26" customHeight="1">
      <c r="A50" s="7" t="inlineStr">
        <is>
          <t>Conjunto</t>
        </is>
      </c>
      <c r="B50" s="7" t="inlineStr">
        <is>
          <t>Nome (automático)</t>
        </is>
      </c>
      <c r="C50" s="7" t="inlineStr">
        <is>
          <t>Efeito de 4 peças (escreva)</t>
        </is>
      </c>
      <c r="D50" s="15" t="n"/>
      <c r="E50" s="15" t="n"/>
      <c r="F50" s="15" t="n"/>
      <c r="G50" s="15" t="n"/>
      <c r="H50" s="15" t="n"/>
      <c r="I50" s="15" t="n"/>
      <c r="J50" s="15" t="n"/>
      <c r="K50" s="15" t="n"/>
      <c r="L50" s="15" t="n"/>
      <c r="AA50" s="10" t="inlineStr">
        <is>
          <t>Percepção Mental</t>
        </is>
      </c>
    </row>
    <row r="51" ht="37" customHeight="1">
      <c r="A51" s="16" t="inlineStr">
        <is>
          <t>A</t>
        </is>
      </c>
      <c r="B51" s="4">
        <f>IF(LEN($AD$45)=0,"Conjunto A",""&amp;$AD$45)</f>
        <v/>
      </c>
      <c r="C51" s="27" t="n"/>
      <c r="D51" s="28" t="n"/>
      <c r="E51" s="28" t="n"/>
      <c r="F51" s="28" t="n"/>
      <c r="G51" s="28" t="n"/>
      <c r="H51" s="28" t="n"/>
      <c r="I51" s="28" t="n"/>
      <c r="J51" s="28" t="n"/>
      <c r="K51" s="28" t="n"/>
      <c r="L51" s="29" t="n"/>
      <c r="AA51" s="10" t="inlineStr">
        <is>
          <t>Força de Vontade</t>
        </is>
      </c>
      <c r="AM51">
        <f>ISERROR($C$51)*1</f>
        <v/>
      </c>
    </row>
    <row r="52" ht="37" customHeight="1">
      <c r="A52" s="18" t="inlineStr">
        <is>
          <t>B</t>
        </is>
      </c>
      <c r="B52" s="9">
        <f>IF(LEN($AD$46)=0,"Conjunto B",""&amp;$AD$46)</f>
        <v/>
      </c>
      <c r="C52" s="60" t="n"/>
      <c r="D52" s="28" t="n"/>
      <c r="E52" s="28" t="n"/>
      <c r="F52" s="28" t="n"/>
      <c r="G52" s="28" t="n"/>
      <c r="H52" s="28" t="n"/>
      <c r="I52" s="28" t="n"/>
      <c r="J52" s="28" t="n"/>
      <c r="K52" s="28" t="n"/>
      <c r="L52" s="29" t="n"/>
      <c r="AA52" s="10" t="inlineStr">
        <is>
          <t>Atletismo</t>
        </is>
      </c>
      <c r="AM52">
        <f>ISERROR($C$52)*1</f>
        <v/>
      </c>
    </row>
    <row r="53" ht="37" customHeight="1">
      <c r="A53" s="16" t="inlineStr">
        <is>
          <t>C</t>
        </is>
      </c>
      <c r="B53" s="4">
        <f>IF(LEN($AD$47)=0,"Conjunto C",""&amp;$AD$47)</f>
        <v/>
      </c>
      <c r="C53" s="27" t="n"/>
      <c r="D53" s="28" t="n"/>
      <c r="E53" s="28" t="n"/>
      <c r="F53" s="28" t="n"/>
      <c r="G53" s="28" t="n"/>
      <c r="H53" s="28" t="n"/>
      <c r="I53" s="28" t="n"/>
      <c r="J53" s="28" t="n"/>
      <c r="K53" s="28" t="n"/>
      <c r="L53" s="29" t="n"/>
      <c r="AA53" s="10" t="inlineStr">
        <is>
          <t>Acrobacia</t>
        </is>
      </c>
      <c r="AM53">
        <f>ISERROR($C$53)*1</f>
        <v/>
      </c>
    </row>
    <row r="54">
      <c r="AA54" s="10" t="inlineStr">
        <is>
          <t>Furtividade</t>
        </is>
      </c>
    </row>
    <row r="55">
      <c r="A55" s="14" t="inlineStr">
        <is>
          <t>Inventário e Espaço — 24.4 (capacidade = 10 + 2 × Bônus de Poder; vestido e empunhado contam)</t>
        </is>
      </c>
      <c r="AA55" s="10" t="inlineStr">
        <is>
          <t>Pilotagem</t>
        </is>
      </c>
    </row>
    <row r="56" ht="48" customHeight="1">
      <c r="A56" s="8" t="inlineStr">
        <is>
          <t>Capacidade (Espaço)</t>
        </is>
      </c>
      <c r="B56" s="17">
        <f>10+2*'Criação'!$F$44+IF((COUNTIF('Caminho'!$I$27:$I$36,"Peso do Juramento")&gt;0),2,0)</f>
        <v/>
      </c>
      <c r="C56" s="12" t="inlineStr">
        <is>
          <t>10 + 2 × Bônus de Poder (+2 com a Bênção Peso do Juramento)</t>
        </is>
      </c>
      <c r="V56" s="26" t="inlineStr">
        <is>
          <t>Catálogo (24.1 a 24.3)</t>
        </is>
      </c>
      <c r="W56" s="26" t="inlineStr">
        <is>
          <t>Espaço</t>
        </is>
      </c>
      <c r="AA56" s="10" t="inlineStr">
        <is>
          <t>Resistência</t>
        </is>
      </c>
    </row>
    <row r="57" ht="26" customHeight="1">
      <c r="A57" s="8" t="inlineStr">
        <is>
          <t>Ocupado (itens + armas + armadura)</t>
        </is>
      </c>
      <c r="B57" s="17">
        <f>$F$81+$G$7+$G$8+$G$9</f>
        <v/>
      </c>
      <c r="C57" s="22">
        <f>"itens "&amp;$F$81&amp;" · armas "&amp;($G$7+$G$8)&amp;" · armadura "&amp;$G$9</f>
        <v/>
      </c>
      <c r="V57" s="25">
        <f>"Poção de Vida "&amp;INDEX('Dados'!$A$480:$A$482,1)</f>
        <v/>
      </c>
      <c r="W57" s="25">
        <f>INDEX('Dados'!$C$480:$C$482,1)</f>
        <v/>
      </c>
      <c r="AA57" s="10" t="inlineStr">
        <is>
          <t>Tecnologia</t>
        </is>
      </c>
    </row>
    <row r="58" ht="37" customHeight="1">
      <c r="A58" s="8" t="inlineStr">
        <is>
          <t>Estado</t>
        </is>
      </c>
      <c r="B58" s="17">
        <f>IF($B$57&gt;2*$B$56,"Não consegue se mover",IF($B$57&gt;$B$56,"Lentidão","Normal"))</f>
        <v/>
      </c>
      <c r="K58" s="13">
        <f>IF($B$57&gt;2*$B$56,"Acima do dobro da capacidade: você não consegue se mover, nem com Esforço Total (24.4).",IF($B$57&gt;$B$56,"Acima da capacidade: Lentidão (24.4). Largar carga é Ação Complementar.",""))</f>
        <v/>
      </c>
      <c r="V58" s="25">
        <f>"Poção de Vida "&amp;INDEX('Dados'!$A$480:$A$482,2)</f>
        <v/>
      </c>
      <c r="W58" s="25">
        <f>INDEX('Dados'!$C$480:$C$482,2)</f>
        <v/>
      </c>
      <c r="AA58" s="10" t="inlineStr">
        <is>
          <t>Pesquisa</t>
        </is>
      </c>
    </row>
    <row r="59" ht="40" customHeight="1">
      <c r="A59" s="7" t="inlineStr">
        <is>
          <t>Item 1 a 10 (escolha do catálogo ou escreva)</t>
        </is>
      </c>
      <c r="B59" s="15" t="n"/>
      <c r="C59" s="7" t="inlineStr">
        <is>
          <t>Espaço (só fora do catálogo)</t>
        </is>
      </c>
      <c r="D59" s="7" t="inlineStr">
        <is>
          <t>Espaço por unidade</t>
        </is>
      </c>
      <c r="E59" s="7" t="inlineStr">
        <is>
          <t>Quantidade (vazio = 1)</t>
        </is>
      </c>
      <c r="F59" s="7" t="inlineStr">
        <is>
          <t>Espaço total</t>
        </is>
      </c>
      <c r="G59" s="7" t="inlineStr">
        <is>
          <t>Do catálogo?</t>
        </is>
      </c>
      <c r="H59" s="15" t="n"/>
      <c r="I59" s="15" t="n"/>
      <c r="J59" s="15" t="n"/>
      <c r="K59" s="7" t="inlineStr">
        <is>
          <t>Aviso</t>
        </is>
      </c>
      <c r="L59" s="15" t="n"/>
      <c r="V59" s="25">
        <f>"Poção de Vida "&amp;INDEX('Dados'!$A$480:$A$482,3)</f>
        <v/>
      </c>
      <c r="W59" s="25">
        <f>INDEX('Dados'!$C$480:$C$482,3)</f>
        <v/>
      </c>
      <c r="AA59" s="10" t="inlineStr">
        <is>
          <t>Ciência</t>
        </is>
      </c>
    </row>
    <row r="60" ht="37" customHeight="1">
      <c r="A60" s="62" t="n"/>
      <c r="B60" s="29" t="n"/>
      <c r="C60" s="23" t="n"/>
      <c r="D60" s="22">
        <f>IF(LEN($AC$60)=0,"",IFERROR(VLOOKUP($AC$60,$V$57:$W$79,2,FALSE),IF(ISNUMBER($AE$60),$AE$60,0)))</f>
        <v/>
      </c>
      <c r="E60" s="23" t="n"/>
      <c r="F60" s="17">
        <f>IF(LEN($AC$60)=0,0,IFERROR(VLOOKUP($AC$60,$V$57:$W$79,2,FALSE),IF(ISNUMBER($AE$60),$AE$60,0))*IF(ISNUMBER($AG$60),$AG$60,1))</f>
        <v/>
      </c>
      <c r="G60" s="22">
        <f>IF(LEN($AC$60)=0,"",IF(ISERROR(MATCH($AC$60,$V$57:$V$79,0)),"Texto livre: use o Espaço que o Mestre aprovar","Sim (capítulo 24)"))</f>
        <v/>
      </c>
      <c r="K60" s="13">
        <f>IF(AM60&gt;0,"O Google leu como fórmula: digite de novo com ' na frente.",IF(LEN($AC$60)=0,IF(OR(LEN($AE$60)&gt;0,LEN($AG$60)&gt;0),"Falta o nome do item.",""),IF(AND(ISERROR(MATCH($AC$60,$V$57:$V$79,0)),LEN($AE$60)=0),"Fora do catálogo: preencha o Espaço. ","")&amp;IF(AND(LEN($AE$60)&gt;0,NOT(ISNUMBER($AE$60))),"Espaço precisa ser um número. ","")&amp;IF(AND(LEN($AG$60)&gt;0,NOT(ISNUMBER($AG$60))),"Quantidade precisa ser um número.","")))</f>
        <v/>
      </c>
      <c r="V60" s="25">
        <f>INDEX('Dados'!$A$486:$A$496,1)</f>
        <v/>
      </c>
      <c r="W60" s="25">
        <f>INDEX('Dados'!$B$486:$B$496,1)</f>
        <v/>
      </c>
      <c r="AA60" s="10" t="inlineStr">
        <is>
          <t>Mecânica</t>
        </is>
      </c>
      <c r="AC60">
        <f>IF(ISERROR($A$60),"",IF(ISBLANK($A$60),"",$A$60))</f>
        <v/>
      </c>
      <c r="AE60">
        <f>IF(ISERROR($C$60),"",IF(ISBLANK($C$60),"",$C$60))</f>
        <v/>
      </c>
      <c r="AG60">
        <f>IF(ISERROR($E$60),"",IF(ISBLANK($E$60),"",$E$60))</f>
        <v/>
      </c>
      <c r="AM60">
        <f>ISERROR($A$60)*1+ISERROR($C$60)*1+ISERROR($E$60)*1</f>
        <v/>
      </c>
    </row>
    <row r="61" ht="37" customHeight="1">
      <c r="A61" s="63" t="n"/>
      <c r="B61" s="29" t="n"/>
      <c r="C61" s="36" t="n"/>
      <c r="D61" s="21">
        <f>IF(LEN($AC$61)=0,"",IFERROR(VLOOKUP($AC$61,$V$57:$W$79,2,FALSE),IF(ISNUMBER($AE$61),$AE$61,0)))</f>
        <v/>
      </c>
      <c r="E61" s="36" t="n"/>
      <c r="F61" s="19">
        <f>IF(LEN($AC$61)=0,0,IFERROR(VLOOKUP($AC$61,$V$57:$W$79,2,FALSE),IF(ISNUMBER($AE$61),$AE$61,0))*IF(ISNUMBER($AG$61),$AG$61,1))</f>
        <v/>
      </c>
      <c r="G61" s="21">
        <f>IF(LEN($AC$61)=0,"",IF(ISERROR(MATCH($AC$61,$V$57:$V$79,0)),"Texto livre: use o Espaço que o Mestre aprovar","Sim (capítulo 24)"))</f>
        <v/>
      </c>
      <c r="K61" s="20">
        <f>IF(AM61&gt;0,"O Google leu como fórmula: digite de novo com ' na frente.",IF(LEN($AC$61)=0,IF(OR(LEN($AE$61)&gt;0,LEN($AG$61)&gt;0),"Falta o nome do item.",""),IF(AND(ISERROR(MATCH($AC$61,$V$57:$V$79,0)),LEN($AE$61)=0),"Fora do catálogo: preencha o Espaço. ","")&amp;IF(AND(LEN($AE$61)&gt;0,NOT(ISNUMBER($AE$61))),"Espaço precisa ser um número. ","")&amp;IF(AND(LEN($AG$61)&gt;0,NOT(ISNUMBER($AG$61))),"Quantidade precisa ser um número.","")))</f>
        <v/>
      </c>
      <c r="V61" s="25">
        <f>INDEX('Dados'!$A$486:$A$496,2)</f>
        <v/>
      </c>
      <c r="W61" s="25">
        <f>INDEX('Dados'!$B$486:$B$496,2)</f>
        <v/>
      </c>
      <c r="AA61" s="10" t="inlineStr">
        <is>
          <t>Percepção</t>
        </is>
      </c>
      <c r="AC61">
        <f>IF(ISERROR($A$61),"",IF(ISBLANK($A$61),"",$A$61))</f>
        <v/>
      </c>
      <c r="AE61">
        <f>IF(ISERROR($C$61),"",IF(ISBLANK($C$61),"",$C$61))</f>
        <v/>
      </c>
      <c r="AG61">
        <f>IF(ISERROR($E$61),"",IF(ISBLANK($E$61),"",$E$61))</f>
        <v/>
      </c>
      <c r="AM61">
        <f>ISERROR($A$61)*1+ISERROR($C$61)*1+ISERROR($E$61)*1</f>
        <v/>
      </c>
    </row>
    <row r="62" ht="37" customHeight="1">
      <c r="A62" s="62" t="n"/>
      <c r="B62" s="29" t="n"/>
      <c r="C62" s="23" t="n"/>
      <c r="D62" s="22">
        <f>IF(LEN($AC$62)=0,"",IFERROR(VLOOKUP($AC$62,$V$57:$W$79,2,FALSE),IF(ISNUMBER($AE$62),$AE$62,0)))</f>
        <v/>
      </c>
      <c r="E62" s="23" t="n"/>
      <c r="F62" s="17">
        <f>IF(LEN($AC$62)=0,0,IFERROR(VLOOKUP($AC$62,$V$57:$W$79,2,FALSE),IF(ISNUMBER($AE$62),$AE$62,0))*IF(ISNUMBER($AG$62),$AG$62,1))</f>
        <v/>
      </c>
      <c r="G62" s="22">
        <f>IF(LEN($AC$62)=0,"",IF(ISERROR(MATCH($AC$62,$V$57:$V$79,0)),"Texto livre: use o Espaço que o Mestre aprovar","Sim (capítulo 24)"))</f>
        <v/>
      </c>
      <c r="K62" s="13">
        <f>IF(AM62&gt;0,"O Google leu como fórmula: digite de novo com ' na frente.",IF(LEN($AC$62)=0,IF(OR(LEN($AE$62)&gt;0,LEN($AG$62)&gt;0),"Falta o nome do item.",""),IF(AND(ISERROR(MATCH($AC$62,$V$57:$V$79,0)),LEN($AE$62)=0),"Fora do catálogo: preencha o Espaço. ","")&amp;IF(AND(LEN($AE$62)&gt;0,NOT(ISNUMBER($AE$62))),"Espaço precisa ser um número. ","")&amp;IF(AND(LEN($AG$62)&gt;0,NOT(ISNUMBER($AG$62))),"Quantidade precisa ser um número.","")))</f>
        <v/>
      </c>
      <c r="V62" s="25">
        <f>INDEX('Dados'!$A$486:$A$496,3)</f>
        <v/>
      </c>
      <c r="W62" s="25">
        <f>INDEX('Dados'!$B$486:$B$496,3)</f>
        <v/>
      </c>
      <c r="AA62" s="10" t="inlineStr">
        <is>
          <t>Sobrevivência</t>
        </is>
      </c>
      <c r="AC62">
        <f>IF(ISERROR($A$62),"",IF(ISBLANK($A$62),"",$A$62))</f>
        <v/>
      </c>
      <c r="AE62">
        <f>IF(ISERROR($C$62),"",IF(ISBLANK($C$62),"",$C$62))</f>
        <v/>
      </c>
      <c r="AG62">
        <f>IF(ISERROR($E$62),"",IF(ISBLANK($E$62),"",$E$62))</f>
        <v/>
      </c>
      <c r="AM62">
        <f>ISERROR($A$62)*1+ISERROR($C$62)*1+ISERROR($E$62)*1</f>
        <v/>
      </c>
    </row>
    <row r="63" ht="37" customHeight="1">
      <c r="A63" s="63" t="n"/>
      <c r="B63" s="29" t="n"/>
      <c r="C63" s="36" t="n"/>
      <c r="D63" s="21">
        <f>IF(LEN($AC$63)=0,"",IFERROR(VLOOKUP($AC$63,$V$57:$W$79,2,FALSE),IF(ISNUMBER($AE$63),$AE$63,0)))</f>
        <v/>
      </c>
      <c r="E63" s="36" t="n"/>
      <c r="F63" s="19">
        <f>IF(LEN($AC$63)=0,0,IFERROR(VLOOKUP($AC$63,$V$57:$W$79,2,FALSE),IF(ISNUMBER($AE$63),$AE$63,0))*IF(ISNUMBER($AG$63),$AG$63,1))</f>
        <v/>
      </c>
      <c r="G63" s="21">
        <f>IF(LEN($AC$63)=0,"",IF(ISERROR(MATCH($AC$63,$V$57:$V$79,0)),"Texto livre: use o Espaço que o Mestre aprovar","Sim (capítulo 24)"))</f>
        <v/>
      </c>
      <c r="K63" s="20">
        <f>IF(AM63&gt;0,"O Google leu como fórmula: digite de novo com ' na frente.",IF(LEN($AC$63)=0,IF(OR(LEN($AE$63)&gt;0,LEN($AG$63)&gt;0),"Falta o nome do item.",""),IF(AND(ISERROR(MATCH($AC$63,$V$57:$V$79,0)),LEN($AE$63)=0),"Fora do catálogo: preencha o Espaço. ","")&amp;IF(AND(LEN($AE$63)&gt;0,NOT(ISNUMBER($AE$63))),"Espaço precisa ser um número. ","")&amp;IF(AND(LEN($AG$63)&gt;0,NOT(ISNUMBER($AG$63))),"Quantidade precisa ser um número.","")))</f>
        <v/>
      </c>
      <c r="V63" s="25">
        <f>INDEX('Dados'!$A$486:$A$496,4)</f>
        <v/>
      </c>
      <c r="W63" s="25">
        <f>INDEX('Dados'!$B$486:$B$496,4)</f>
        <v/>
      </c>
      <c r="AA63" s="10" t="inlineStr">
        <is>
          <t>Intuição</t>
        </is>
      </c>
      <c r="AC63">
        <f>IF(ISERROR($A$63),"",IF(ISBLANK($A$63),"",$A$63))</f>
        <v/>
      </c>
      <c r="AE63">
        <f>IF(ISERROR($C$63),"",IF(ISBLANK($C$63),"",$C$63))</f>
        <v/>
      </c>
      <c r="AG63">
        <f>IF(ISERROR($E$63),"",IF(ISBLANK($E$63),"",$E$63))</f>
        <v/>
      </c>
      <c r="AM63">
        <f>ISERROR($A$63)*1+ISERROR($C$63)*1+ISERROR($E$63)*1</f>
        <v/>
      </c>
    </row>
    <row r="64" ht="37" customHeight="1">
      <c r="A64" s="62" t="n"/>
      <c r="B64" s="29" t="n"/>
      <c r="C64" s="23" t="n"/>
      <c r="D64" s="22">
        <f>IF(LEN($AC$64)=0,"",IFERROR(VLOOKUP($AC$64,$V$57:$W$79,2,FALSE),IF(ISNUMBER($AE$64),$AE$64,0)))</f>
        <v/>
      </c>
      <c r="E64" s="23" t="n"/>
      <c r="F64" s="17">
        <f>IF(LEN($AC$64)=0,0,IFERROR(VLOOKUP($AC$64,$V$57:$W$79,2,FALSE),IF(ISNUMBER($AE$64),$AE$64,0))*IF(ISNUMBER($AG$64),$AG$64,1))</f>
        <v/>
      </c>
      <c r="G64" s="22">
        <f>IF(LEN($AC$64)=0,"",IF(ISERROR(MATCH($AC$64,$V$57:$V$79,0)),"Texto livre: use o Espaço que o Mestre aprovar","Sim (capítulo 24)"))</f>
        <v/>
      </c>
      <c r="K64" s="13">
        <f>IF(AM64&gt;0,"O Google leu como fórmula: digite de novo com ' na frente.",IF(LEN($AC$64)=0,IF(OR(LEN($AE$64)&gt;0,LEN($AG$64)&gt;0),"Falta o nome do item.",""),IF(AND(ISERROR(MATCH($AC$64,$V$57:$V$79,0)),LEN($AE$64)=0),"Fora do catálogo: preencha o Espaço. ","")&amp;IF(AND(LEN($AE$64)&gt;0,NOT(ISNUMBER($AE$64))),"Espaço precisa ser um número. ","")&amp;IF(AND(LEN($AG$64)&gt;0,NOT(ISNUMBER($AG$64))),"Quantidade precisa ser um número.","")))</f>
        <v/>
      </c>
      <c r="V64" s="25">
        <f>INDEX('Dados'!$A$486:$A$496,5)</f>
        <v/>
      </c>
      <c r="W64" s="25">
        <f>INDEX('Dados'!$B$486:$B$496,5)</f>
        <v/>
      </c>
      <c r="AA64" s="10" t="inlineStr">
        <is>
          <t>Investigação</t>
        </is>
      </c>
      <c r="AC64">
        <f>IF(ISERROR($A$64),"",IF(ISBLANK($A$64),"",$A$64))</f>
        <v/>
      </c>
      <c r="AE64">
        <f>IF(ISERROR($C$64),"",IF(ISBLANK($C$64),"",$C$64))</f>
        <v/>
      </c>
      <c r="AG64">
        <f>IF(ISERROR($E$64),"",IF(ISBLANK($E$64),"",$E$64))</f>
        <v/>
      </c>
      <c r="AM64">
        <f>ISERROR($A$64)*1+ISERROR($C$64)*1+ISERROR($E$64)*1</f>
        <v/>
      </c>
    </row>
    <row r="65" ht="37" customHeight="1">
      <c r="A65" s="63" t="n"/>
      <c r="B65" s="29" t="n"/>
      <c r="C65" s="36" t="n"/>
      <c r="D65" s="21">
        <f>IF(LEN($AC$65)=0,"",IFERROR(VLOOKUP($AC$65,$V$57:$W$79,2,FALSE),IF(ISNUMBER($AE$65),$AE$65,0)))</f>
        <v/>
      </c>
      <c r="E65" s="36" t="n"/>
      <c r="F65" s="19">
        <f>IF(LEN($AC$65)=0,0,IFERROR(VLOOKUP($AC$65,$V$57:$W$79,2,FALSE),IF(ISNUMBER($AE$65),$AE$65,0))*IF(ISNUMBER($AG$65),$AG$65,1))</f>
        <v/>
      </c>
      <c r="G65" s="21">
        <f>IF(LEN($AC$65)=0,"",IF(ISERROR(MATCH($AC$65,$V$57:$V$79,0)),"Texto livre: use o Espaço que o Mestre aprovar","Sim (capítulo 24)"))</f>
        <v/>
      </c>
      <c r="K65" s="20">
        <f>IF(AM65&gt;0,"O Google leu como fórmula: digite de novo com ' na frente.",IF(LEN($AC$65)=0,IF(OR(LEN($AE$65)&gt;0,LEN($AG$65)&gt;0),"Falta o nome do item.",""),IF(AND(ISERROR(MATCH($AC$65,$V$57:$V$79,0)),LEN($AE$65)=0),"Fora do catálogo: preencha o Espaço. ","")&amp;IF(AND(LEN($AE$65)&gt;0,NOT(ISNUMBER($AE$65))),"Espaço precisa ser um número. ","")&amp;IF(AND(LEN($AG$65)&gt;0,NOT(ISNUMBER($AG$65))),"Quantidade precisa ser um número.","")))</f>
        <v/>
      </c>
      <c r="V65" s="25">
        <f>INDEX('Dados'!$A$486:$A$496,6)</f>
        <v/>
      </c>
      <c r="W65" s="25">
        <f>INDEX('Dados'!$B$486:$B$496,6)</f>
        <v/>
      </c>
      <c r="AA65" s="10" t="inlineStr">
        <is>
          <t>Persuasão</t>
        </is>
      </c>
      <c r="AC65">
        <f>IF(ISERROR($A$65),"",IF(ISBLANK($A$65),"",$A$65))</f>
        <v/>
      </c>
      <c r="AE65">
        <f>IF(ISERROR($C$65),"",IF(ISBLANK($C$65),"",$C$65))</f>
        <v/>
      </c>
      <c r="AG65">
        <f>IF(ISERROR($E$65),"",IF(ISBLANK($E$65),"",$E$65))</f>
        <v/>
      </c>
      <c r="AM65">
        <f>ISERROR($A$65)*1+ISERROR($C$65)*1+ISERROR($E$65)*1</f>
        <v/>
      </c>
    </row>
    <row r="66" ht="37" customHeight="1">
      <c r="A66" s="62" t="n"/>
      <c r="B66" s="29" t="n"/>
      <c r="C66" s="23" t="n"/>
      <c r="D66" s="22">
        <f>IF(LEN($AC$66)=0,"",IFERROR(VLOOKUP($AC$66,$V$57:$W$79,2,FALSE),IF(ISNUMBER($AE$66),$AE$66,0)))</f>
        <v/>
      </c>
      <c r="E66" s="23" t="n"/>
      <c r="F66" s="17">
        <f>IF(LEN($AC$66)=0,0,IFERROR(VLOOKUP($AC$66,$V$57:$W$79,2,FALSE),IF(ISNUMBER($AE$66),$AE$66,0))*IF(ISNUMBER($AG$66),$AG$66,1))</f>
        <v/>
      </c>
      <c r="G66" s="22">
        <f>IF(LEN($AC$66)=0,"",IF(ISERROR(MATCH($AC$66,$V$57:$V$79,0)),"Texto livre: use o Espaço que o Mestre aprovar","Sim (capítulo 24)"))</f>
        <v/>
      </c>
      <c r="K66" s="13">
        <f>IF(AM66&gt;0,"O Google leu como fórmula: digite de novo com ' na frente.",IF(LEN($AC$66)=0,IF(OR(LEN($AE$66)&gt;0,LEN($AG$66)&gt;0),"Falta o nome do item.",""),IF(AND(ISERROR(MATCH($AC$66,$V$57:$V$79,0)),LEN($AE$66)=0),"Fora do catálogo: preencha o Espaço. ","")&amp;IF(AND(LEN($AE$66)&gt;0,NOT(ISNUMBER($AE$66))),"Espaço precisa ser um número. ","")&amp;IF(AND(LEN($AG$66)&gt;0,NOT(ISNUMBER($AG$66))),"Quantidade precisa ser um número.","")))</f>
        <v/>
      </c>
      <c r="V66" s="25">
        <f>INDEX('Dados'!$A$486:$A$496,7)</f>
        <v/>
      </c>
      <c r="W66" s="25">
        <f>INDEX('Dados'!$B$486:$B$496,7)</f>
        <v/>
      </c>
      <c r="AA66" s="10" t="inlineStr">
        <is>
          <t>Intimidação</t>
        </is>
      </c>
      <c r="AC66">
        <f>IF(ISERROR($A$66),"",IF(ISBLANK($A$66),"",$A$66))</f>
        <v/>
      </c>
      <c r="AE66">
        <f>IF(ISERROR($C$66),"",IF(ISBLANK($C$66),"",$C$66))</f>
        <v/>
      </c>
      <c r="AG66">
        <f>IF(ISERROR($E$66),"",IF(ISBLANK($E$66),"",$E$66))</f>
        <v/>
      </c>
      <c r="AM66">
        <f>ISERROR($A$66)*1+ISERROR($C$66)*1+ISERROR($E$66)*1</f>
        <v/>
      </c>
    </row>
    <row r="67" ht="37" customHeight="1">
      <c r="A67" s="63" t="n"/>
      <c r="B67" s="29" t="n"/>
      <c r="C67" s="36" t="n"/>
      <c r="D67" s="21">
        <f>IF(LEN($AC$67)=0,"",IFERROR(VLOOKUP($AC$67,$V$57:$W$79,2,FALSE),IF(ISNUMBER($AE$67),$AE$67,0)))</f>
        <v/>
      </c>
      <c r="E67" s="36" t="n"/>
      <c r="F67" s="19">
        <f>IF(LEN($AC$67)=0,0,IFERROR(VLOOKUP($AC$67,$V$57:$W$79,2,FALSE),IF(ISNUMBER($AE$67),$AE$67,0))*IF(ISNUMBER($AG$67),$AG$67,1))</f>
        <v/>
      </c>
      <c r="G67" s="21">
        <f>IF(LEN($AC$67)=0,"",IF(ISERROR(MATCH($AC$67,$V$57:$V$79,0)),"Texto livre: use o Espaço que o Mestre aprovar","Sim (capítulo 24)"))</f>
        <v/>
      </c>
      <c r="K67" s="20">
        <f>IF(AM67&gt;0,"O Google leu como fórmula: digite de novo com ' na frente.",IF(LEN($AC$67)=0,IF(OR(LEN($AE$67)&gt;0,LEN($AG$67)&gt;0),"Falta o nome do item.",""),IF(AND(ISERROR(MATCH($AC$67,$V$57:$V$79,0)),LEN($AE$67)=0),"Fora do catálogo: preencha o Espaço. ","")&amp;IF(AND(LEN($AE$67)&gt;0,NOT(ISNUMBER($AE$67))),"Espaço precisa ser um número. ","")&amp;IF(AND(LEN($AG$67)&gt;0,NOT(ISNUMBER($AG$67))),"Quantidade precisa ser um número.","")))</f>
        <v/>
      </c>
      <c r="V67" s="25">
        <f>INDEX('Dados'!$A$486:$A$496,8)</f>
        <v/>
      </c>
      <c r="W67" s="25">
        <f>INDEX('Dados'!$B$486:$B$496,8)</f>
        <v/>
      </c>
      <c r="AA67" s="10" t="inlineStr">
        <is>
          <t>Enganação</t>
        </is>
      </c>
      <c r="AC67">
        <f>IF(ISERROR($A$67),"",IF(ISBLANK($A$67),"",$A$67))</f>
        <v/>
      </c>
      <c r="AE67">
        <f>IF(ISERROR($C$67),"",IF(ISBLANK($C$67),"",$C$67))</f>
        <v/>
      </c>
      <c r="AG67">
        <f>IF(ISERROR($E$67),"",IF(ISBLANK($E$67),"",$E$67))</f>
        <v/>
      </c>
      <c r="AM67">
        <f>ISERROR($A$67)*1+ISERROR($C$67)*1+ISERROR($E$67)*1</f>
        <v/>
      </c>
    </row>
    <row r="68" ht="37" customHeight="1">
      <c r="A68" s="62" t="n"/>
      <c r="B68" s="29" t="n"/>
      <c r="C68" s="23" t="n"/>
      <c r="D68" s="22">
        <f>IF(LEN($AC$68)=0,"",IFERROR(VLOOKUP($AC$68,$V$57:$W$79,2,FALSE),IF(ISNUMBER($AE$68),$AE$68,0)))</f>
        <v/>
      </c>
      <c r="E68" s="23" t="n"/>
      <c r="F68" s="17">
        <f>IF(LEN($AC$68)=0,0,IFERROR(VLOOKUP($AC$68,$V$57:$W$79,2,FALSE),IF(ISNUMBER($AE$68),$AE$68,0))*IF(ISNUMBER($AG$68),$AG$68,1))</f>
        <v/>
      </c>
      <c r="G68" s="22">
        <f>IF(LEN($AC$68)=0,"",IF(ISERROR(MATCH($AC$68,$V$57:$V$79,0)),"Texto livre: use o Espaço que o Mestre aprovar","Sim (capítulo 24)"))</f>
        <v/>
      </c>
      <c r="K68" s="13">
        <f>IF(AM68&gt;0,"O Google leu como fórmula: digite de novo com ' na frente.",IF(LEN($AC$68)=0,IF(OR(LEN($AE$68)&gt;0,LEN($AG$68)&gt;0),"Falta o nome do item.",""),IF(AND(ISERROR(MATCH($AC$68,$V$57:$V$79,0)),LEN($AE$68)=0),"Fora do catálogo: preencha o Espaço. ","")&amp;IF(AND(LEN($AE$68)&gt;0,NOT(ISNUMBER($AE$68))),"Espaço precisa ser um número. ","")&amp;IF(AND(LEN($AG$68)&gt;0,NOT(ISNUMBER($AG$68))),"Quantidade precisa ser um número.","")))</f>
        <v/>
      </c>
      <c r="V68" s="25">
        <f>INDEX('Dados'!$A$486:$A$496,9)</f>
        <v/>
      </c>
      <c r="W68" s="25">
        <f>INDEX('Dados'!$B$486:$B$496,9)</f>
        <v/>
      </c>
      <c r="AA68" s="10" t="inlineStr">
        <is>
          <t>Liderança</t>
        </is>
      </c>
      <c r="AC68">
        <f>IF(ISERROR($A$68),"",IF(ISBLANK($A$68),"",$A$68))</f>
        <v/>
      </c>
      <c r="AE68">
        <f>IF(ISERROR($C$68),"",IF(ISBLANK($C$68),"",$C$68))</f>
        <v/>
      </c>
      <c r="AG68">
        <f>IF(ISERROR($E$68),"",IF(ISBLANK($E$68),"",$E$68))</f>
        <v/>
      </c>
      <c r="AM68">
        <f>ISERROR($A$68)*1+ISERROR($C$68)*1+ISERROR($E$68)*1</f>
        <v/>
      </c>
    </row>
    <row r="69" ht="37" customHeight="1">
      <c r="A69" s="63" t="n"/>
      <c r="B69" s="29" t="n"/>
      <c r="C69" s="36" t="n"/>
      <c r="D69" s="21">
        <f>IF(LEN($AC$69)=0,"",IFERROR(VLOOKUP($AC$69,$V$57:$W$79,2,FALSE),IF(ISNUMBER($AE$69),$AE$69,0)))</f>
        <v/>
      </c>
      <c r="E69" s="36" t="n"/>
      <c r="F69" s="19">
        <f>IF(LEN($AC$69)=0,0,IFERROR(VLOOKUP($AC$69,$V$57:$W$79,2,FALSE),IF(ISNUMBER($AE$69),$AE$69,0))*IF(ISNUMBER($AG$69),$AG$69,1))</f>
        <v/>
      </c>
      <c r="G69" s="21">
        <f>IF(LEN($AC$69)=0,"",IF(ISERROR(MATCH($AC$69,$V$57:$V$79,0)),"Texto livre: use o Espaço que o Mestre aprovar","Sim (capítulo 24)"))</f>
        <v/>
      </c>
      <c r="K69" s="20">
        <f>IF(AM69&gt;0,"O Google leu como fórmula: digite de novo com ' na frente.",IF(LEN($AC$69)=0,IF(OR(LEN($AE$69)&gt;0,LEN($AG$69)&gt;0),"Falta o nome do item.",""),IF(AND(ISERROR(MATCH($AC$69,$V$57:$V$79,0)),LEN($AE$69)=0),"Fora do catálogo: preencha o Espaço. ","")&amp;IF(AND(LEN($AE$69)&gt;0,NOT(ISNUMBER($AE$69))),"Espaço precisa ser um número. ","")&amp;IF(AND(LEN($AG$69)&gt;0,NOT(ISNUMBER($AG$69))),"Quantidade precisa ser um número.","")))</f>
        <v/>
      </c>
      <c r="V69" s="25">
        <f>INDEX('Dados'!$A$486:$A$496,10)</f>
        <v/>
      </c>
      <c r="W69" s="25">
        <f>INDEX('Dados'!$B$486:$B$496,10)</f>
        <v/>
      </c>
      <c r="AA69" s="10" t="inlineStr">
        <is>
          <t>Sintonia</t>
        </is>
      </c>
      <c r="AC69">
        <f>IF(ISERROR($A$69),"",IF(ISBLANK($A$69),"",$A$69))</f>
        <v/>
      </c>
      <c r="AE69">
        <f>IF(ISERROR($C$69),"",IF(ISBLANK($C$69),"",$C$69))</f>
        <v/>
      </c>
      <c r="AG69">
        <f>IF(ISERROR($E$69),"",IF(ISBLANK($E$69),"",$E$69))</f>
        <v/>
      </c>
      <c r="AM69">
        <f>ISERROR($A$69)*1+ISERROR($C$69)*1+ISERROR($E$69)*1</f>
        <v/>
      </c>
    </row>
    <row r="70" ht="40" customHeight="1">
      <c r="A70" s="7" t="inlineStr">
        <is>
          <t>Item 11 a 20 (escolha do catálogo ou escreva)</t>
        </is>
      </c>
      <c r="B70" s="15" t="n"/>
      <c r="C70" s="7" t="inlineStr">
        <is>
          <t>Espaço (só fora do catálogo)</t>
        </is>
      </c>
      <c r="D70" s="7" t="inlineStr">
        <is>
          <t>Espaço por unidade</t>
        </is>
      </c>
      <c r="E70" s="7" t="inlineStr">
        <is>
          <t>Quantidade (vazio = 1)</t>
        </is>
      </c>
      <c r="F70" s="7" t="inlineStr">
        <is>
          <t>Espaço total</t>
        </is>
      </c>
      <c r="G70" s="7" t="inlineStr">
        <is>
          <t>Do catálogo?</t>
        </is>
      </c>
      <c r="H70" s="15" t="n"/>
      <c r="I70" s="15" t="n"/>
      <c r="J70" s="15" t="n"/>
      <c r="K70" s="7" t="inlineStr">
        <is>
          <t>Aviso</t>
        </is>
      </c>
      <c r="L70" s="15" t="n"/>
      <c r="V70" s="25">
        <f>INDEX('Dados'!$A$486:$A$496,11)</f>
        <v/>
      </c>
      <c r="W70" s="25">
        <f>INDEX('Dados'!$B$486:$B$496,11)</f>
        <v/>
      </c>
    </row>
    <row r="71" ht="37" customHeight="1">
      <c r="A71" s="62" t="n"/>
      <c r="B71" s="29" t="n"/>
      <c r="C71" s="23" t="n"/>
      <c r="D71" s="22">
        <f>IF(LEN($AC$71)=0,"",IFERROR(VLOOKUP($AC$71,$V$57:$W$79,2,FALSE),IF(ISNUMBER($AE$71),$AE$71,0)))</f>
        <v/>
      </c>
      <c r="E71" s="23" t="n"/>
      <c r="F71" s="17">
        <f>IF(LEN($AC$71)=0,0,IFERROR(VLOOKUP($AC$71,$V$57:$W$79,2,FALSE),IF(ISNUMBER($AE$71),$AE$71,0))*IF(ISNUMBER($AG$71),$AG$71,1))</f>
        <v/>
      </c>
      <c r="G71" s="22">
        <f>IF(LEN($AC$71)=0,"",IF(ISERROR(MATCH($AC$71,$V$57:$V$79,0)),"Texto livre: use o Espaço que o Mestre aprovar","Sim (capítulo 24)"))</f>
        <v/>
      </c>
      <c r="K71" s="13">
        <f>IF(AM71&gt;0,"O Google leu como fórmula: digite de novo com ' na frente.",IF(LEN($AC$71)=0,IF(OR(LEN($AE$71)&gt;0,LEN($AG$71)&gt;0),"Falta o nome do item.",""),IF(AND(ISERROR(MATCH($AC$71,$V$57:$V$79,0)),LEN($AE$71)=0),"Fora do catálogo: preencha o Espaço. ","")&amp;IF(AND(LEN($AE$71)&gt;0,NOT(ISNUMBER($AE$71))),"Espaço precisa ser um número. ","")&amp;IF(AND(LEN($AG$71)&gt;0,NOT(ISNUMBER($AG$71))),"Quantidade precisa ser um número.","")))</f>
        <v/>
      </c>
      <c r="V71" s="25">
        <f>"Arma "&amp;INDEX('Dados'!$A$457:$A$462,1)</f>
        <v/>
      </c>
      <c r="W71" s="25">
        <f>INDEX('Dados'!$H$457:$H$462,1)</f>
        <v/>
      </c>
      <c r="AC71">
        <f>IF(ISERROR($A$71),"",IF(ISBLANK($A$71),"",$A$71))</f>
        <v/>
      </c>
      <c r="AE71">
        <f>IF(ISERROR($C$71),"",IF(ISBLANK($C$71),"",$C$71))</f>
        <v/>
      </c>
      <c r="AG71">
        <f>IF(ISERROR($E$71),"",IF(ISBLANK($E$71),"",$E$71))</f>
        <v/>
      </c>
      <c r="AM71">
        <f>ISERROR($A$71)*1+ISERROR($C$71)*1+ISERROR($E$71)*1</f>
        <v/>
      </c>
    </row>
    <row r="72" ht="37" customHeight="1">
      <c r="A72" s="63" t="n"/>
      <c r="B72" s="29" t="n"/>
      <c r="C72" s="36" t="n"/>
      <c r="D72" s="21">
        <f>IF(LEN($AC$72)=0,"",IFERROR(VLOOKUP($AC$72,$V$57:$W$79,2,FALSE),IF(ISNUMBER($AE$72),$AE$72,0)))</f>
        <v/>
      </c>
      <c r="E72" s="36" t="n"/>
      <c r="F72" s="19">
        <f>IF(LEN($AC$72)=0,0,IFERROR(VLOOKUP($AC$72,$V$57:$W$79,2,FALSE),IF(ISNUMBER($AE$72),$AE$72,0))*IF(ISNUMBER($AG$72),$AG$72,1))</f>
        <v/>
      </c>
      <c r="G72" s="21">
        <f>IF(LEN($AC$72)=0,"",IF(ISERROR(MATCH($AC$72,$V$57:$V$79,0)),"Texto livre: use o Espaço que o Mestre aprovar","Sim (capítulo 24)"))</f>
        <v/>
      </c>
      <c r="K72" s="20">
        <f>IF(AM72&gt;0,"O Google leu como fórmula: digite de novo com ' na frente.",IF(LEN($AC$72)=0,IF(OR(LEN($AE$72)&gt;0,LEN($AG$72)&gt;0),"Falta o nome do item.",""),IF(AND(ISERROR(MATCH($AC$72,$V$57:$V$79,0)),LEN($AE$72)=0),"Fora do catálogo: preencha o Espaço. ","")&amp;IF(AND(LEN($AE$72)&gt;0,NOT(ISNUMBER($AE$72))),"Espaço precisa ser um número. ","")&amp;IF(AND(LEN($AG$72)&gt;0,NOT(ISNUMBER($AG$72))),"Quantidade precisa ser um número.","")))</f>
        <v/>
      </c>
      <c r="V72" s="25">
        <f>"Arma "&amp;INDEX('Dados'!$A$457:$A$462,2)</f>
        <v/>
      </c>
      <c r="W72" s="25">
        <f>INDEX('Dados'!$H$457:$H$462,2)</f>
        <v/>
      </c>
      <c r="AC72">
        <f>IF(ISERROR($A$72),"",IF(ISBLANK($A$72),"",$A$72))</f>
        <v/>
      </c>
      <c r="AE72">
        <f>IF(ISERROR($C$72),"",IF(ISBLANK($C$72),"",$C$72))</f>
        <v/>
      </c>
      <c r="AG72">
        <f>IF(ISERROR($E$72),"",IF(ISBLANK($E$72),"",$E$72))</f>
        <v/>
      </c>
      <c r="AM72">
        <f>ISERROR($A$72)*1+ISERROR($C$72)*1+ISERROR($E$72)*1</f>
        <v/>
      </c>
    </row>
    <row r="73" ht="37" customHeight="1">
      <c r="A73" s="62" t="n"/>
      <c r="B73" s="29" t="n"/>
      <c r="C73" s="23" t="n"/>
      <c r="D73" s="22">
        <f>IF(LEN($AC$73)=0,"",IFERROR(VLOOKUP($AC$73,$V$57:$W$79,2,FALSE),IF(ISNUMBER($AE$73),$AE$73,0)))</f>
        <v/>
      </c>
      <c r="E73" s="23" t="n"/>
      <c r="F73" s="17">
        <f>IF(LEN($AC$73)=0,0,IFERROR(VLOOKUP($AC$73,$V$57:$W$79,2,FALSE),IF(ISNUMBER($AE$73),$AE$73,0))*IF(ISNUMBER($AG$73),$AG$73,1))</f>
        <v/>
      </c>
      <c r="G73" s="22">
        <f>IF(LEN($AC$73)=0,"",IF(ISERROR(MATCH($AC$73,$V$57:$V$79,0)),"Texto livre: use o Espaço que o Mestre aprovar","Sim (capítulo 24)"))</f>
        <v/>
      </c>
      <c r="K73" s="13">
        <f>IF(AM73&gt;0,"O Google leu como fórmula: digite de novo com ' na frente.",IF(LEN($AC$73)=0,IF(OR(LEN($AE$73)&gt;0,LEN($AG$73)&gt;0),"Falta o nome do item.",""),IF(AND(ISERROR(MATCH($AC$73,$V$57:$V$79,0)),LEN($AE$73)=0),"Fora do catálogo: preencha o Espaço. ","")&amp;IF(AND(LEN($AE$73)&gt;0,NOT(ISNUMBER($AE$73))),"Espaço precisa ser um número. ","")&amp;IF(AND(LEN($AG$73)&gt;0,NOT(ISNUMBER($AG$73))),"Quantidade precisa ser um número.","")))</f>
        <v/>
      </c>
      <c r="V73" s="25">
        <f>"Arma "&amp;INDEX('Dados'!$A$457:$A$462,3)</f>
        <v/>
      </c>
      <c r="W73" s="25">
        <f>INDEX('Dados'!$H$457:$H$462,3)</f>
        <v/>
      </c>
      <c r="AC73">
        <f>IF(ISERROR($A$73),"",IF(ISBLANK($A$73),"",$A$73))</f>
        <v/>
      </c>
      <c r="AE73">
        <f>IF(ISERROR($C$73),"",IF(ISBLANK($C$73),"",$C$73))</f>
        <v/>
      </c>
      <c r="AG73">
        <f>IF(ISERROR($E$73),"",IF(ISBLANK($E$73),"",$E$73))</f>
        <v/>
      </c>
      <c r="AM73">
        <f>ISERROR($A$73)*1+ISERROR($C$73)*1+ISERROR($E$73)*1</f>
        <v/>
      </c>
    </row>
    <row r="74" ht="37" customHeight="1">
      <c r="A74" s="63" t="n"/>
      <c r="B74" s="29" t="n"/>
      <c r="C74" s="36" t="n"/>
      <c r="D74" s="21">
        <f>IF(LEN($AC$74)=0,"",IFERROR(VLOOKUP($AC$74,$V$57:$W$79,2,FALSE),IF(ISNUMBER($AE$74),$AE$74,0)))</f>
        <v/>
      </c>
      <c r="E74" s="36" t="n"/>
      <c r="F74" s="19">
        <f>IF(LEN($AC$74)=0,0,IFERROR(VLOOKUP($AC$74,$V$57:$W$79,2,FALSE),IF(ISNUMBER($AE$74),$AE$74,0))*IF(ISNUMBER($AG$74),$AG$74,1))</f>
        <v/>
      </c>
      <c r="G74" s="21">
        <f>IF(LEN($AC$74)=0,"",IF(ISERROR(MATCH($AC$74,$V$57:$V$79,0)),"Texto livre: use o Espaço que o Mestre aprovar","Sim (capítulo 24)"))</f>
        <v/>
      </c>
      <c r="K74" s="20">
        <f>IF(AM74&gt;0,"O Google leu como fórmula: digite de novo com ' na frente.",IF(LEN($AC$74)=0,IF(OR(LEN($AE$74)&gt;0,LEN($AG$74)&gt;0),"Falta o nome do item.",""),IF(AND(ISERROR(MATCH($AC$74,$V$57:$V$79,0)),LEN($AE$74)=0),"Fora do catálogo: preencha o Espaço. ","")&amp;IF(AND(LEN($AE$74)&gt;0,NOT(ISNUMBER($AE$74))),"Espaço precisa ser um número. ","")&amp;IF(AND(LEN($AG$74)&gt;0,NOT(ISNUMBER($AG$74))),"Quantidade precisa ser um número.","")))</f>
        <v/>
      </c>
      <c r="V74" s="25">
        <f>"Arma "&amp;INDEX('Dados'!$A$457:$A$462,4)</f>
        <v/>
      </c>
      <c r="W74" s="25">
        <f>INDEX('Dados'!$H$457:$H$462,4)</f>
        <v/>
      </c>
      <c r="AC74">
        <f>IF(ISERROR($A$74),"",IF(ISBLANK($A$74),"",$A$74))</f>
        <v/>
      </c>
      <c r="AE74">
        <f>IF(ISERROR($C$74),"",IF(ISBLANK($C$74),"",$C$74))</f>
        <v/>
      </c>
      <c r="AG74">
        <f>IF(ISERROR($E$74),"",IF(ISBLANK($E$74),"",$E$74))</f>
        <v/>
      </c>
      <c r="AM74">
        <f>ISERROR($A$74)*1+ISERROR($C$74)*1+ISERROR($E$74)*1</f>
        <v/>
      </c>
    </row>
    <row r="75" ht="37" customHeight="1">
      <c r="A75" s="62" t="n"/>
      <c r="B75" s="29" t="n"/>
      <c r="C75" s="23" t="n"/>
      <c r="D75" s="22">
        <f>IF(LEN($AC$75)=0,"",IFERROR(VLOOKUP($AC$75,$V$57:$W$79,2,FALSE),IF(ISNUMBER($AE$75),$AE$75,0)))</f>
        <v/>
      </c>
      <c r="E75" s="23" t="n"/>
      <c r="F75" s="17">
        <f>IF(LEN($AC$75)=0,0,IFERROR(VLOOKUP($AC$75,$V$57:$W$79,2,FALSE),IF(ISNUMBER($AE$75),$AE$75,0))*IF(ISNUMBER($AG$75),$AG$75,1))</f>
        <v/>
      </c>
      <c r="G75" s="22">
        <f>IF(LEN($AC$75)=0,"",IF(ISERROR(MATCH($AC$75,$V$57:$V$79,0)),"Texto livre: use o Espaço que o Mestre aprovar","Sim (capítulo 24)"))</f>
        <v/>
      </c>
      <c r="K75" s="13">
        <f>IF(AM75&gt;0,"O Google leu como fórmula: digite de novo com ' na frente.",IF(LEN($AC$75)=0,IF(OR(LEN($AE$75)&gt;0,LEN($AG$75)&gt;0),"Falta o nome do item.",""),IF(AND(ISERROR(MATCH($AC$75,$V$57:$V$79,0)),LEN($AE$75)=0),"Fora do catálogo: preencha o Espaço. ","")&amp;IF(AND(LEN($AE$75)&gt;0,NOT(ISNUMBER($AE$75))),"Espaço precisa ser um número. ","")&amp;IF(AND(LEN($AG$75)&gt;0,NOT(ISNUMBER($AG$75))),"Quantidade precisa ser um número.","")))</f>
        <v/>
      </c>
      <c r="V75" s="25">
        <f>"Arma "&amp;INDEX('Dados'!$A$457:$A$462,5)</f>
        <v/>
      </c>
      <c r="W75" s="25">
        <f>INDEX('Dados'!$H$457:$H$462,5)</f>
        <v/>
      </c>
      <c r="AC75">
        <f>IF(ISERROR($A$75),"",IF(ISBLANK($A$75),"",$A$75))</f>
        <v/>
      </c>
      <c r="AE75">
        <f>IF(ISERROR($C$75),"",IF(ISBLANK($C$75),"",$C$75))</f>
        <v/>
      </c>
      <c r="AG75">
        <f>IF(ISERROR($E$75),"",IF(ISBLANK($E$75),"",$E$75))</f>
        <v/>
      </c>
      <c r="AM75">
        <f>ISERROR($A$75)*1+ISERROR($C$75)*1+ISERROR($E$75)*1</f>
        <v/>
      </c>
    </row>
    <row r="76" ht="37" customHeight="1">
      <c r="A76" s="63" t="n"/>
      <c r="B76" s="29" t="n"/>
      <c r="C76" s="36" t="n"/>
      <c r="D76" s="21">
        <f>IF(LEN($AC$76)=0,"",IFERROR(VLOOKUP($AC$76,$V$57:$W$79,2,FALSE),IF(ISNUMBER($AE$76),$AE$76,0)))</f>
        <v/>
      </c>
      <c r="E76" s="36" t="n"/>
      <c r="F76" s="19">
        <f>IF(LEN($AC$76)=0,0,IFERROR(VLOOKUP($AC$76,$V$57:$W$79,2,FALSE),IF(ISNUMBER($AE$76),$AE$76,0))*IF(ISNUMBER($AG$76),$AG$76,1))</f>
        <v/>
      </c>
      <c r="G76" s="21">
        <f>IF(LEN($AC$76)=0,"",IF(ISERROR(MATCH($AC$76,$V$57:$V$79,0)),"Texto livre: use o Espaço que o Mestre aprovar","Sim (capítulo 24)"))</f>
        <v/>
      </c>
      <c r="K76" s="20">
        <f>IF(AM76&gt;0,"O Google leu como fórmula: digite de novo com ' na frente.",IF(LEN($AC$76)=0,IF(OR(LEN($AE$76)&gt;0,LEN($AG$76)&gt;0),"Falta o nome do item.",""),IF(AND(ISERROR(MATCH($AC$76,$V$57:$V$79,0)),LEN($AE$76)=0),"Fora do catálogo: preencha o Espaço. ","")&amp;IF(AND(LEN($AE$76)&gt;0,NOT(ISNUMBER($AE$76))),"Espaço precisa ser um número. ","")&amp;IF(AND(LEN($AG$76)&gt;0,NOT(ISNUMBER($AG$76))),"Quantidade precisa ser um número.","")))</f>
        <v/>
      </c>
      <c r="V76" s="25">
        <f>"Arma "&amp;INDEX('Dados'!$A$457:$A$462,6)</f>
        <v/>
      </c>
      <c r="W76" s="25">
        <f>INDEX('Dados'!$H$457:$H$462,6)</f>
        <v/>
      </c>
      <c r="AC76">
        <f>IF(ISERROR($A$76),"",IF(ISBLANK($A$76),"",$A$76))</f>
        <v/>
      </c>
      <c r="AE76">
        <f>IF(ISERROR($C$76),"",IF(ISBLANK($C$76),"",$C$76))</f>
        <v/>
      </c>
      <c r="AG76">
        <f>IF(ISERROR($E$76),"",IF(ISBLANK($E$76),"",$E$76))</f>
        <v/>
      </c>
      <c r="AM76">
        <f>ISERROR($A$76)*1+ISERROR($C$76)*1+ISERROR($E$76)*1</f>
        <v/>
      </c>
    </row>
    <row r="77" ht="37" customHeight="1">
      <c r="A77" s="62" t="n"/>
      <c r="B77" s="29" t="n"/>
      <c r="C77" s="23" t="n"/>
      <c r="D77" s="22">
        <f>IF(LEN($AC$77)=0,"",IFERROR(VLOOKUP($AC$77,$V$57:$W$79,2,FALSE),IF(ISNUMBER($AE$77),$AE$77,0)))</f>
        <v/>
      </c>
      <c r="E77" s="23" t="n"/>
      <c r="F77" s="17">
        <f>IF(LEN($AC$77)=0,0,IFERROR(VLOOKUP($AC$77,$V$57:$W$79,2,FALSE),IF(ISNUMBER($AE$77),$AE$77,0))*IF(ISNUMBER($AG$77),$AG$77,1))</f>
        <v/>
      </c>
      <c r="G77" s="22">
        <f>IF(LEN($AC$77)=0,"",IF(ISERROR(MATCH($AC$77,$V$57:$V$79,0)),"Texto livre: use o Espaço que o Mestre aprovar","Sim (capítulo 24)"))</f>
        <v/>
      </c>
      <c r="K77" s="13">
        <f>IF(AM77&gt;0,"O Google leu como fórmula: digite de novo com ' na frente.",IF(LEN($AC$77)=0,IF(OR(LEN($AE$77)&gt;0,LEN($AG$77)&gt;0),"Falta o nome do item.",""),IF(AND(ISERROR(MATCH($AC$77,$V$57:$V$79,0)),LEN($AE$77)=0),"Fora do catálogo: preencha o Espaço. ","")&amp;IF(AND(LEN($AE$77)&gt;0,NOT(ISNUMBER($AE$77))),"Espaço precisa ser um número. ","")&amp;IF(AND(LEN($AG$77)&gt;0,NOT(ISNUMBER($AG$77))),"Quantidade precisa ser um número.","")))</f>
        <v/>
      </c>
      <c r="V77" s="25">
        <f>"Armadura "&amp;INDEX('Dados'!$A$474:$A$476,1)</f>
        <v/>
      </c>
      <c r="W77" s="25">
        <f>INDEX('Dados'!$E$474:$E$476,1)</f>
        <v/>
      </c>
      <c r="AC77">
        <f>IF(ISERROR($A$77),"",IF(ISBLANK($A$77),"",$A$77))</f>
        <v/>
      </c>
      <c r="AE77">
        <f>IF(ISERROR($C$77),"",IF(ISBLANK($C$77),"",$C$77))</f>
        <v/>
      </c>
      <c r="AG77">
        <f>IF(ISERROR($E$77),"",IF(ISBLANK($E$77),"",$E$77))</f>
        <v/>
      </c>
      <c r="AM77">
        <f>ISERROR($A$77)*1+ISERROR($C$77)*1+ISERROR($E$77)*1</f>
        <v/>
      </c>
    </row>
    <row r="78" ht="37" customHeight="1">
      <c r="A78" s="63" t="n"/>
      <c r="B78" s="29" t="n"/>
      <c r="C78" s="36" t="n"/>
      <c r="D78" s="21">
        <f>IF(LEN($AC$78)=0,"",IFERROR(VLOOKUP($AC$78,$V$57:$W$79,2,FALSE),IF(ISNUMBER($AE$78),$AE$78,0)))</f>
        <v/>
      </c>
      <c r="E78" s="36" t="n"/>
      <c r="F78" s="19">
        <f>IF(LEN($AC$78)=0,0,IFERROR(VLOOKUP($AC$78,$V$57:$W$79,2,FALSE),IF(ISNUMBER($AE$78),$AE$78,0))*IF(ISNUMBER($AG$78),$AG$78,1))</f>
        <v/>
      </c>
      <c r="G78" s="21">
        <f>IF(LEN($AC$78)=0,"",IF(ISERROR(MATCH($AC$78,$V$57:$V$79,0)),"Texto livre: use o Espaço que o Mestre aprovar","Sim (capítulo 24)"))</f>
        <v/>
      </c>
      <c r="K78" s="20">
        <f>IF(AM78&gt;0,"O Google leu como fórmula: digite de novo com ' na frente.",IF(LEN($AC$78)=0,IF(OR(LEN($AE$78)&gt;0,LEN($AG$78)&gt;0),"Falta o nome do item.",""),IF(AND(ISERROR(MATCH($AC$78,$V$57:$V$79,0)),LEN($AE$78)=0),"Fora do catálogo: preencha o Espaço. ","")&amp;IF(AND(LEN($AE$78)&gt;0,NOT(ISNUMBER($AE$78))),"Espaço precisa ser um número. ","")&amp;IF(AND(LEN($AG$78)&gt;0,NOT(ISNUMBER($AG$78))),"Quantidade precisa ser um número.","")))</f>
        <v/>
      </c>
      <c r="V78" s="25">
        <f>"Armadura "&amp;INDEX('Dados'!$A$474:$A$476,2)</f>
        <v/>
      </c>
      <c r="W78" s="25">
        <f>INDEX('Dados'!$E$474:$E$476,2)</f>
        <v/>
      </c>
      <c r="AC78">
        <f>IF(ISERROR($A$78),"",IF(ISBLANK($A$78),"",$A$78))</f>
        <v/>
      </c>
      <c r="AE78">
        <f>IF(ISERROR($C$78),"",IF(ISBLANK($C$78),"",$C$78))</f>
        <v/>
      </c>
      <c r="AG78">
        <f>IF(ISERROR($E$78),"",IF(ISBLANK($E$78),"",$E$78))</f>
        <v/>
      </c>
      <c r="AM78">
        <f>ISERROR($A$78)*1+ISERROR($C$78)*1+ISERROR($E$78)*1</f>
        <v/>
      </c>
    </row>
    <row r="79" ht="37" customHeight="1">
      <c r="A79" s="62" t="n"/>
      <c r="B79" s="29" t="n"/>
      <c r="C79" s="23" t="n"/>
      <c r="D79" s="22">
        <f>IF(LEN($AC$79)=0,"",IFERROR(VLOOKUP($AC$79,$V$57:$W$79,2,FALSE),IF(ISNUMBER($AE$79),$AE$79,0)))</f>
        <v/>
      </c>
      <c r="E79" s="23" t="n"/>
      <c r="F79" s="17">
        <f>IF(LEN($AC$79)=0,0,IFERROR(VLOOKUP($AC$79,$V$57:$W$79,2,FALSE),IF(ISNUMBER($AE$79),$AE$79,0))*IF(ISNUMBER($AG$79),$AG$79,1))</f>
        <v/>
      </c>
      <c r="G79" s="22">
        <f>IF(LEN($AC$79)=0,"",IF(ISERROR(MATCH($AC$79,$V$57:$V$79,0)),"Texto livre: use o Espaço que o Mestre aprovar","Sim (capítulo 24)"))</f>
        <v/>
      </c>
      <c r="K79" s="13">
        <f>IF(AM79&gt;0,"O Google leu como fórmula: digite de novo com ' na frente.",IF(LEN($AC$79)=0,IF(OR(LEN($AE$79)&gt;0,LEN($AG$79)&gt;0),"Falta o nome do item.",""),IF(AND(ISERROR(MATCH($AC$79,$V$57:$V$79,0)),LEN($AE$79)=0),"Fora do catálogo: preencha o Espaço. ","")&amp;IF(AND(LEN($AE$79)&gt;0,NOT(ISNUMBER($AE$79))),"Espaço precisa ser um número. ","")&amp;IF(AND(LEN($AG$79)&gt;0,NOT(ISNUMBER($AG$79))),"Quantidade precisa ser um número.","")))</f>
        <v/>
      </c>
      <c r="V79" s="25">
        <f>"Armadura "&amp;INDEX('Dados'!$A$474:$A$476,3)</f>
        <v/>
      </c>
      <c r="W79" s="25">
        <f>INDEX('Dados'!$E$474:$E$476,3)</f>
        <v/>
      </c>
      <c r="AC79">
        <f>IF(ISERROR($A$79),"",IF(ISBLANK($A$79),"",$A$79))</f>
        <v/>
      </c>
      <c r="AE79">
        <f>IF(ISERROR($C$79),"",IF(ISBLANK($C$79),"",$C$79))</f>
        <v/>
      </c>
      <c r="AG79">
        <f>IF(ISERROR($E$79),"",IF(ISBLANK($E$79),"",$E$79))</f>
        <v/>
      </c>
      <c r="AM79">
        <f>ISERROR($A$79)*1+ISERROR($C$79)*1+ISERROR($E$79)*1</f>
        <v/>
      </c>
    </row>
    <row r="80" ht="37" customHeight="1">
      <c r="A80" s="63" t="n"/>
      <c r="B80" s="29" t="n"/>
      <c r="C80" s="36" t="n"/>
      <c r="D80" s="21">
        <f>IF(LEN($AC$80)=0,"",IFERROR(VLOOKUP($AC$80,$V$57:$W$79,2,FALSE),IF(ISNUMBER($AE$80),$AE$80,0)))</f>
        <v/>
      </c>
      <c r="E80" s="36" t="n"/>
      <c r="F80" s="19">
        <f>IF(LEN($AC$80)=0,0,IFERROR(VLOOKUP($AC$80,$V$57:$W$79,2,FALSE),IF(ISNUMBER($AE$80),$AE$80,0))*IF(ISNUMBER($AG$80),$AG$80,1))</f>
        <v/>
      </c>
      <c r="G80" s="21">
        <f>IF(LEN($AC$80)=0,"",IF(ISERROR(MATCH($AC$80,$V$57:$V$79,0)),"Texto livre: use o Espaço que o Mestre aprovar","Sim (capítulo 24)"))</f>
        <v/>
      </c>
      <c r="K80" s="20">
        <f>IF(AM80&gt;0,"O Google leu como fórmula: digite de novo com ' na frente.",IF(LEN($AC$80)=0,IF(OR(LEN($AE$80)&gt;0,LEN($AG$80)&gt;0),"Falta o nome do item.",""),IF(AND(ISERROR(MATCH($AC$80,$V$57:$V$79,0)),LEN($AE$80)=0),"Fora do catálogo: preencha o Espaço. ","")&amp;IF(AND(LEN($AE$80)&gt;0,NOT(ISNUMBER($AE$80))),"Espaço precisa ser um número. ","")&amp;IF(AND(LEN($AG$80)&gt;0,NOT(ISNUMBER($AG$80))),"Quantidade precisa ser um número.","")))</f>
        <v/>
      </c>
      <c r="AC80">
        <f>IF(ISERROR($A$80),"",IF(ISBLANK($A$80),"",$A$80))</f>
        <v/>
      </c>
      <c r="AE80">
        <f>IF(ISERROR($C$80),"",IF(ISBLANK($C$80),"",$C$80))</f>
        <v/>
      </c>
      <c r="AG80">
        <f>IF(ISERROR($E$80),"",IF(ISBLANK($E$80),"",$E$80))</f>
        <v/>
      </c>
      <c r="AM80">
        <f>ISERROR($A$80)*1+ISERROR($C$80)*1+ISERROR($E$80)*1</f>
        <v/>
      </c>
    </row>
    <row r="81">
      <c r="A81" s="8" t="inlineStr">
        <is>
          <t>Soma dos itens</t>
        </is>
      </c>
      <c r="F81" s="17">
        <f>SUM($F$60:$F$80)</f>
        <v/>
      </c>
    </row>
    <row r="82"/>
    <row r="83">
      <c r="A83" s="14" t="inlineStr">
        <is>
          <t>Créditos — 24.5 (não ocupam Espaço; os preços não escalam)</t>
        </is>
      </c>
    </row>
    <row r="84" ht="26" customHeight="1">
      <c r="A84" s="8" t="inlineStr">
        <is>
          <t>Saldo inicial (Cr)</t>
        </is>
      </c>
      <c r="B84" s="23" t="n"/>
      <c r="K84" s="13">
        <f>IF(AM84&gt;0,"O Google leu como fórmula: digite de novo com ' na frente.",IF(AND(LEN($AD$84)&gt;0,NOT(ISNUMBER($AD$84))),"Precisa ser um número.",""))</f>
        <v/>
      </c>
      <c r="AD84">
        <f>IF(ISERROR($B$84),"",IF(ISBLANK($B$84),"",$B$84))</f>
        <v/>
      </c>
      <c r="AM84">
        <f>ISERROR($B$84)*1</f>
        <v/>
      </c>
    </row>
    <row r="85" ht="37" customHeight="1">
      <c r="A85" s="7" t="inlineStr">
        <is>
          <t>Lançamento</t>
        </is>
      </c>
      <c r="B85" s="7" t="inlineStr">
        <is>
          <t>Descrição (preencha)</t>
        </is>
      </c>
      <c r="C85" s="15" t="n"/>
      <c r="D85" s="15" t="n"/>
      <c r="E85" s="15" t="n"/>
      <c r="F85" s="15" t="n"/>
      <c r="G85" s="7" t="inlineStr">
        <is>
          <t>Valor (+ ganho, - gasto)</t>
        </is>
      </c>
      <c r="K85" s="7" t="inlineStr">
        <is>
          <t>Aviso</t>
        </is>
      </c>
      <c r="L85" s="15" t="n"/>
    </row>
    <row r="86" ht="26" customHeight="1">
      <c r="A86" s="16" t="n">
        <v>1</v>
      </c>
      <c r="B86" s="27" t="n"/>
      <c r="C86" s="28" t="n"/>
      <c r="D86" s="28" t="n"/>
      <c r="E86" s="28" t="n"/>
      <c r="F86" s="29" t="n"/>
      <c r="G86" s="23" t="n"/>
      <c r="K86" s="13">
        <f>IF(AM86&gt;0,"O Google leu como fórmula: digite de novo com ' na frente.",IF(AND(LEN($AI$86)&gt;0,NOT(ISNUMBER($AI$86))),"Valor precisa ser um número.",IF(AND(LEN($AI$86)=0,LEN($AD$86)&gt;0),"Falta o valor.","")))</f>
        <v/>
      </c>
      <c r="AD86">
        <f>IF(ISERROR($B$86),"",IF(ISBLANK($B$86),"",$B$86))</f>
        <v/>
      </c>
      <c r="AI86">
        <f>IF(ISERROR($G$86),"",IF(ISBLANK($G$86),"",$G$86))</f>
        <v/>
      </c>
      <c r="AM86">
        <f>ISERROR($B$86)*1+ISERROR($G$86)*1</f>
        <v/>
      </c>
    </row>
    <row r="87" ht="26" customHeight="1">
      <c r="A87" s="18" t="n">
        <v>2</v>
      </c>
      <c r="B87" s="60" t="n"/>
      <c r="C87" s="28" t="n"/>
      <c r="D87" s="28" t="n"/>
      <c r="E87" s="28" t="n"/>
      <c r="F87" s="29" t="n"/>
      <c r="G87" s="36" t="n"/>
      <c r="H87" s="35" t="n"/>
      <c r="I87" s="35" t="n"/>
      <c r="J87" s="35" t="n"/>
      <c r="K87" s="20">
        <f>IF(AM87&gt;0,"O Google leu como fórmula: digite de novo com ' na frente.",IF(AND(LEN($AI$87)&gt;0,NOT(ISNUMBER($AI$87))),"Valor precisa ser um número.",IF(AND(LEN($AI$87)=0,LEN($AD$87)&gt;0),"Falta o valor.","")))</f>
        <v/>
      </c>
      <c r="AD87">
        <f>IF(ISERROR($B$87),"",IF(ISBLANK($B$87),"",$B$87))</f>
        <v/>
      </c>
      <c r="AI87">
        <f>IF(ISERROR($G$87),"",IF(ISBLANK($G$87),"",$G$87))</f>
        <v/>
      </c>
      <c r="AM87">
        <f>ISERROR($B$87)*1+ISERROR($G$87)*1</f>
        <v/>
      </c>
    </row>
    <row r="88" ht="26" customHeight="1">
      <c r="A88" s="16" t="n">
        <v>3</v>
      </c>
      <c r="B88" s="27" t="n"/>
      <c r="C88" s="28" t="n"/>
      <c r="D88" s="28" t="n"/>
      <c r="E88" s="28" t="n"/>
      <c r="F88" s="29" t="n"/>
      <c r="G88" s="23" t="n"/>
      <c r="K88" s="13">
        <f>IF(AM88&gt;0,"O Google leu como fórmula: digite de novo com ' na frente.",IF(AND(LEN($AI$88)&gt;0,NOT(ISNUMBER($AI$88))),"Valor precisa ser um número.",IF(AND(LEN($AI$88)=0,LEN($AD$88)&gt;0),"Falta o valor.","")))</f>
        <v/>
      </c>
      <c r="AD88">
        <f>IF(ISERROR($B$88),"",IF(ISBLANK($B$88),"",$B$88))</f>
        <v/>
      </c>
      <c r="AI88">
        <f>IF(ISERROR($G$88),"",IF(ISBLANK($G$88),"",$G$88))</f>
        <v/>
      </c>
      <c r="AM88">
        <f>ISERROR($B$88)*1+ISERROR($G$88)*1</f>
        <v/>
      </c>
    </row>
    <row r="89" ht="26" customHeight="1">
      <c r="A89" s="18" t="n">
        <v>4</v>
      </c>
      <c r="B89" s="60" t="n"/>
      <c r="C89" s="28" t="n"/>
      <c r="D89" s="28" t="n"/>
      <c r="E89" s="28" t="n"/>
      <c r="F89" s="29" t="n"/>
      <c r="G89" s="36" t="n"/>
      <c r="H89" s="35" t="n"/>
      <c r="I89" s="35" t="n"/>
      <c r="J89" s="35" t="n"/>
      <c r="K89" s="20">
        <f>IF(AM89&gt;0,"O Google leu como fórmula: digite de novo com ' na frente.",IF(AND(LEN($AI$89)&gt;0,NOT(ISNUMBER($AI$89))),"Valor precisa ser um número.",IF(AND(LEN($AI$89)=0,LEN($AD$89)&gt;0),"Falta o valor.","")))</f>
        <v/>
      </c>
      <c r="AD89">
        <f>IF(ISERROR($B$89),"",IF(ISBLANK($B$89),"",$B$89))</f>
        <v/>
      </c>
      <c r="AI89">
        <f>IF(ISERROR($G$89),"",IF(ISBLANK($G$89),"",$G$89))</f>
        <v/>
      </c>
      <c r="AM89">
        <f>ISERROR($B$89)*1+ISERROR($G$89)*1</f>
        <v/>
      </c>
    </row>
    <row r="90" ht="26" customHeight="1">
      <c r="A90" s="16" t="n">
        <v>5</v>
      </c>
      <c r="B90" s="27" t="n"/>
      <c r="C90" s="28" t="n"/>
      <c r="D90" s="28" t="n"/>
      <c r="E90" s="28" t="n"/>
      <c r="F90" s="29" t="n"/>
      <c r="G90" s="23" t="n"/>
      <c r="K90" s="13">
        <f>IF(AM90&gt;0,"O Google leu como fórmula: digite de novo com ' na frente.",IF(AND(LEN($AI$90)&gt;0,NOT(ISNUMBER($AI$90))),"Valor precisa ser um número.",IF(AND(LEN($AI$90)=0,LEN($AD$90)&gt;0),"Falta o valor.","")))</f>
        <v/>
      </c>
      <c r="AD90">
        <f>IF(ISERROR($B$90),"",IF(ISBLANK($B$90),"",$B$90))</f>
        <v/>
      </c>
      <c r="AI90">
        <f>IF(ISERROR($G$90),"",IF(ISBLANK($G$90),"",$G$90))</f>
        <v/>
      </c>
      <c r="AM90">
        <f>ISERROR($B$90)*1+ISERROR($G$90)*1</f>
        <v/>
      </c>
    </row>
    <row r="91" ht="26" customHeight="1">
      <c r="A91" s="18" t="n">
        <v>6</v>
      </c>
      <c r="B91" s="60" t="n"/>
      <c r="C91" s="28" t="n"/>
      <c r="D91" s="28" t="n"/>
      <c r="E91" s="28" t="n"/>
      <c r="F91" s="29" t="n"/>
      <c r="G91" s="36" t="n"/>
      <c r="H91" s="35" t="n"/>
      <c r="I91" s="35" t="n"/>
      <c r="J91" s="35" t="n"/>
      <c r="K91" s="20">
        <f>IF(AM91&gt;0,"O Google leu como fórmula: digite de novo com ' na frente.",IF(AND(LEN($AI$91)&gt;0,NOT(ISNUMBER($AI$91))),"Valor precisa ser um número.",IF(AND(LEN($AI$91)=0,LEN($AD$91)&gt;0),"Falta o valor.","")))</f>
        <v/>
      </c>
      <c r="AD91">
        <f>IF(ISERROR($B$91),"",IF(ISBLANK($B$91),"",$B$91))</f>
        <v/>
      </c>
      <c r="AI91">
        <f>IF(ISERROR($G$91),"",IF(ISBLANK($G$91),"",$G$91))</f>
        <v/>
      </c>
      <c r="AM91">
        <f>ISERROR($B$91)*1+ISERROR($G$91)*1</f>
        <v/>
      </c>
    </row>
    <row r="92" ht="26" customHeight="1">
      <c r="A92" s="16" t="n">
        <v>7</v>
      </c>
      <c r="B92" s="27" t="n"/>
      <c r="C92" s="28" t="n"/>
      <c r="D92" s="28" t="n"/>
      <c r="E92" s="28" t="n"/>
      <c r="F92" s="29" t="n"/>
      <c r="G92" s="23" t="n"/>
      <c r="K92" s="13">
        <f>IF(AM92&gt;0,"O Google leu como fórmula: digite de novo com ' na frente.",IF(AND(LEN($AI$92)&gt;0,NOT(ISNUMBER($AI$92))),"Valor precisa ser um número.",IF(AND(LEN($AI$92)=0,LEN($AD$92)&gt;0),"Falta o valor.","")))</f>
        <v/>
      </c>
      <c r="AD92">
        <f>IF(ISERROR($B$92),"",IF(ISBLANK($B$92),"",$B$92))</f>
        <v/>
      </c>
      <c r="AI92">
        <f>IF(ISERROR($G$92),"",IF(ISBLANK($G$92),"",$G$92))</f>
        <v/>
      </c>
      <c r="AM92">
        <f>ISERROR($B$92)*1+ISERROR($G$92)*1</f>
        <v/>
      </c>
    </row>
    <row r="93" ht="26" customHeight="1">
      <c r="A93" s="18" t="n">
        <v>8</v>
      </c>
      <c r="B93" s="60" t="n"/>
      <c r="C93" s="28" t="n"/>
      <c r="D93" s="28" t="n"/>
      <c r="E93" s="28" t="n"/>
      <c r="F93" s="29" t="n"/>
      <c r="G93" s="36" t="n"/>
      <c r="H93" s="35" t="n"/>
      <c r="I93" s="35" t="n"/>
      <c r="J93" s="35" t="n"/>
      <c r="K93" s="20">
        <f>IF(AM93&gt;0,"O Google leu como fórmula: digite de novo com ' na frente.",IF(AND(LEN($AI$93)&gt;0,NOT(ISNUMBER($AI$93))),"Valor precisa ser um número.",IF(AND(LEN($AI$93)=0,LEN($AD$93)&gt;0),"Falta o valor.","")))</f>
        <v/>
      </c>
      <c r="AD93">
        <f>IF(ISERROR($B$93),"",IF(ISBLANK($B$93),"",$B$93))</f>
        <v/>
      </c>
      <c r="AI93">
        <f>IF(ISERROR($G$93),"",IF(ISBLANK($G$93),"",$G$93))</f>
        <v/>
      </c>
      <c r="AM93">
        <f>ISERROR($B$93)*1+ISERROR($G$93)*1</f>
        <v/>
      </c>
    </row>
    <row r="94" ht="26" customHeight="1">
      <c r="A94" s="16" t="n">
        <v>9</v>
      </c>
      <c r="B94" s="27" t="n"/>
      <c r="C94" s="28" t="n"/>
      <c r="D94" s="28" t="n"/>
      <c r="E94" s="28" t="n"/>
      <c r="F94" s="29" t="n"/>
      <c r="G94" s="23" t="n"/>
      <c r="K94" s="13">
        <f>IF(AM94&gt;0,"O Google leu como fórmula: digite de novo com ' na frente.",IF(AND(LEN($AI$94)&gt;0,NOT(ISNUMBER($AI$94))),"Valor precisa ser um número.",IF(AND(LEN($AI$94)=0,LEN($AD$94)&gt;0),"Falta o valor.","")))</f>
        <v/>
      </c>
      <c r="AD94">
        <f>IF(ISERROR($B$94),"",IF(ISBLANK($B$94),"",$B$94))</f>
        <v/>
      </c>
      <c r="AI94">
        <f>IF(ISERROR($G$94),"",IF(ISBLANK($G$94),"",$G$94))</f>
        <v/>
      </c>
      <c r="AM94">
        <f>ISERROR($B$94)*1+ISERROR($G$94)*1</f>
        <v/>
      </c>
    </row>
    <row r="95" ht="26" customHeight="1">
      <c r="A95" s="18" t="n">
        <v>10</v>
      </c>
      <c r="B95" s="60" t="n"/>
      <c r="C95" s="28" t="n"/>
      <c r="D95" s="28" t="n"/>
      <c r="E95" s="28" t="n"/>
      <c r="F95" s="29" t="n"/>
      <c r="G95" s="36" t="n"/>
      <c r="H95" s="35" t="n"/>
      <c r="I95" s="35" t="n"/>
      <c r="J95" s="35" t="n"/>
      <c r="K95" s="20">
        <f>IF(AM95&gt;0,"O Google leu como fórmula: digite de novo com ' na frente.",IF(AND(LEN($AI$95)&gt;0,NOT(ISNUMBER($AI$95))),"Valor precisa ser um número.",IF(AND(LEN($AI$95)=0,LEN($AD$95)&gt;0),"Falta o valor.","")))</f>
        <v/>
      </c>
      <c r="AD95">
        <f>IF(ISERROR($B$95),"",IF(ISBLANK($B$95),"",$B$95))</f>
        <v/>
      </c>
      <c r="AI95">
        <f>IF(ISERROR($G$95),"",IF(ISBLANK($G$95),"",$G$95))</f>
        <v/>
      </c>
      <c r="AM95">
        <f>ISERROR($B$95)*1+ISERROR($G$95)*1</f>
        <v/>
      </c>
    </row>
    <row r="96">
      <c r="A96" s="8" t="inlineStr">
        <is>
          <t>Saldo atual (Cr)</t>
        </is>
      </c>
      <c r="B96" s="17">
        <f>IF(ISNUMBER($AD$84),$AD$84,0)+SUMIF($AI$86:$AI$95,"&gt;-100000000")</f>
        <v/>
      </c>
      <c r="K96" s="13">
        <f>IF($B$96&lt;0,"Saldo negativo.","")</f>
        <v/>
      </c>
    </row>
    <row r="97" ht="26" customHeight="1">
      <c r="A97" s="33" t="inlineStr">
        <is>
          <t>Verba de marco do grupo (sua faixa)</t>
        </is>
      </c>
      <c r="B97" s="19">
        <f>INDEX('Dados'!$B$506:$B$510,'Criação'!$B$14)</f>
        <v/>
      </c>
      <c r="C97" s="21">
        <f>"Cr por nível ganho, para o grupo (24.5): "&amp;INDEX('Dados'!$C$506:$C$510,'Criação'!$B$14)</f>
        <v/>
      </c>
      <c r="L97" s="35" t="n"/>
    </row>
  </sheetData>
  <mergeCells count="153">
    <mergeCell ref="H35:I35"/>
    <mergeCell ref="A64:B64"/>
    <mergeCell ref="A73:B73"/>
    <mergeCell ref="K95:L95"/>
    <mergeCell ref="B90:F90"/>
    <mergeCell ref="K89:L89"/>
    <mergeCell ref="C56:K56"/>
    <mergeCell ref="A70:B70"/>
    <mergeCell ref="B18:F18"/>
    <mergeCell ref="K88:L88"/>
    <mergeCell ref="H39:I39"/>
    <mergeCell ref="B21:C21"/>
    <mergeCell ref="G72:J72"/>
    <mergeCell ref="C41:D41"/>
    <mergeCell ref="K76:L76"/>
    <mergeCell ref="K90:L90"/>
    <mergeCell ref="A74:B74"/>
    <mergeCell ref="G71:J71"/>
    <mergeCell ref="K58:L58"/>
    <mergeCell ref="K67:L67"/>
    <mergeCell ref="C19:K19"/>
    <mergeCell ref="A76:B76"/>
    <mergeCell ref="C36:D36"/>
    <mergeCell ref="H37:I37"/>
    <mergeCell ref="A83:L83"/>
    <mergeCell ref="B92:F92"/>
    <mergeCell ref="G66:J66"/>
    <mergeCell ref="A62:B62"/>
    <mergeCell ref="A68:B68"/>
    <mergeCell ref="C97:K97"/>
    <mergeCell ref="G74:J74"/>
    <mergeCell ref="B94:F94"/>
    <mergeCell ref="G68:J68"/>
    <mergeCell ref="K69:L69"/>
    <mergeCell ref="K78:L78"/>
    <mergeCell ref="K92:L92"/>
    <mergeCell ref="D20:K20"/>
    <mergeCell ref="A59:B59"/>
    <mergeCell ref="I44:L44"/>
    <mergeCell ref="H41:I41"/>
    <mergeCell ref="C45:D45"/>
    <mergeCell ref="K80:L80"/>
    <mergeCell ref="A3:L3"/>
    <mergeCell ref="A79:B79"/>
    <mergeCell ref="A61:B61"/>
    <mergeCell ref="A55:L55"/>
    <mergeCell ref="K64:L64"/>
    <mergeCell ref="K21:L21"/>
    <mergeCell ref="G75:J75"/>
    <mergeCell ref="K79:L79"/>
    <mergeCell ref="C47:D47"/>
    <mergeCell ref="A5:L5"/>
    <mergeCell ref="K63:L63"/>
    <mergeCell ref="G77:J77"/>
    <mergeCell ref="K72:L72"/>
    <mergeCell ref="I46:L46"/>
    <mergeCell ref="H36:I36"/>
    <mergeCell ref="C40:D40"/>
    <mergeCell ref="G67:J67"/>
    <mergeCell ref="B88:F88"/>
    <mergeCell ref="K96:L96"/>
    <mergeCell ref="G61:J61"/>
    <mergeCell ref="G70:J70"/>
    <mergeCell ref="A43:L43"/>
    <mergeCell ref="C57:K57"/>
    <mergeCell ref="A71:B71"/>
    <mergeCell ref="C34:K34"/>
    <mergeCell ref="C50:L50"/>
    <mergeCell ref="G62:J62"/>
    <mergeCell ref="A63:B63"/>
    <mergeCell ref="K66:L66"/>
    <mergeCell ref="B85:F85"/>
    <mergeCell ref="K93:L93"/>
    <mergeCell ref="K6:L6"/>
    <mergeCell ref="A77:B77"/>
    <mergeCell ref="G65:J65"/>
    <mergeCell ref="K74:L74"/>
    <mergeCell ref="K68:L68"/>
    <mergeCell ref="H38:I38"/>
    <mergeCell ref="C52:L52"/>
    <mergeCell ref="C22:K22"/>
    <mergeCell ref="G76:J76"/>
    <mergeCell ref="H40:I40"/>
    <mergeCell ref="E44:F44"/>
    <mergeCell ref="A69:B69"/>
    <mergeCell ref="K60:L60"/>
    <mergeCell ref="G60:J60"/>
    <mergeCell ref="A78:B78"/>
    <mergeCell ref="A65:B65"/>
    <mergeCell ref="A75:B75"/>
    <mergeCell ref="C44:D44"/>
    <mergeCell ref="C23:K23"/>
    <mergeCell ref="B25:K25"/>
    <mergeCell ref="I48:K48"/>
    <mergeCell ref="G59:J59"/>
    <mergeCell ref="A80:B80"/>
    <mergeCell ref="I45:L45"/>
    <mergeCell ref="C46:D46"/>
    <mergeCell ref="B87:F87"/>
    <mergeCell ref="H2:I2"/>
    <mergeCell ref="E46:F46"/>
    <mergeCell ref="K8:L8"/>
    <mergeCell ref="I47:L47"/>
    <mergeCell ref="K71:L71"/>
    <mergeCell ref="A15:L15"/>
    <mergeCell ref="C38:D38"/>
    <mergeCell ref="G78:J78"/>
    <mergeCell ref="K73:L73"/>
    <mergeCell ref="K65:L65"/>
    <mergeCell ref="B20:C20"/>
    <mergeCell ref="A67:B67"/>
    <mergeCell ref="G80:J80"/>
    <mergeCell ref="K18:L18"/>
    <mergeCell ref="B91:F91"/>
    <mergeCell ref="G64:J64"/>
    <mergeCell ref="G79:J79"/>
    <mergeCell ref="A60:B60"/>
    <mergeCell ref="G73:J73"/>
    <mergeCell ref="B24:K24"/>
    <mergeCell ref="G63:J63"/>
    <mergeCell ref="B93:F93"/>
    <mergeCell ref="C35:D35"/>
    <mergeCell ref="C53:L53"/>
    <mergeCell ref="K91:L91"/>
    <mergeCell ref="B86:F86"/>
    <mergeCell ref="A33:L33"/>
    <mergeCell ref="B26:K26"/>
    <mergeCell ref="K85:L85"/>
    <mergeCell ref="K94:L94"/>
    <mergeCell ref="A66:B66"/>
    <mergeCell ref="A17:L17"/>
    <mergeCell ref="K75:L75"/>
    <mergeCell ref="K84:L84"/>
    <mergeCell ref="K59:L59"/>
    <mergeCell ref="K77:L77"/>
    <mergeCell ref="K86:L86"/>
    <mergeCell ref="E45:F45"/>
    <mergeCell ref="D28:K28"/>
    <mergeCell ref="K61:L61"/>
    <mergeCell ref="K70:L70"/>
    <mergeCell ref="C39:D39"/>
    <mergeCell ref="A72:B72"/>
    <mergeCell ref="B95:F95"/>
    <mergeCell ref="G69:J69"/>
    <mergeCell ref="A11:L11"/>
    <mergeCell ref="B89:F89"/>
    <mergeCell ref="A1:L1"/>
    <mergeCell ref="C37:D37"/>
    <mergeCell ref="B58:D58"/>
    <mergeCell ref="C51:L51"/>
    <mergeCell ref="K62:L62"/>
    <mergeCell ref="K87:L87"/>
    <mergeCell ref="E47:F47"/>
  </mergeCells>
  <conditionalFormatting sqref="K8">
    <cfRule type="expression" priority="1" dxfId="0">
      <formula>LEN(K8)&gt;0</formula>
    </cfRule>
  </conditionalFormatting>
  <conditionalFormatting sqref="L19">
    <cfRule type="expression" priority="2" dxfId="0">
      <formula>LEN(L19)&gt;0</formula>
    </cfRule>
  </conditionalFormatting>
  <conditionalFormatting sqref="L20">
    <cfRule type="expression" priority="3" dxfId="0">
      <formula>LEN(L20)&gt;0</formula>
    </cfRule>
  </conditionalFormatting>
  <conditionalFormatting sqref="K21">
    <cfRule type="expression" priority="4" dxfId="0">
      <formula>LEN(K21)&gt;0</formula>
    </cfRule>
  </conditionalFormatting>
  <conditionalFormatting sqref="L22">
    <cfRule type="expression" priority="5" dxfId="0">
      <formula>LEN(L22)&gt;0</formula>
    </cfRule>
  </conditionalFormatting>
  <conditionalFormatting sqref="L23">
    <cfRule type="expression" priority="6" dxfId="0">
      <formula>LEN(L23)&gt;0</formula>
    </cfRule>
  </conditionalFormatting>
  <conditionalFormatting sqref="L36">
    <cfRule type="expression" priority="7" dxfId="0">
      <formula>LEN(L36)&gt;0</formula>
    </cfRule>
  </conditionalFormatting>
  <conditionalFormatting sqref="L37">
    <cfRule type="expression" priority="8" dxfId="0">
      <formula>LEN(L37)&gt;0</formula>
    </cfRule>
  </conditionalFormatting>
  <conditionalFormatting sqref="L38">
    <cfRule type="expression" priority="9" dxfId="0">
      <formula>LEN(L38)&gt;0</formula>
    </cfRule>
  </conditionalFormatting>
  <conditionalFormatting sqref="L39">
    <cfRule type="expression" priority="10" dxfId="0">
      <formula>LEN(L39)&gt;0</formula>
    </cfRule>
  </conditionalFormatting>
  <conditionalFormatting sqref="L40">
    <cfRule type="expression" priority="11" dxfId="0">
      <formula>LEN(L40)&gt;0</formula>
    </cfRule>
  </conditionalFormatting>
  <conditionalFormatting sqref="L41">
    <cfRule type="expression" priority="12" dxfId="0">
      <formula>LEN(L41)&gt;0</formula>
    </cfRule>
  </conditionalFormatting>
  <conditionalFormatting sqref="I45">
    <cfRule type="expression" priority="13" dxfId="0">
      <formula>LEN(I45)&gt;0</formula>
    </cfRule>
  </conditionalFormatting>
  <conditionalFormatting sqref="I46">
    <cfRule type="expression" priority="14" dxfId="0">
      <formula>LEN(I46)&gt;0</formula>
    </cfRule>
  </conditionalFormatting>
  <conditionalFormatting sqref="I47">
    <cfRule type="expression" priority="15" dxfId="0">
      <formula>LEN(I47)&gt;0</formula>
    </cfRule>
  </conditionalFormatting>
  <conditionalFormatting sqref="L48">
    <cfRule type="expression" priority="16" dxfId="0">
      <formula>LEN(L48)&gt;0</formula>
    </cfRule>
  </conditionalFormatting>
  <conditionalFormatting sqref="K58">
    <cfRule type="expression" priority="17" dxfId="0">
      <formula>LEN(K58)&gt;0</formula>
    </cfRule>
  </conditionalFormatting>
  <conditionalFormatting sqref="K60">
    <cfRule type="expression" priority="18" dxfId="0">
      <formula>LEN(K60)&gt;0</formula>
    </cfRule>
  </conditionalFormatting>
  <conditionalFormatting sqref="K61">
    <cfRule type="expression" priority="19" dxfId="0">
      <formula>LEN(K61)&gt;0</formula>
    </cfRule>
  </conditionalFormatting>
  <conditionalFormatting sqref="K62">
    <cfRule type="expression" priority="20" dxfId="0">
      <formula>LEN(K62)&gt;0</formula>
    </cfRule>
  </conditionalFormatting>
  <conditionalFormatting sqref="K63">
    <cfRule type="expression" priority="21" dxfId="0">
      <formula>LEN(K63)&gt;0</formula>
    </cfRule>
  </conditionalFormatting>
  <conditionalFormatting sqref="K64">
    <cfRule type="expression" priority="22" dxfId="0">
      <formula>LEN(K64)&gt;0</formula>
    </cfRule>
  </conditionalFormatting>
  <conditionalFormatting sqref="K65">
    <cfRule type="expression" priority="23" dxfId="0">
      <formula>LEN(K65)&gt;0</formula>
    </cfRule>
  </conditionalFormatting>
  <conditionalFormatting sqref="K66">
    <cfRule type="expression" priority="24" dxfId="0">
      <formula>LEN(K66)&gt;0</formula>
    </cfRule>
  </conditionalFormatting>
  <conditionalFormatting sqref="K67">
    <cfRule type="expression" priority="25" dxfId="0">
      <formula>LEN(K67)&gt;0</formula>
    </cfRule>
  </conditionalFormatting>
  <conditionalFormatting sqref="K68">
    <cfRule type="expression" priority="26" dxfId="0">
      <formula>LEN(K68)&gt;0</formula>
    </cfRule>
  </conditionalFormatting>
  <conditionalFormatting sqref="K69">
    <cfRule type="expression" priority="27" dxfId="0">
      <formula>LEN(K69)&gt;0</formula>
    </cfRule>
  </conditionalFormatting>
  <conditionalFormatting sqref="K71">
    <cfRule type="expression" priority="28" dxfId="0">
      <formula>LEN(K71)&gt;0</formula>
    </cfRule>
  </conditionalFormatting>
  <conditionalFormatting sqref="K72">
    <cfRule type="expression" priority="29" dxfId="0">
      <formula>LEN(K72)&gt;0</formula>
    </cfRule>
  </conditionalFormatting>
  <conditionalFormatting sqref="K73">
    <cfRule type="expression" priority="30" dxfId="0">
      <formula>LEN(K73)&gt;0</formula>
    </cfRule>
  </conditionalFormatting>
  <conditionalFormatting sqref="K74">
    <cfRule type="expression" priority="31" dxfId="0">
      <formula>LEN(K74)&gt;0</formula>
    </cfRule>
  </conditionalFormatting>
  <conditionalFormatting sqref="K75">
    <cfRule type="expression" priority="32" dxfId="0">
      <formula>LEN(K75)&gt;0</formula>
    </cfRule>
  </conditionalFormatting>
  <conditionalFormatting sqref="K76">
    <cfRule type="expression" priority="33" dxfId="0">
      <formula>LEN(K76)&gt;0</formula>
    </cfRule>
  </conditionalFormatting>
  <conditionalFormatting sqref="K77">
    <cfRule type="expression" priority="34" dxfId="0">
      <formula>LEN(K77)&gt;0</formula>
    </cfRule>
  </conditionalFormatting>
  <conditionalFormatting sqref="K78">
    <cfRule type="expression" priority="35" dxfId="0">
      <formula>LEN(K78)&gt;0</formula>
    </cfRule>
  </conditionalFormatting>
  <conditionalFormatting sqref="K79">
    <cfRule type="expression" priority="36" dxfId="0">
      <formula>LEN(K79)&gt;0</formula>
    </cfRule>
  </conditionalFormatting>
  <conditionalFormatting sqref="K80">
    <cfRule type="expression" priority="37" dxfId="0">
      <formula>LEN(K80)&gt;0</formula>
    </cfRule>
  </conditionalFormatting>
  <conditionalFormatting sqref="K84">
    <cfRule type="expression" priority="38" dxfId="0">
      <formula>LEN(K84)&gt;0</formula>
    </cfRule>
  </conditionalFormatting>
  <conditionalFormatting sqref="K86">
    <cfRule type="expression" priority="39" dxfId="0">
      <formula>LEN(K86)&gt;0</formula>
    </cfRule>
  </conditionalFormatting>
  <conditionalFormatting sqref="K87">
    <cfRule type="expression" priority="40" dxfId="0">
      <formula>LEN(K87)&gt;0</formula>
    </cfRule>
  </conditionalFormatting>
  <conditionalFormatting sqref="K88">
    <cfRule type="expression" priority="41" dxfId="0">
      <formula>LEN(K88)&gt;0</formula>
    </cfRule>
  </conditionalFormatting>
  <conditionalFormatting sqref="K89">
    <cfRule type="expression" priority="42" dxfId="0">
      <formula>LEN(K89)&gt;0</formula>
    </cfRule>
  </conditionalFormatting>
  <conditionalFormatting sqref="K90">
    <cfRule type="expression" priority="43" dxfId="0">
      <formula>LEN(K90)&gt;0</formula>
    </cfRule>
  </conditionalFormatting>
  <conditionalFormatting sqref="K91">
    <cfRule type="expression" priority="44" dxfId="0">
      <formula>LEN(K91)&gt;0</formula>
    </cfRule>
  </conditionalFormatting>
  <conditionalFormatting sqref="K92">
    <cfRule type="expression" priority="45" dxfId="0">
      <formula>LEN(K92)&gt;0</formula>
    </cfRule>
  </conditionalFormatting>
  <conditionalFormatting sqref="K93">
    <cfRule type="expression" priority="46" dxfId="0">
      <formula>LEN(K93)&gt;0</formula>
    </cfRule>
  </conditionalFormatting>
  <conditionalFormatting sqref="K94">
    <cfRule type="expression" priority="47" dxfId="0">
      <formula>LEN(K94)&gt;0</formula>
    </cfRule>
  </conditionalFormatting>
  <conditionalFormatting sqref="K95">
    <cfRule type="expression" priority="48" dxfId="0">
      <formula>LEN(K95)&gt;0</formula>
    </cfRule>
  </conditionalFormatting>
  <conditionalFormatting sqref="K96">
    <cfRule type="expression" priority="49" dxfId="0">
      <formula>LEN(K96)&gt;0</formula>
    </cfRule>
  </conditionalFormatting>
  <conditionalFormatting sqref="K18">
    <cfRule type="expression" priority="50" dxfId="0">
      <formula>LEN(K18)&gt;0</formula>
    </cfRule>
  </conditionalFormatting>
  <conditionalFormatting sqref="L24">
    <cfRule type="expression" priority="51" dxfId="0">
      <formula>LEN(L24)&gt;0</formula>
    </cfRule>
  </conditionalFormatting>
  <dataValidations count="99">
    <dataValidation sqref="C8" showDropDown="0" showInputMessage="0" showErrorMessage="1" allowBlank="1" errorTitle="Fora da lista" error="Categoria da arma secundária: escolha um valor da lista. A ficha pode não reconhecer outro valor." type="list" errorStyle="warning">
      <formula1>'Dados'!$T$6:$T$11</formula1>
    </dataValidation>
    <dataValidation sqref="D8" showDropDown="0" showInputMessage="0" showErrorMessage="1" allowBlank="1" errorTitle="Fora da lista" error="Atributo da arma secundária: escolha um valor da lista. A ficha pode não reconhecer outro valor." type="list" errorStyle="warning">
      <formula1>'Dados'!$U$6:$U$7</formula1>
    </dataValidation>
    <dataValidation sqref="E8" showDropDown="0" showInputMessage="0" showErrorMessage="1" allowBlank="1" errorTitle="Fora da lista" error="Elemento da arma secundária: escolha um valor da lista. A ficha pode não reconhecer outro valor." type="list" errorStyle="warning">
      <formula1>'Dados'!$R$6:$R$12</formula1>
    </dataValidation>
    <dataValidation sqref="F8" showDropDown="0" showInputMessage="0" showErrorMessage="1" allowBlank="1" errorTitle="Fora da lista" error="Propriedade da arma secundária: escolha um valor da lista. A ficha pode não reconhecer outro valor." type="list" errorStyle="warning">
      <formula1>'Dados'!$V$6:$V$11</formula1>
    </dataValidation>
    <dataValidation sqref="B19" showDropDown="0" showInputMessage="0" showErrorMessage="1" allowBlank="1" errorTitle="Valor fora da faixa" error="Nível do Cone: use um número inteiro de 1 a 5." type="whole" errorStyle="warning" operator="between">
      <formula1>1</formula1>
      <formula2>5</formula2>
    </dataValidation>
    <dataValidation sqref="B20" showDropDown="0" showInputMessage="0" showErrorMessage="1" allowBlank="1" errorTitle="Fora da lista" error="Alvo do Bônus Maior: escolha um valor da lista. A ficha pode não reconhecer outro valor." type="list" errorStyle="warning">
      <formula1>'Dados'!$AM$6:$AM$15</formula1>
    </dataValidation>
    <dataValidation sqref="B21" showDropDown="0" showInputMessage="0" showErrorMessage="1" allowBlank="1" errorTitle="Fora da lista" error="Teste de Resistência ou Perícia do Cone: escolha um valor da lista. A ficha pode não reconhecer outro valor." type="list" errorStyle="warning">
      <formula1>$Y$21:$Y$38</formula1>
    </dataValidation>
    <dataValidation sqref="B22" showDropDown="0" showInputMessage="0" showErrorMessage="1" allowBlank="1" errorTitle="Fora da lista" error="Numérico ou PV: escolha um valor da lista. A ficha pode não reconhecer outro valor." type="list" errorStyle="warning">
      <formula1>'Dados'!$AN$6:$AN$7</formula1>
    </dataValidation>
    <dataValidation sqref="B23" showDropDown="0" showInputMessage="0" showErrorMessage="1" allowBlank="1" errorTitle="Valor fora da faixa" error="Sobreposições: use um número inteiro de 0 a 5." type="whole" errorStyle="warning" operator="between">
      <formula1>0</formula1>
      <formula2>5</formula2>
    </dataValidation>
    <dataValidation sqref="B36" showDropDown="0" showInputMessage="0" showErrorMessage="1" allowBlank="1" errorTitle="Fora da lista" error="Possui Cabeça: escolha um valor da lista. A ficha pode não reconhecer outro valor." type="list" errorStyle="warning">
      <formula1>'Dados'!$AG$6:$AG$7</formula1>
    </dataValidation>
    <dataValidation sqref="E36" showDropDown="0" showInputMessage="0" showErrorMessage="1" allowBlank="1" errorTitle="Fora da lista" error="Conjunto (Cabeça): escolha um valor da lista. A ficha pode não reconhecer outro valor." type="list" errorStyle="warning">
      <formula1>'Dados'!$AO$6:$AO$9</formula1>
    </dataValidation>
    <dataValidation sqref="B37" showDropDown="0" showInputMessage="0" showErrorMessage="1" allowBlank="1" errorTitle="Fora da lista" error="Possui Mãos: escolha um valor da lista. A ficha pode não reconhecer outro valor." type="list" errorStyle="warning">
      <formula1>'Dados'!$AG$6:$AG$7</formula1>
    </dataValidation>
    <dataValidation sqref="E37" showDropDown="0" showInputMessage="0" showErrorMessage="1" allowBlank="1" errorTitle="Fora da lista" error="Conjunto (Mãos): escolha um valor da lista. A ficha pode não reconhecer outro valor." type="list" errorStyle="warning">
      <formula1>'Dados'!$AO$6:$AO$9</formula1>
    </dataValidation>
    <dataValidation sqref="B38" showDropDown="0" showInputMessage="0" showErrorMessage="1" allowBlank="1" errorTitle="Fora da lista" error="Possui Tronco: escolha um valor da lista. A ficha pode não reconhecer outro valor." type="list" errorStyle="warning">
      <formula1>'Dados'!$AG$6:$AG$7</formula1>
    </dataValidation>
    <dataValidation sqref="E38" showDropDown="0" showInputMessage="0" showErrorMessage="1" allowBlank="1" errorTitle="Fora da lista" error="Conjunto (Tronco): escolha um valor da lista. A ficha pode não reconhecer outro valor." type="list" errorStyle="warning">
      <formula1>'Dados'!$AO$6:$AO$9</formula1>
    </dataValidation>
    <dataValidation sqref="B39" showDropDown="0" showInputMessage="0" showErrorMessage="1" allowBlank="1" errorTitle="Fora da lista" error="Possui Botas: escolha um valor da lista. A ficha pode não reconhecer outro valor." type="list" errorStyle="warning">
      <formula1>'Dados'!$AG$6:$AG$7</formula1>
    </dataValidation>
    <dataValidation sqref="E39" showDropDown="0" showInputMessage="0" showErrorMessage="1" allowBlank="1" errorTitle="Fora da lista" error="Conjunto (Botas): escolha um valor da lista. A ficha pode não reconhecer outro valor." type="list" errorStyle="warning">
      <formula1>'Dados'!$AO$6:$AO$9</formula1>
    </dataValidation>
    <dataValidation sqref="B40" showDropDown="0" showInputMessage="0" showErrorMessage="1" allowBlank="1" errorTitle="Fora da lista" error="Possui Esfera Planar: escolha um valor da lista. A ficha pode não reconhecer outro valor." type="list" errorStyle="warning">
      <formula1>'Dados'!$AG$6:$AG$7</formula1>
    </dataValidation>
    <dataValidation sqref="E40" showDropDown="0" showInputMessage="0" showErrorMessage="1" allowBlank="1" errorTitle="Fora da lista" error="Conjunto (Esfera Planar): escolha um valor da lista. A ficha pode não reconhecer outro valor." type="list" errorStyle="warning">
      <formula1>'Dados'!$AO$6:$AO$9</formula1>
    </dataValidation>
    <dataValidation sqref="J40" showDropDown="0" showInputMessage="0" showErrorMessage="1" allowBlank="1" errorTitle="Fora da lista" error="Elemento da Esfera Planar: escolha um valor da lista. A ficha pode não reconhecer outro valor." type="list" errorStyle="warning">
      <formula1>'Dados'!$R$6:$R$12</formula1>
    </dataValidation>
    <dataValidation sqref="B41" showDropDown="0" showInputMessage="0" showErrorMessage="1" allowBlank="1" errorTitle="Fora da lista" error="Possui Corda de Ligação: escolha um valor da lista. A ficha pode não reconhecer outro valor." type="list" errorStyle="warning">
      <formula1>'Dados'!$AG$6:$AG$7</formula1>
    </dataValidation>
    <dataValidation sqref="E41" showDropDown="0" showInputMessage="0" showErrorMessage="1" allowBlank="1" errorTitle="Fora da lista" error="Conjunto (Corda de Ligação): escolha um valor da lista. A ficha pode não reconhecer outro valor." type="list" errorStyle="warning">
      <formula1>'Dados'!$AO$6:$AO$9</formula1>
    </dataValidation>
    <dataValidation sqref="C45" showDropDown="0" showInputMessage="0" showErrorMessage="1" allowBlank="1" errorTitle="Fora da lista" error="Bônus de 2 peças do Conjunto A: escolha um valor da lista. A ficha pode não reconhecer outro valor." type="list" errorStyle="warning">
      <formula1>'Dados'!$AP$6:$AP$9</formula1>
    </dataValidation>
    <dataValidation sqref="E45" showDropDown="0" showInputMessage="0" showErrorMessage="1" allowBlank="1" errorTitle="Fora da lista" error="Rolagem do Conjunto A: escolha um valor da lista. A ficha pode não reconhecer outro valor." type="list" errorStyle="warning">
      <formula1>$AA$45:$AA$69</formula1>
    </dataValidation>
    <dataValidation sqref="C46" showDropDown="0" showInputMessage="0" showErrorMessage="1" allowBlank="1" errorTitle="Fora da lista" error="Bônus de 2 peças do Conjunto B: escolha um valor da lista. A ficha pode não reconhecer outro valor." type="list" errorStyle="warning">
      <formula1>'Dados'!$AP$6:$AP$9</formula1>
    </dataValidation>
    <dataValidation sqref="E46" showDropDown="0" showInputMessage="0" showErrorMessage="1" allowBlank="1" errorTitle="Fora da lista" error="Rolagem do Conjunto B: escolha um valor da lista. A ficha pode não reconhecer outro valor." type="list" errorStyle="warning">
      <formula1>$AA$45:$AA$69</formula1>
    </dataValidation>
    <dataValidation sqref="C47" showDropDown="0" showInputMessage="0" showErrorMessage="1" allowBlank="1" errorTitle="Fora da lista" error="Bônus de 2 peças do Conjunto C: escolha um valor da lista. A ficha pode não reconhecer outro valor." type="list" errorStyle="warning">
      <formula1>'Dados'!$AP$6:$AP$9</formula1>
    </dataValidation>
    <dataValidation sqref="E47" showDropDown="0" showInputMessage="0" showErrorMessage="1" allowBlank="1" errorTitle="Fora da lista" error="Rolagem do Conjunto C: escolha um valor da lista. A ficha pode não reconhecer outro valor." type="list" errorStyle="warning">
      <formula1>$AA$45:$AA$69</formula1>
    </dataValidation>
    <dataValidation sqref="A60" showDropDown="0" showInputMessage="0" showErrorMessage="1" allowBlank="1" errorTitle="Fora da lista" error="Item 1: escolha um valor da lista. A ficha pode não reconhecer outro valor." type="list" errorStyle="warning">
      <formula1>$V$57:$V$79</formula1>
    </dataValidation>
    <dataValidation sqref="C60" showDropDown="0" showInputMessage="0" showErrorMessage="1" allowBlank="1" errorTitle="Valor fora da faixa" error="Espaço do item 1: use um número de 0 a 50." type="decimal" errorStyle="warning" operator="between">
      <formula1>0</formula1>
      <formula2>50</formula2>
    </dataValidation>
    <dataValidation sqref="E60" showDropDown="0" showInputMessage="0" showErrorMessage="1" allowBlank="1" errorTitle="Valor fora da faixa" error="Quantidade do item 1: use um número inteiro de 0 a 999." type="whole" errorStyle="warning" operator="between">
      <formula1>0</formula1>
      <formula2>999</formula2>
    </dataValidation>
    <dataValidation sqref="A61" showDropDown="0" showInputMessage="0" showErrorMessage="1" allowBlank="1" errorTitle="Fora da lista" error="Item 2: escolha um valor da lista. A ficha pode não reconhecer outro valor." type="list" errorStyle="warning">
      <formula1>$V$57:$V$79</formula1>
    </dataValidation>
    <dataValidation sqref="C61" showDropDown="0" showInputMessage="0" showErrorMessage="1" allowBlank="1" errorTitle="Valor fora da faixa" error="Espaço do item 2: use um número de 0 a 50." type="decimal" errorStyle="warning" operator="between">
      <formula1>0</formula1>
      <formula2>50</formula2>
    </dataValidation>
    <dataValidation sqref="E61" showDropDown="0" showInputMessage="0" showErrorMessage="1" allowBlank="1" errorTitle="Valor fora da faixa" error="Quantidade do item 2: use um número inteiro de 0 a 999." type="whole" errorStyle="warning" operator="between">
      <formula1>0</formula1>
      <formula2>999</formula2>
    </dataValidation>
    <dataValidation sqref="A62" showDropDown="0" showInputMessage="0" showErrorMessage="1" allowBlank="1" errorTitle="Fora da lista" error="Item 3: escolha um valor da lista. A ficha pode não reconhecer outro valor." type="list" errorStyle="warning">
      <formula1>$V$57:$V$79</formula1>
    </dataValidation>
    <dataValidation sqref="C62" showDropDown="0" showInputMessage="0" showErrorMessage="1" allowBlank="1" errorTitle="Valor fora da faixa" error="Espaço do item 3: use um número de 0 a 50." type="decimal" errorStyle="warning" operator="between">
      <formula1>0</formula1>
      <formula2>50</formula2>
    </dataValidation>
    <dataValidation sqref="E62" showDropDown="0" showInputMessage="0" showErrorMessage="1" allowBlank="1" errorTitle="Valor fora da faixa" error="Quantidade do item 3: use um número inteiro de 0 a 999." type="whole" errorStyle="warning" operator="between">
      <formula1>0</formula1>
      <formula2>999</formula2>
    </dataValidation>
    <dataValidation sqref="A63" showDropDown="0" showInputMessage="0" showErrorMessage="1" allowBlank="1" errorTitle="Fora da lista" error="Item 4: escolha um valor da lista. A ficha pode não reconhecer outro valor." type="list" errorStyle="warning">
      <formula1>$V$57:$V$79</formula1>
    </dataValidation>
    <dataValidation sqref="C63" showDropDown="0" showInputMessage="0" showErrorMessage="1" allowBlank="1" errorTitle="Valor fora da faixa" error="Espaço do item 4: use um número de 0 a 50." type="decimal" errorStyle="warning" operator="between">
      <formula1>0</formula1>
      <formula2>50</formula2>
    </dataValidation>
    <dataValidation sqref="E63" showDropDown="0" showInputMessage="0" showErrorMessage="1" allowBlank="1" errorTitle="Valor fora da faixa" error="Quantidade do item 4: use um número inteiro de 0 a 999." type="whole" errorStyle="warning" operator="between">
      <formula1>0</formula1>
      <formula2>999</formula2>
    </dataValidation>
    <dataValidation sqref="A64" showDropDown="0" showInputMessage="0" showErrorMessage="1" allowBlank="1" errorTitle="Fora da lista" error="Item 5: escolha um valor da lista. A ficha pode não reconhecer outro valor." type="list" errorStyle="warning">
      <formula1>$V$57:$V$79</formula1>
    </dataValidation>
    <dataValidation sqref="C64" showDropDown="0" showInputMessage="0" showErrorMessage="1" allowBlank="1" errorTitle="Valor fora da faixa" error="Espaço do item 5: use um número de 0 a 50." type="decimal" errorStyle="warning" operator="between">
      <formula1>0</formula1>
      <formula2>50</formula2>
    </dataValidation>
    <dataValidation sqref="E64" showDropDown="0" showInputMessage="0" showErrorMessage="1" allowBlank="1" errorTitle="Valor fora da faixa" error="Quantidade do item 5: use um número inteiro de 0 a 999." type="whole" errorStyle="warning" operator="between">
      <formula1>0</formula1>
      <formula2>999</formula2>
    </dataValidation>
    <dataValidation sqref="A65" showDropDown="0" showInputMessage="0" showErrorMessage="1" allowBlank="1" errorTitle="Fora da lista" error="Item 6: escolha um valor da lista. A ficha pode não reconhecer outro valor." type="list" errorStyle="warning">
      <formula1>$V$57:$V$79</formula1>
    </dataValidation>
    <dataValidation sqref="C65" showDropDown="0" showInputMessage="0" showErrorMessage="1" allowBlank="1" errorTitle="Valor fora da faixa" error="Espaço do item 6: use um número de 0 a 50." type="decimal" errorStyle="warning" operator="between">
      <formula1>0</formula1>
      <formula2>50</formula2>
    </dataValidation>
    <dataValidation sqref="E65" showDropDown="0" showInputMessage="0" showErrorMessage="1" allowBlank="1" errorTitle="Valor fora da faixa" error="Quantidade do item 6: use um número inteiro de 0 a 999." type="whole" errorStyle="warning" operator="between">
      <formula1>0</formula1>
      <formula2>999</formula2>
    </dataValidation>
    <dataValidation sqref="A66" showDropDown="0" showInputMessage="0" showErrorMessage="1" allowBlank="1" errorTitle="Fora da lista" error="Item 7: escolha um valor da lista. A ficha pode não reconhecer outro valor." type="list" errorStyle="warning">
      <formula1>$V$57:$V$79</formula1>
    </dataValidation>
    <dataValidation sqref="C66" showDropDown="0" showInputMessage="0" showErrorMessage="1" allowBlank="1" errorTitle="Valor fora da faixa" error="Espaço do item 7: use um número de 0 a 50." type="decimal" errorStyle="warning" operator="between">
      <formula1>0</formula1>
      <formula2>50</formula2>
    </dataValidation>
    <dataValidation sqref="E66" showDropDown="0" showInputMessage="0" showErrorMessage="1" allowBlank="1" errorTitle="Valor fora da faixa" error="Quantidade do item 7: use um número inteiro de 0 a 999." type="whole" errorStyle="warning" operator="between">
      <formula1>0</formula1>
      <formula2>999</formula2>
    </dataValidation>
    <dataValidation sqref="A67" showDropDown="0" showInputMessage="0" showErrorMessage="1" allowBlank="1" errorTitle="Fora da lista" error="Item 8: escolha um valor da lista. A ficha pode não reconhecer outro valor." type="list" errorStyle="warning">
      <formula1>$V$57:$V$79</formula1>
    </dataValidation>
    <dataValidation sqref="C67" showDropDown="0" showInputMessage="0" showErrorMessage="1" allowBlank="1" errorTitle="Valor fora da faixa" error="Espaço do item 8: use um número de 0 a 50." type="decimal" errorStyle="warning" operator="between">
      <formula1>0</formula1>
      <formula2>50</formula2>
    </dataValidation>
    <dataValidation sqref="E67" showDropDown="0" showInputMessage="0" showErrorMessage="1" allowBlank="1" errorTitle="Valor fora da faixa" error="Quantidade do item 8: use um número inteiro de 0 a 999." type="whole" errorStyle="warning" operator="between">
      <formula1>0</formula1>
      <formula2>999</formula2>
    </dataValidation>
    <dataValidation sqref="A68" showDropDown="0" showInputMessage="0" showErrorMessage="1" allowBlank="1" errorTitle="Fora da lista" error="Item 9: escolha um valor da lista. A ficha pode não reconhecer outro valor." type="list" errorStyle="warning">
      <formula1>$V$57:$V$79</formula1>
    </dataValidation>
    <dataValidation sqref="C68" showDropDown="0" showInputMessage="0" showErrorMessage="1" allowBlank="1" errorTitle="Valor fora da faixa" error="Espaço do item 9: use um número de 0 a 50." type="decimal" errorStyle="warning" operator="between">
      <formula1>0</formula1>
      <formula2>50</formula2>
    </dataValidation>
    <dataValidation sqref="E68" showDropDown="0" showInputMessage="0" showErrorMessage="1" allowBlank="1" errorTitle="Valor fora da faixa" error="Quantidade do item 9: use um número inteiro de 0 a 999." type="whole" errorStyle="warning" operator="between">
      <formula1>0</formula1>
      <formula2>999</formula2>
    </dataValidation>
    <dataValidation sqref="A69" showDropDown="0" showInputMessage="0" showErrorMessage="1" allowBlank="1" errorTitle="Fora da lista" error="Item 10: escolha um valor da lista. A ficha pode não reconhecer outro valor." type="list" errorStyle="warning">
      <formula1>$V$57:$V$79</formula1>
    </dataValidation>
    <dataValidation sqref="C69" showDropDown="0" showInputMessage="0" showErrorMessage="1" allowBlank="1" errorTitle="Valor fora da faixa" error="Espaço do item 10: use um número de 0 a 50." type="decimal" errorStyle="warning" operator="between">
      <formula1>0</formula1>
      <formula2>50</formula2>
    </dataValidation>
    <dataValidation sqref="E69" showDropDown="0" showInputMessage="0" showErrorMessage="1" allowBlank="1" errorTitle="Valor fora da faixa" error="Quantidade do item 10: use um número inteiro de 0 a 999." type="whole" errorStyle="warning" operator="between">
      <formula1>0</formula1>
      <formula2>999</formula2>
    </dataValidation>
    <dataValidation sqref="A71" showDropDown="0" showInputMessage="0" showErrorMessage="1" allowBlank="1" errorTitle="Fora da lista" error="Item 11: escolha um valor da lista. A ficha pode não reconhecer outro valor." type="list" errorStyle="warning">
      <formula1>$V$57:$V$79</formula1>
    </dataValidation>
    <dataValidation sqref="C71" showDropDown="0" showInputMessage="0" showErrorMessage="1" allowBlank="1" errorTitle="Valor fora da faixa" error="Espaço do item 11: use um número de 0 a 50." type="decimal" errorStyle="warning" operator="between">
      <formula1>0</formula1>
      <formula2>50</formula2>
    </dataValidation>
    <dataValidation sqref="E71" showDropDown="0" showInputMessage="0" showErrorMessage="1" allowBlank="1" errorTitle="Valor fora da faixa" error="Quantidade do item 11: use um número inteiro de 0 a 999." type="whole" errorStyle="warning" operator="between">
      <formula1>0</formula1>
      <formula2>999</formula2>
    </dataValidation>
    <dataValidation sqref="A72" showDropDown="0" showInputMessage="0" showErrorMessage="1" allowBlank="1" errorTitle="Fora da lista" error="Item 12: escolha um valor da lista. A ficha pode não reconhecer outro valor." type="list" errorStyle="warning">
      <formula1>$V$57:$V$79</formula1>
    </dataValidation>
    <dataValidation sqref="C72" showDropDown="0" showInputMessage="0" showErrorMessage="1" allowBlank="1" errorTitle="Valor fora da faixa" error="Espaço do item 12: use um número de 0 a 50." type="decimal" errorStyle="warning" operator="between">
      <formula1>0</formula1>
      <formula2>50</formula2>
    </dataValidation>
    <dataValidation sqref="E72" showDropDown="0" showInputMessage="0" showErrorMessage="1" allowBlank="1" errorTitle="Valor fora da faixa" error="Quantidade do item 12: use um número inteiro de 0 a 999." type="whole" errorStyle="warning" operator="between">
      <formula1>0</formula1>
      <formula2>999</formula2>
    </dataValidation>
    <dataValidation sqref="A73" showDropDown="0" showInputMessage="0" showErrorMessage="1" allowBlank="1" errorTitle="Fora da lista" error="Item 13: escolha um valor da lista. A ficha pode não reconhecer outro valor." type="list" errorStyle="warning">
      <formula1>$V$57:$V$79</formula1>
    </dataValidation>
    <dataValidation sqref="C73" showDropDown="0" showInputMessage="0" showErrorMessage="1" allowBlank="1" errorTitle="Valor fora da faixa" error="Espaço do item 13: use um número de 0 a 50." type="decimal" errorStyle="warning" operator="between">
      <formula1>0</formula1>
      <formula2>50</formula2>
    </dataValidation>
    <dataValidation sqref="E73" showDropDown="0" showInputMessage="0" showErrorMessage="1" allowBlank="1" errorTitle="Valor fora da faixa" error="Quantidade do item 13: use um número inteiro de 0 a 999." type="whole" errorStyle="warning" operator="between">
      <formula1>0</formula1>
      <formula2>999</formula2>
    </dataValidation>
    <dataValidation sqref="A74" showDropDown="0" showInputMessage="0" showErrorMessage="1" allowBlank="1" errorTitle="Fora da lista" error="Item 14: escolha um valor da lista. A ficha pode não reconhecer outro valor." type="list" errorStyle="warning">
      <formula1>$V$57:$V$79</formula1>
    </dataValidation>
    <dataValidation sqref="C74" showDropDown="0" showInputMessage="0" showErrorMessage="1" allowBlank="1" errorTitle="Valor fora da faixa" error="Espaço do item 14: use um número de 0 a 50." type="decimal" errorStyle="warning" operator="between">
      <formula1>0</formula1>
      <formula2>50</formula2>
    </dataValidation>
    <dataValidation sqref="E74" showDropDown="0" showInputMessage="0" showErrorMessage="1" allowBlank="1" errorTitle="Valor fora da faixa" error="Quantidade do item 14: use um número inteiro de 0 a 999." type="whole" errorStyle="warning" operator="between">
      <formula1>0</formula1>
      <formula2>999</formula2>
    </dataValidation>
    <dataValidation sqref="A75" showDropDown="0" showInputMessage="0" showErrorMessage="1" allowBlank="1" errorTitle="Fora da lista" error="Item 15: escolha um valor da lista. A ficha pode não reconhecer outro valor." type="list" errorStyle="warning">
      <formula1>$V$57:$V$79</formula1>
    </dataValidation>
    <dataValidation sqref="C75" showDropDown="0" showInputMessage="0" showErrorMessage="1" allowBlank="1" errorTitle="Valor fora da faixa" error="Espaço do item 15: use um número de 0 a 50." type="decimal" errorStyle="warning" operator="between">
      <formula1>0</formula1>
      <formula2>50</formula2>
    </dataValidation>
    <dataValidation sqref="E75" showDropDown="0" showInputMessage="0" showErrorMessage="1" allowBlank="1" errorTitle="Valor fora da faixa" error="Quantidade do item 15: use um número inteiro de 0 a 999." type="whole" errorStyle="warning" operator="between">
      <formula1>0</formula1>
      <formula2>999</formula2>
    </dataValidation>
    <dataValidation sqref="A76" showDropDown="0" showInputMessage="0" showErrorMessage="1" allowBlank="1" errorTitle="Fora da lista" error="Item 16: escolha um valor da lista. A ficha pode não reconhecer outro valor." type="list" errorStyle="warning">
      <formula1>$V$57:$V$79</formula1>
    </dataValidation>
    <dataValidation sqref="C76" showDropDown="0" showInputMessage="0" showErrorMessage="1" allowBlank="1" errorTitle="Valor fora da faixa" error="Espaço do item 16: use um número de 0 a 50." type="decimal" errorStyle="warning" operator="between">
      <formula1>0</formula1>
      <formula2>50</formula2>
    </dataValidation>
    <dataValidation sqref="E76" showDropDown="0" showInputMessage="0" showErrorMessage="1" allowBlank="1" errorTitle="Valor fora da faixa" error="Quantidade do item 16: use um número inteiro de 0 a 999." type="whole" errorStyle="warning" operator="between">
      <formula1>0</formula1>
      <formula2>999</formula2>
    </dataValidation>
    <dataValidation sqref="A77" showDropDown="0" showInputMessage="0" showErrorMessage="1" allowBlank="1" errorTitle="Fora da lista" error="Item 17: escolha um valor da lista. A ficha pode não reconhecer outro valor." type="list" errorStyle="warning">
      <formula1>$V$57:$V$79</formula1>
    </dataValidation>
    <dataValidation sqref="C77" showDropDown="0" showInputMessage="0" showErrorMessage="1" allowBlank="1" errorTitle="Valor fora da faixa" error="Espaço do item 17: use um número de 0 a 50." type="decimal" errorStyle="warning" operator="between">
      <formula1>0</formula1>
      <formula2>50</formula2>
    </dataValidation>
    <dataValidation sqref="E77" showDropDown="0" showInputMessage="0" showErrorMessage="1" allowBlank="1" errorTitle="Valor fora da faixa" error="Quantidade do item 17: use um número inteiro de 0 a 999." type="whole" errorStyle="warning" operator="between">
      <formula1>0</formula1>
      <formula2>999</formula2>
    </dataValidation>
    <dataValidation sqref="A78" showDropDown="0" showInputMessage="0" showErrorMessage="1" allowBlank="1" errorTitle="Fora da lista" error="Item 18: escolha um valor da lista. A ficha pode não reconhecer outro valor." type="list" errorStyle="warning">
      <formula1>$V$57:$V$79</formula1>
    </dataValidation>
    <dataValidation sqref="C78" showDropDown="0" showInputMessage="0" showErrorMessage="1" allowBlank="1" errorTitle="Valor fora da faixa" error="Espaço do item 18: use um número de 0 a 50." type="decimal" errorStyle="warning" operator="between">
      <formula1>0</formula1>
      <formula2>50</formula2>
    </dataValidation>
    <dataValidation sqref="E78" showDropDown="0" showInputMessage="0" showErrorMessage="1" allowBlank="1" errorTitle="Valor fora da faixa" error="Quantidade do item 18: use um número inteiro de 0 a 999." type="whole" errorStyle="warning" operator="between">
      <formula1>0</formula1>
      <formula2>999</formula2>
    </dataValidation>
    <dataValidation sqref="A79" showDropDown="0" showInputMessage="0" showErrorMessage="1" allowBlank="1" errorTitle="Fora da lista" error="Item 19: escolha um valor da lista. A ficha pode não reconhecer outro valor." type="list" errorStyle="warning">
      <formula1>$V$57:$V$79</formula1>
    </dataValidation>
    <dataValidation sqref="C79" showDropDown="0" showInputMessage="0" showErrorMessage="1" allowBlank="1" errorTitle="Valor fora da faixa" error="Espaço do item 19: use um número de 0 a 50." type="decimal" errorStyle="warning" operator="between">
      <formula1>0</formula1>
      <formula2>50</formula2>
    </dataValidation>
    <dataValidation sqref="E79" showDropDown="0" showInputMessage="0" showErrorMessage="1" allowBlank="1" errorTitle="Valor fora da faixa" error="Quantidade do item 19: use um número inteiro de 0 a 999." type="whole" errorStyle="warning" operator="between">
      <formula1>0</formula1>
      <formula2>999</formula2>
    </dataValidation>
    <dataValidation sqref="A80" showDropDown="0" showInputMessage="0" showErrorMessage="1" allowBlank="1" errorTitle="Fora da lista" error="Item 20: escolha um valor da lista. A ficha pode não reconhecer outro valor." type="list" errorStyle="warning">
      <formula1>$V$57:$V$79</formula1>
    </dataValidation>
    <dataValidation sqref="C80" showDropDown="0" showInputMessage="0" showErrorMessage="1" allowBlank="1" errorTitle="Valor fora da faixa" error="Espaço do item 20: use um número de 0 a 50." type="decimal" errorStyle="warning" operator="between">
      <formula1>0</formula1>
      <formula2>50</formula2>
    </dataValidation>
    <dataValidation sqref="E80" showDropDown="0" showInputMessage="0" showErrorMessage="1" allowBlank="1" errorTitle="Valor fora da faixa" error="Quantidade do item 20: use um número inteiro de 0 a 999." type="whole" errorStyle="warning" operator="between">
      <formula1>0</formula1>
      <formula2>999</formula2>
    </dataValidation>
    <dataValidation sqref="B84" showDropDown="0" showInputMessage="0" showErrorMessage="1" allowBlank="1" errorTitle="Valor fora da faixa" error="Saldo inicial: use um número inteiro de -10000000 a 10000000." type="whole" errorStyle="warning" operator="between">
      <formula1>-10000000</formula1>
      <formula2>10000000</formula2>
    </dataValidation>
    <dataValidation sqref="G86" showDropDown="0" showInputMessage="0" showErrorMessage="1" allowBlank="1" errorTitle="Valor fora da faixa" error="Valor do lançamento 1: use um número inteiro de -10000000 a 10000000." type="whole" errorStyle="warning" operator="between">
      <formula1>-10000000</formula1>
      <formula2>10000000</formula2>
    </dataValidation>
    <dataValidation sqref="G87" showDropDown="0" showInputMessage="0" showErrorMessage="1" allowBlank="1" errorTitle="Valor fora da faixa" error="Valor do lançamento 2: use um número inteiro de -10000000 a 10000000." type="whole" errorStyle="warning" operator="between">
      <formula1>-10000000</formula1>
      <formula2>10000000</formula2>
    </dataValidation>
    <dataValidation sqref="G88" showDropDown="0" showInputMessage="0" showErrorMessage="1" allowBlank="1" errorTitle="Valor fora da faixa" error="Valor do lançamento 3: use um número inteiro de -10000000 a 10000000." type="whole" errorStyle="warning" operator="between">
      <formula1>-10000000</formula1>
      <formula2>10000000</formula2>
    </dataValidation>
    <dataValidation sqref="G89" showDropDown="0" showInputMessage="0" showErrorMessage="1" allowBlank="1" errorTitle="Valor fora da faixa" error="Valor do lançamento 4: use um número inteiro de -10000000 a 10000000." type="whole" errorStyle="warning" operator="between">
      <formula1>-10000000</formula1>
      <formula2>10000000</formula2>
    </dataValidation>
    <dataValidation sqref="G90" showDropDown="0" showInputMessage="0" showErrorMessage="1" allowBlank="1" errorTitle="Valor fora da faixa" error="Valor do lançamento 5: use um número inteiro de -10000000 a 10000000." type="whole" errorStyle="warning" operator="between">
      <formula1>-10000000</formula1>
      <formula2>10000000</formula2>
    </dataValidation>
    <dataValidation sqref="G91" showDropDown="0" showInputMessage="0" showErrorMessage="1" allowBlank="1" errorTitle="Valor fora da faixa" error="Valor do lançamento 6: use um número inteiro de -10000000 a 10000000." type="whole" errorStyle="warning" operator="between">
      <formula1>-10000000</formula1>
      <formula2>10000000</formula2>
    </dataValidation>
    <dataValidation sqref="G92" showDropDown="0" showInputMessage="0" showErrorMessage="1" allowBlank="1" errorTitle="Valor fora da faixa" error="Valor do lançamento 7: use um número inteiro de -10000000 a 10000000." type="whole" errorStyle="warning" operator="between">
      <formula1>-10000000</formula1>
      <formula2>10000000</formula2>
    </dataValidation>
    <dataValidation sqref="G93" showDropDown="0" showInputMessage="0" showErrorMessage="1" allowBlank="1" errorTitle="Valor fora da faixa" error="Valor do lançamento 8: use um número inteiro de -10000000 a 10000000." type="whole" errorStyle="warning" operator="between">
      <formula1>-10000000</formula1>
      <formula2>10000000</formula2>
    </dataValidation>
    <dataValidation sqref="G94" showDropDown="0" showInputMessage="0" showErrorMessage="1" allowBlank="1" errorTitle="Valor fora da faixa" error="Valor do lançamento 9: use um número inteiro de -10000000 a 10000000." type="whole" errorStyle="warning" operator="between">
      <formula1>-10000000</formula1>
      <formula2>10000000</formula2>
    </dataValidation>
    <dataValidation sqref="G95" showDropDown="0" showInputMessage="0" showErrorMessage="1" allowBlank="1" errorTitle="Valor fora da faixa" error="Valor do lançamento 10: use um número inteiro de -10000000 a 10000000." type="whole" errorStyle="warning" operator="between">
      <formula1>-10000000</formula1>
      <formula2>10000000</formula2>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88"/>
  <sheetViews>
    <sheetView showGridLines="1" workbookViewId="0">
      <selection activeCell="A1" sqref="A1"/>
    </sheetView>
  </sheetViews>
  <sheetFormatPr baseColWidth="8" defaultRowHeight="15"/>
  <cols>
    <col width="13" customWidth="1" min="1" max="1"/>
    <col width="22.357" customWidth="1" min="2" max="2"/>
    <col width="25.071" customWidth="1" min="3" max="3"/>
    <col width="22.357" customWidth="1" min="4" max="4"/>
    <col width="22.357" customWidth="1" min="5" max="5"/>
    <col width="22.357" customWidth="1" min="6" max="6"/>
    <col width="22.357" customWidth="1" min="7" max="7"/>
    <col width="20.643" customWidth="1" min="8" max="8"/>
    <col width="17.929" customWidth="1" min="9" max="9"/>
    <col width="13" customWidth="1" min="10" max="10"/>
    <col width="13" customWidth="1" min="11" max="11"/>
    <col width="13" customWidth="1" min="12" max="12"/>
    <col hidden="1" width="4" customWidth="1" min="18" max="18"/>
    <col hidden="1" width="13" customWidth="1" min="20" max="20"/>
    <col hidden="1" width="13" customWidth="1" min="21" max="21"/>
    <col hidden="1" width="13" customWidth="1" min="22" max="22"/>
    <col hidden="1" width="13" customWidth="1" min="23" max="23"/>
  </cols>
  <sheetData>
    <row r="1" ht="24" customHeight="1">
      <c r="A1" s="1" t="inlineStr">
        <is>
          <t>Progressão — Explorando Galáxias v1.1</t>
        </is>
      </c>
    </row>
    <row r="2" ht="26" customHeight="1">
      <c r="A2" s="26" t="inlineStr">
        <is>
          <t>Legenda:</t>
        </is>
      </c>
      <c r="B2" s="3" t="inlineStr">
        <is>
          <t>Entrada (preencha)</t>
        </is>
      </c>
      <c r="C2" s="4" t="inlineStr">
        <is>
          <t>Calculada (automático)</t>
        </is>
      </c>
      <c r="D2" s="5" t="inlineStr">
        <is>
          <t>Aviso (texto em vermelho)</t>
        </is>
      </c>
      <c r="E2" s="6" t="inlineStr">
        <is>
          <t>Título de bloco</t>
        </is>
      </c>
      <c r="F2" s="7" t="inlineStr">
        <is>
          <t>Cabeçalho de coluna</t>
        </is>
      </c>
      <c r="G2" s="8" t="inlineStr">
        <is>
          <t>Rótulo da linha</t>
        </is>
      </c>
      <c r="H2" s="9" t="inlineStr">
        <is>
          <t>Linha alternada (outro tom)</t>
        </is>
      </c>
      <c r="I2" s="10" t="inlineStr">
        <is>
          <t>Não se aplica</t>
        </is>
      </c>
    </row>
    <row r="3">
      <c r="A3" s="11" t="inlineStr">
        <is>
          <t>A tabela mestra do nível 1 ao 20, aumentos de Atributo e Ressonâncias.</t>
        </is>
      </c>
    </row>
    <row r="4"/>
    <row r="5">
      <c r="A5" s="8" t="inlineStr">
        <is>
          <t>Nível atual</t>
        </is>
      </c>
      <c r="C5" s="17">
        <f>'Criação'!$A$14</f>
        <v/>
      </c>
      <c r="D5" s="12" t="inlineStr">
        <is>
          <t>Jogadores</t>
        </is>
      </c>
      <c r="E5" s="17">
        <f>'Criação'!$B$17</f>
        <v/>
      </c>
      <c r="F5" s="12" t="inlineStr">
        <is>
          <t>A linha do seu nível fica destacada em amarelo e negrito.</t>
        </is>
      </c>
    </row>
    <row r="6"/>
    <row r="7">
      <c r="A7" s="14" t="inlineStr">
        <is>
          <t>Tabela mestra, nível 1 a 20 — 26.2: Eficiência, Eficácia, Bênçãos e Habilidades</t>
        </is>
      </c>
    </row>
    <row r="8" ht="26" customHeight="1">
      <c r="A8" s="30" t="inlineStr">
        <is>
          <t>Nível (1 a 10)</t>
        </is>
      </c>
      <c r="B8" s="30" t="inlineStr">
        <is>
          <t>Eficiência</t>
        </is>
      </c>
      <c r="C8" s="30" t="inlineStr">
        <is>
          <t>Eficácia: slots em Perícias</t>
        </is>
      </c>
      <c r="D8" s="30" t="inlineStr">
        <is>
          <t>Eficácia: slots em Testes de Resistência</t>
        </is>
      </c>
      <c r="E8" s="30" t="inlineStr">
        <is>
          <t>Bênçãos</t>
        </is>
      </c>
      <c r="F8" s="30" t="inlineStr">
        <is>
          <t>Habilidades conhecidas</t>
        </is>
      </c>
      <c r="G8" s="30" t="inlineStr">
        <is>
          <t>Reescreve 1 por nível</t>
        </is>
      </c>
      <c r="H8" s="30" t="inlineStr">
        <is>
          <t>Nível máx. de Habilidade</t>
        </is>
      </c>
      <c r="I8" s="30" t="inlineStr">
        <is>
          <t>Aumento de Atributo</t>
        </is>
      </c>
    </row>
    <row r="9">
      <c r="A9" s="31">
        <f>INDEX('Dados'!$A$258:$A$277,1)</f>
        <v/>
      </c>
      <c r="B9" s="64">
        <f>INDEX('Dados'!$B$258:$B$277,1)</f>
        <v/>
      </c>
      <c r="C9" s="64">
        <f>INDEX('Dados'!$C$258:$C$277,1)</f>
        <v/>
      </c>
      <c r="D9" s="64">
        <f>INDEX('Dados'!$D$258:$D$277,1)</f>
        <v/>
      </c>
      <c r="E9" s="64">
        <f>INDEX('Dados'!$E$258:$E$277,1)</f>
        <v/>
      </c>
      <c r="F9" s="64">
        <f>INDEX('Dados'!$F$258:$F$277,1)</f>
        <v/>
      </c>
      <c r="G9" s="64">
        <f>INDEX('Dados'!$G$258:$G$277,1)</f>
        <v/>
      </c>
      <c r="H9" s="64">
        <f>INDEX('Dados'!$H$258:$H$277,1)</f>
        <v/>
      </c>
      <c r="I9" s="64">
        <f>INDEX('Dados'!$I$258:$I$277,1)</f>
        <v/>
      </c>
    </row>
    <row r="10">
      <c r="A10" s="65">
        <f>INDEX('Dados'!$A$258:$A$277,2)</f>
        <v/>
      </c>
      <c r="B10" s="66">
        <f>INDEX('Dados'!$B$258:$B$277,2)</f>
        <v/>
      </c>
      <c r="C10" s="66">
        <f>INDEX('Dados'!$C$258:$C$277,2)</f>
        <v/>
      </c>
      <c r="D10" s="66">
        <f>INDEX('Dados'!$D$258:$D$277,2)</f>
        <v/>
      </c>
      <c r="E10" s="66">
        <f>INDEX('Dados'!$E$258:$E$277,2)</f>
        <v/>
      </c>
      <c r="F10" s="66">
        <f>INDEX('Dados'!$F$258:$F$277,2)</f>
        <v/>
      </c>
      <c r="G10" s="66">
        <f>INDEX('Dados'!$G$258:$G$277,2)</f>
        <v/>
      </c>
      <c r="H10" s="66">
        <f>INDEX('Dados'!$H$258:$H$277,2)</f>
        <v/>
      </c>
      <c r="I10" s="66">
        <f>INDEX('Dados'!$I$258:$I$277,2)</f>
        <v/>
      </c>
    </row>
    <row r="11">
      <c r="A11" s="31">
        <f>INDEX('Dados'!$A$258:$A$277,3)</f>
        <v/>
      </c>
      <c r="B11" s="64">
        <f>INDEX('Dados'!$B$258:$B$277,3)</f>
        <v/>
      </c>
      <c r="C11" s="64">
        <f>INDEX('Dados'!$C$258:$C$277,3)</f>
        <v/>
      </c>
      <c r="D11" s="64">
        <f>INDEX('Dados'!$D$258:$D$277,3)</f>
        <v/>
      </c>
      <c r="E11" s="64">
        <f>INDEX('Dados'!$E$258:$E$277,3)</f>
        <v/>
      </c>
      <c r="F11" s="64">
        <f>INDEX('Dados'!$F$258:$F$277,3)</f>
        <v/>
      </c>
      <c r="G11" s="64">
        <f>INDEX('Dados'!$G$258:$G$277,3)</f>
        <v/>
      </c>
      <c r="H11" s="64">
        <f>INDEX('Dados'!$H$258:$H$277,3)</f>
        <v/>
      </c>
      <c r="I11" s="64">
        <f>INDEX('Dados'!$I$258:$I$277,3)</f>
        <v/>
      </c>
    </row>
    <row r="12">
      <c r="A12" s="65">
        <f>INDEX('Dados'!$A$258:$A$277,4)</f>
        <v/>
      </c>
      <c r="B12" s="66">
        <f>INDEX('Dados'!$B$258:$B$277,4)</f>
        <v/>
      </c>
      <c r="C12" s="66">
        <f>INDEX('Dados'!$C$258:$C$277,4)</f>
        <v/>
      </c>
      <c r="D12" s="66">
        <f>INDEX('Dados'!$D$258:$D$277,4)</f>
        <v/>
      </c>
      <c r="E12" s="66">
        <f>INDEX('Dados'!$E$258:$E$277,4)</f>
        <v/>
      </c>
      <c r="F12" s="66">
        <f>INDEX('Dados'!$F$258:$F$277,4)</f>
        <v/>
      </c>
      <c r="G12" s="66">
        <f>INDEX('Dados'!$G$258:$G$277,4)</f>
        <v/>
      </c>
      <c r="H12" s="66">
        <f>INDEX('Dados'!$H$258:$H$277,4)</f>
        <v/>
      </c>
      <c r="I12" s="66">
        <f>INDEX('Dados'!$I$258:$I$277,4)</f>
        <v/>
      </c>
    </row>
    <row r="13">
      <c r="A13" s="31">
        <f>INDEX('Dados'!$A$258:$A$277,5)</f>
        <v/>
      </c>
      <c r="B13" s="64">
        <f>INDEX('Dados'!$B$258:$B$277,5)</f>
        <v/>
      </c>
      <c r="C13" s="64">
        <f>INDEX('Dados'!$C$258:$C$277,5)</f>
        <v/>
      </c>
      <c r="D13" s="64">
        <f>INDEX('Dados'!$D$258:$D$277,5)</f>
        <v/>
      </c>
      <c r="E13" s="64">
        <f>INDEX('Dados'!$E$258:$E$277,5)</f>
        <v/>
      </c>
      <c r="F13" s="64">
        <f>INDEX('Dados'!$F$258:$F$277,5)</f>
        <v/>
      </c>
      <c r="G13" s="64">
        <f>INDEX('Dados'!$G$258:$G$277,5)</f>
        <v/>
      </c>
      <c r="H13" s="64">
        <f>INDEX('Dados'!$H$258:$H$277,5)</f>
        <v/>
      </c>
      <c r="I13" s="64">
        <f>INDEX('Dados'!$I$258:$I$277,5)</f>
        <v/>
      </c>
    </row>
    <row r="14">
      <c r="A14" s="65">
        <f>INDEX('Dados'!$A$258:$A$277,6)</f>
        <v/>
      </c>
      <c r="B14" s="66">
        <f>INDEX('Dados'!$B$258:$B$277,6)</f>
        <v/>
      </c>
      <c r="C14" s="66">
        <f>INDEX('Dados'!$C$258:$C$277,6)</f>
        <v/>
      </c>
      <c r="D14" s="66">
        <f>INDEX('Dados'!$D$258:$D$277,6)</f>
        <v/>
      </c>
      <c r="E14" s="66">
        <f>INDEX('Dados'!$E$258:$E$277,6)</f>
        <v/>
      </c>
      <c r="F14" s="66">
        <f>INDEX('Dados'!$F$258:$F$277,6)</f>
        <v/>
      </c>
      <c r="G14" s="66">
        <f>INDEX('Dados'!$G$258:$G$277,6)</f>
        <v/>
      </c>
      <c r="H14" s="66">
        <f>INDEX('Dados'!$H$258:$H$277,6)</f>
        <v/>
      </c>
      <c r="I14" s="66">
        <f>INDEX('Dados'!$I$258:$I$277,6)</f>
        <v/>
      </c>
    </row>
    <row r="15">
      <c r="A15" s="31">
        <f>INDEX('Dados'!$A$258:$A$277,7)</f>
        <v/>
      </c>
      <c r="B15" s="64">
        <f>INDEX('Dados'!$B$258:$B$277,7)</f>
        <v/>
      </c>
      <c r="C15" s="64">
        <f>INDEX('Dados'!$C$258:$C$277,7)</f>
        <v/>
      </c>
      <c r="D15" s="64">
        <f>INDEX('Dados'!$D$258:$D$277,7)</f>
        <v/>
      </c>
      <c r="E15" s="64">
        <f>INDEX('Dados'!$E$258:$E$277,7)</f>
        <v/>
      </c>
      <c r="F15" s="64">
        <f>INDEX('Dados'!$F$258:$F$277,7)</f>
        <v/>
      </c>
      <c r="G15" s="64">
        <f>INDEX('Dados'!$G$258:$G$277,7)</f>
        <v/>
      </c>
      <c r="H15" s="64">
        <f>INDEX('Dados'!$H$258:$H$277,7)</f>
        <v/>
      </c>
      <c r="I15" s="64">
        <f>INDEX('Dados'!$I$258:$I$277,7)</f>
        <v/>
      </c>
    </row>
    <row r="16">
      <c r="A16" s="65">
        <f>INDEX('Dados'!$A$258:$A$277,8)</f>
        <v/>
      </c>
      <c r="B16" s="66">
        <f>INDEX('Dados'!$B$258:$B$277,8)</f>
        <v/>
      </c>
      <c r="C16" s="66">
        <f>INDEX('Dados'!$C$258:$C$277,8)</f>
        <v/>
      </c>
      <c r="D16" s="66">
        <f>INDEX('Dados'!$D$258:$D$277,8)</f>
        <v/>
      </c>
      <c r="E16" s="66">
        <f>INDEX('Dados'!$E$258:$E$277,8)</f>
        <v/>
      </c>
      <c r="F16" s="66">
        <f>INDEX('Dados'!$F$258:$F$277,8)</f>
        <v/>
      </c>
      <c r="G16" s="66">
        <f>INDEX('Dados'!$G$258:$G$277,8)</f>
        <v/>
      </c>
      <c r="H16" s="66">
        <f>INDEX('Dados'!$H$258:$H$277,8)</f>
        <v/>
      </c>
      <c r="I16" s="66">
        <f>INDEX('Dados'!$I$258:$I$277,8)</f>
        <v/>
      </c>
    </row>
    <row r="17">
      <c r="A17" s="31">
        <f>INDEX('Dados'!$A$258:$A$277,9)</f>
        <v/>
      </c>
      <c r="B17" s="64">
        <f>INDEX('Dados'!$B$258:$B$277,9)</f>
        <v/>
      </c>
      <c r="C17" s="64">
        <f>INDEX('Dados'!$C$258:$C$277,9)</f>
        <v/>
      </c>
      <c r="D17" s="64">
        <f>INDEX('Dados'!$D$258:$D$277,9)</f>
        <v/>
      </c>
      <c r="E17" s="64">
        <f>INDEX('Dados'!$E$258:$E$277,9)</f>
        <v/>
      </c>
      <c r="F17" s="64">
        <f>INDEX('Dados'!$F$258:$F$277,9)</f>
        <v/>
      </c>
      <c r="G17" s="64">
        <f>INDEX('Dados'!$G$258:$G$277,9)</f>
        <v/>
      </c>
      <c r="H17" s="64">
        <f>INDEX('Dados'!$H$258:$H$277,9)</f>
        <v/>
      </c>
      <c r="I17" s="64">
        <f>INDEX('Dados'!$I$258:$I$277,9)</f>
        <v/>
      </c>
    </row>
    <row r="18">
      <c r="A18" s="65">
        <f>INDEX('Dados'!$A$258:$A$277,10)</f>
        <v/>
      </c>
      <c r="B18" s="66">
        <f>INDEX('Dados'!$B$258:$B$277,10)</f>
        <v/>
      </c>
      <c r="C18" s="66">
        <f>INDEX('Dados'!$C$258:$C$277,10)</f>
        <v/>
      </c>
      <c r="D18" s="66">
        <f>INDEX('Dados'!$D$258:$D$277,10)</f>
        <v/>
      </c>
      <c r="E18" s="66">
        <f>INDEX('Dados'!$E$258:$E$277,10)</f>
        <v/>
      </c>
      <c r="F18" s="66">
        <f>INDEX('Dados'!$F$258:$F$277,10)</f>
        <v/>
      </c>
      <c r="G18" s="66">
        <f>INDEX('Dados'!$G$258:$G$277,10)</f>
        <v/>
      </c>
      <c r="H18" s="66">
        <f>INDEX('Dados'!$H$258:$H$277,10)</f>
        <v/>
      </c>
      <c r="I18" s="66">
        <f>INDEX('Dados'!$I$258:$I$277,10)</f>
        <v/>
      </c>
    </row>
    <row r="19" ht="26" customHeight="1">
      <c r="A19" s="30" t="inlineStr">
        <is>
          <t>Nível (11 a 20)</t>
        </is>
      </c>
      <c r="B19" s="30" t="inlineStr">
        <is>
          <t>Eficiência</t>
        </is>
      </c>
      <c r="C19" s="30" t="inlineStr">
        <is>
          <t>Eficácia: slots em Perícias</t>
        </is>
      </c>
      <c r="D19" s="30" t="inlineStr">
        <is>
          <t>Eficácia: slots em Testes de Resistência</t>
        </is>
      </c>
      <c r="E19" s="30" t="inlineStr">
        <is>
          <t>Bênçãos</t>
        </is>
      </c>
      <c r="F19" s="30" t="inlineStr">
        <is>
          <t>Habilidades conhecidas</t>
        </is>
      </c>
      <c r="G19" s="30" t="inlineStr">
        <is>
          <t>Reescreve 1 por nível</t>
        </is>
      </c>
      <c r="H19" s="30" t="inlineStr">
        <is>
          <t>Nível máx. de Habilidade</t>
        </is>
      </c>
      <c r="I19" s="30" t="inlineStr">
        <is>
          <t>Aumento de Atributo</t>
        </is>
      </c>
    </row>
    <row r="20">
      <c r="A20" s="31">
        <f>INDEX('Dados'!$A$258:$A$277,11)</f>
        <v/>
      </c>
      <c r="B20" s="64">
        <f>INDEX('Dados'!$B$258:$B$277,11)</f>
        <v/>
      </c>
      <c r="C20" s="64">
        <f>INDEX('Dados'!$C$258:$C$277,11)</f>
        <v/>
      </c>
      <c r="D20" s="64">
        <f>INDEX('Dados'!$D$258:$D$277,11)</f>
        <v/>
      </c>
      <c r="E20" s="64">
        <f>INDEX('Dados'!$E$258:$E$277,11)</f>
        <v/>
      </c>
      <c r="F20" s="64">
        <f>INDEX('Dados'!$F$258:$F$277,11)</f>
        <v/>
      </c>
      <c r="G20" s="64">
        <f>INDEX('Dados'!$G$258:$G$277,11)</f>
        <v/>
      </c>
      <c r="H20" s="64">
        <f>INDEX('Dados'!$H$258:$H$277,11)</f>
        <v/>
      </c>
      <c r="I20" s="64">
        <f>INDEX('Dados'!$I$258:$I$277,11)</f>
        <v/>
      </c>
    </row>
    <row r="21">
      <c r="A21" s="65">
        <f>INDEX('Dados'!$A$258:$A$277,12)</f>
        <v/>
      </c>
      <c r="B21" s="66">
        <f>INDEX('Dados'!$B$258:$B$277,12)</f>
        <v/>
      </c>
      <c r="C21" s="66">
        <f>INDEX('Dados'!$C$258:$C$277,12)</f>
        <v/>
      </c>
      <c r="D21" s="66">
        <f>INDEX('Dados'!$D$258:$D$277,12)</f>
        <v/>
      </c>
      <c r="E21" s="66">
        <f>INDEX('Dados'!$E$258:$E$277,12)</f>
        <v/>
      </c>
      <c r="F21" s="66">
        <f>INDEX('Dados'!$F$258:$F$277,12)</f>
        <v/>
      </c>
      <c r="G21" s="66">
        <f>INDEX('Dados'!$G$258:$G$277,12)</f>
        <v/>
      </c>
      <c r="H21" s="66">
        <f>INDEX('Dados'!$H$258:$H$277,12)</f>
        <v/>
      </c>
      <c r="I21" s="66">
        <f>INDEX('Dados'!$I$258:$I$277,12)</f>
        <v/>
      </c>
    </row>
    <row r="22">
      <c r="A22" s="31">
        <f>INDEX('Dados'!$A$258:$A$277,13)</f>
        <v/>
      </c>
      <c r="B22" s="64">
        <f>INDEX('Dados'!$B$258:$B$277,13)</f>
        <v/>
      </c>
      <c r="C22" s="64">
        <f>INDEX('Dados'!$C$258:$C$277,13)</f>
        <v/>
      </c>
      <c r="D22" s="64">
        <f>INDEX('Dados'!$D$258:$D$277,13)</f>
        <v/>
      </c>
      <c r="E22" s="64">
        <f>INDEX('Dados'!$E$258:$E$277,13)</f>
        <v/>
      </c>
      <c r="F22" s="64">
        <f>INDEX('Dados'!$F$258:$F$277,13)</f>
        <v/>
      </c>
      <c r="G22" s="64">
        <f>INDEX('Dados'!$G$258:$G$277,13)</f>
        <v/>
      </c>
      <c r="H22" s="64">
        <f>INDEX('Dados'!$H$258:$H$277,13)</f>
        <v/>
      </c>
      <c r="I22" s="64">
        <f>INDEX('Dados'!$I$258:$I$277,13)</f>
        <v/>
      </c>
    </row>
    <row r="23">
      <c r="A23" s="65">
        <f>INDEX('Dados'!$A$258:$A$277,14)</f>
        <v/>
      </c>
      <c r="B23" s="66">
        <f>INDEX('Dados'!$B$258:$B$277,14)</f>
        <v/>
      </c>
      <c r="C23" s="66">
        <f>INDEX('Dados'!$C$258:$C$277,14)</f>
        <v/>
      </c>
      <c r="D23" s="66">
        <f>INDEX('Dados'!$D$258:$D$277,14)</f>
        <v/>
      </c>
      <c r="E23" s="66">
        <f>INDEX('Dados'!$E$258:$E$277,14)</f>
        <v/>
      </c>
      <c r="F23" s="66">
        <f>INDEX('Dados'!$F$258:$F$277,14)</f>
        <v/>
      </c>
      <c r="G23" s="66">
        <f>INDEX('Dados'!$G$258:$G$277,14)</f>
        <v/>
      </c>
      <c r="H23" s="66">
        <f>INDEX('Dados'!$H$258:$H$277,14)</f>
        <v/>
      </c>
      <c r="I23" s="66">
        <f>INDEX('Dados'!$I$258:$I$277,14)</f>
        <v/>
      </c>
    </row>
    <row r="24">
      <c r="A24" s="31">
        <f>INDEX('Dados'!$A$258:$A$277,15)</f>
        <v/>
      </c>
      <c r="B24" s="64">
        <f>INDEX('Dados'!$B$258:$B$277,15)</f>
        <v/>
      </c>
      <c r="C24" s="64">
        <f>INDEX('Dados'!$C$258:$C$277,15)</f>
        <v/>
      </c>
      <c r="D24" s="64">
        <f>INDEX('Dados'!$D$258:$D$277,15)</f>
        <v/>
      </c>
      <c r="E24" s="64">
        <f>INDEX('Dados'!$E$258:$E$277,15)</f>
        <v/>
      </c>
      <c r="F24" s="64">
        <f>INDEX('Dados'!$F$258:$F$277,15)</f>
        <v/>
      </c>
      <c r="G24" s="64">
        <f>INDEX('Dados'!$G$258:$G$277,15)</f>
        <v/>
      </c>
      <c r="H24" s="64">
        <f>INDEX('Dados'!$H$258:$H$277,15)</f>
        <v/>
      </c>
      <c r="I24" s="64">
        <f>INDEX('Dados'!$I$258:$I$277,15)</f>
        <v/>
      </c>
    </row>
    <row r="25">
      <c r="A25" s="65">
        <f>INDEX('Dados'!$A$258:$A$277,16)</f>
        <v/>
      </c>
      <c r="B25" s="66">
        <f>INDEX('Dados'!$B$258:$B$277,16)</f>
        <v/>
      </c>
      <c r="C25" s="66">
        <f>INDEX('Dados'!$C$258:$C$277,16)</f>
        <v/>
      </c>
      <c r="D25" s="66">
        <f>INDEX('Dados'!$D$258:$D$277,16)</f>
        <v/>
      </c>
      <c r="E25" s="66">
        <f>INDEX('Dados'!$E$258:$E$277,16)</f>
        <v/>
      </c>
      <c r="F25" s="66">
        <f>INDEX('Dados'!$F$258:$F$277,16)</f>
        <v/>
      </c>
      <c r="G25" s="66">
        <f>INDEX('Dados'!$G$258:$G$277,16)</f>
        <v/>
      </c>
      <c r="H25" s="66">
        <f>INDEX('Dados'!$H$258:$H$277,16)</f>
        <v/>
      </c>
      <c r="I25" s="66">
        <f>INDEX('Dados'!$I$258:$I$277,16)</f>
        <v/>
      </c>
    </row>
    <row r="26">
      <c r="A26" s="31">
        <f>INDEX('Dados'!$A$258:$A$277,17)</f>
        <v/>
      </c>
      <c r="B26" s="64">
        <f>INDEX('Dados'!$B$258:$B$277,17)</f>
        <v/>
      </c>
      <c r="C26" s="64">
        <f>INDEX('Dados'!$C$258:$C$277,17)</f>
        <v/>
      </c>
      <c r="D26" s="64">
        <f>INDEX('Dados'!$D$258:$D$277,17)</f>
        <v/>
      </c>
      <c r="E26" s="64">
        <f>INDEX('Dados'!$E$258:$E$277,17)</f>
        <v/>
      </c>
      <c r="F26" s="64">
        <f>INDEX('Dados'!$F$258:$F$277,17)</f>
        <v/>
      </c>
      <c r="G26" s="64">
        <f>INDEX('Dados'!$G$258:$G$277,17)</f>
        <v/>
      </c>
      <c r="H26" s="64">
        <f>INDEX('Dados'!$H$258:$H$277,17)</f>
        <v/>
      </c>
      <c r="I26" s="64">
        <f>INDEX('Dados'!$I$258:$I$277,17)</f>
        <v/>
      </c>
    </row>
    <row r="27">
      <c r="A27" s="65">
        <f>INDEX('Dados'!$A$258:$A$277,18)</f>
        <v/>
      </c>
      <c r="B27" s="66">
        <f>INDEX('Dados'!$B$258:$B$277,18)</f>
        <v/>
      </c>
      <c r="C27" s="66">
        <f>INDEX('Dados'!$C$258:$C$277,18)</f>
        <v/>
      </c>
      <c r="D27" s="66">
        <f>INDEX('Dados'!$D$258:$D$277,18)</f>
        <v/>
      </c>
      <c r="E27" s="66">
        <f>INDEX('Dados'!$E$258:$E$277,18)</f>
        <v/>
      </c>
      <c r="F27" s="66">
        <f>INDEX('Dados'!$F$258:$F$277,18)</f>
        <v/>
      </c>
      <c r="G27" s="66">
        <f>INDEX('Dados'!$G$258:$G$277,18)</f>
        <v/>
      </c>
      <c r="H27" s="66">
        <f>INDEX('Dados'!$H$258:$H$277,18)</f>
        <v/>
      </c>
      <c r="I27" s="66">
        <f>INDEX('Dados'!$I$258:$I$277,18)</f>
        <v/>
      </c>
    </row>
    <row r="28">
      <c r="A28" s="31">
        <f>INDEX('Dados'!$A$258:$A$277,19)</f>
        <v/>
      </c>
      <c r="B28" s="64">
        <f>INDEX('Dados'!$B$258:$B$277,19)</f>
        <v/>
      </c>
      <c r="C28" s="64">
        <f>INDEX('Dados'!$C$258:$C$277,19)</f>
        <v/>
      </c>
      <c r="D28" s="64">
        <f>INDEX('Dados'!$D$258:$D$277,19)</f>
        <v/>
      </c>
      <c r="E28" s="64">
        <f>INDEX('Dados'!$E$258:$E$277,19)</f>
        <v/>
      </c>
      <c r="F28" s="64">
        <f>INDEX('Dados'!$F$258:$F$277,19)</f>
        <v/>
      </c>
      <c r="G28" s="64">
        <f>INDEX('Dados'!$G$258:$G$277,19)</f>
        <v/>
      </c>
      <c r="H28" s="64">
        <f>INDEX('Dados'!$H$258:$H$277,19)</f>
        <v/>
      </c>
      <c r="I28" s="64">
        <f>INDEX('Dados'!$I$258:$I$277,19)</f>
        <v/>
      </c>
    </row>
    <row r="29">
      <c r="A29" s="65">
        <f>INDEX('Dados'!$A$258:$A$277,20)</f>
        <v/>
      </c>
      <c r="B29" s="66">
        <f>INDEX('Dados'!$B$258:$B$277,20)</f>
        <v/>
      </c>
      <c r="C29" s="66">
        <f>INDEX('Dados'!$C$258:$C$277,20)</f>
        <v/>
      </c>
      <c r="D29" s="66">
        <f>INDEX('Dados'!$D$258:$D$277,20)</f>
        <v/>
      </c>
      <c r="E29" s="66">
        <f>INDEX('Dados'!$E$258:$E$277,20)</f>
        <v/>
      </c>
      <c r="F29" s="66">
        <f>INDEX('Dados'!$F$258:$F$277,20)</f>
        <v/>
      </c>
      <c r="G29" s="66">
        <f>INDEX('Dados'!$G$258:$G$277,20)</f>
        <v/>
      </c>
      <c r="H29" s="66">
        <f>INDEX('Dados'!$H$258:$H$277,20)</f>
        <v/>
      </c>
      <c r="I29" s="66">
        <f>INDEX('Dados'!$I$258:$I$277,20)</f>
        <v/>
      </c>
    </row>
    <row r="30"/>
    <row r="31">
      <c r="A31" s="14" t="inlineStr">
        <is>
          <t>Tabela mestra (continuação) — 26.2, PH do grupo 16.2, Ultimate 17.3, Cone de Luz e Relíquias 25.1</t>
        </is>
      </c>
    </row>
    <row r="32" ht="26" customHeight="1">
      <c r="A32" s="30" t="inlineStr">
        <is>
          <t>Nível (1 a 10)</t>
        </is>
      </c>
      <c r="B32" s="30" t="inlineStr">
        <is>
          <t>Dados de Ataque Básico</t>
        </is>
      </c>
      <c r="C32" s="30" t="inlineStr">
        <is>
          <t>Especialização de Combate</t>
        </is>
      </c>
      <c r="D32" s="30" t="inlineStr">
        <is>
          <t>Teto de RD</t>
        </is>
      </c>
      <c r="E32" s="30" t="inlineStr">
        <is>
          <t>PH do grupo: máximo</t>
        </is>
      </c>
      <c r="F32" s="30" t="inlineStr">
        <is>
          <t>PH do grupo: início</t>
        </is>
      </c>
      <c r="G32" s="30" t="inlineStr">
        <is>
          <t>Ultimate: Nível equivalente</t>
        </is>
      </c>
      <c r="H32" s="30" t="inlineStr">
        <is>
          <t>Cone de Luz máximo</t>
        </is>
      </c>
      <c r="I32" s="30" t="inlineStr">
        <is>
          <t>Tier de Relíquia</t>
        </is>
      </c>
    </row>
    <row r="33">
      <c r="A33" s="31">
        <f>INDEX('Dados'!$A$258:$A$277,1)</f>
        <v/>
      </c>
      <c r="B33" s="64">
        <f>INDEX('Dados'!$J$258:$J$277,1)</f>
        <v/>
      </c>
      <c r="C33" s="64">
        <f>INDEX('Dados'!$K$258:$K$277,1)</f>
        <v/>
      </c>
      <c r="D33" s="64">
        <f>INDEX('Dados'!$L$258:$L$277,1)</f>
        <v/>
      </c>
      <c r="E33" s="64">
        <f>1+$E$5+IF($A33&gt;=17,2,IF($A33&gt;=9,1,0))</f>
        <v/>
      </c>
      <c r="F33" s="64">
        <f>$E$33-2</f>
        <v/>
      </c>
      <c r="G33" s="64">
        <f>INDEX('Dados'!$B$326:$B$330,INT(($A33-1)/4)+1)</f>
        <v/>
      </c>
      <c r="H33" s="64">
        <f>"Nível "&amp;(INT(($A33-1)/4)+1)</f>
        <v/>
      </c>
      <c r="I33" s="64">
        <f>CHOOSE(IF($A33&lt;=6,1,IF($A33&lt;=12,2,IF($A33&lt;=17,3,4))),"I","II","III","IV")</f>
        <v/>
      </c>
    </row>
    <row r="34">
      <c r="A34" s="65">
        <f>INDEX('Dados'!$A$258:$A$277,2)</f>
        <v/>
      </c>
      <c r="B34" s="66">
        <f>INDEX('Dados'!$J$258:$J$277,2)</f>
        <v/>
      </c>
      <c r="C34" s="66">
        <f>INDEX('Dados'!$K$258:$K$277,2)</f>
        <v/>
      </c>
      <c r="D34" s="66">
        <f>INDEX('Dados'!$L$258:$L$277,2)</f>
        <v/>
      </c>
      <c r="E34" s="66">
        <f>1+$E$5+IF($A34&gt;=17,2,IF($A34&gt;=9,1,0))</f>
        <v/>
      </c>
      <c r="F34" s="66">
        <f>$E$34-2</f>
        <v/>
      </c>
      <c r="G34" s="66">
        <f>INDEX('Dados'!$B$326:$B$330,INT(($A34-1)/4)+1)</f>
        <v/>
      </c>
      <c r="H34" s="66">
        <f>"Nível "&amp;(INT(($A34-1)/4)+1)</f>
        <v/>
      </c>
      <c r="I34" s="66">
        <f>CHOOSE(IF($A34&lt;=6,1,IF($A34&lt;=12,2,IF($A34&lt;=17,3,4))),"I","II","III","IV")</f>
        <v/>
      </c>
    </row>
    <row r="35">
      <c r="A35" s="31">
        <f>INDEX('Dados'!$A$258:$A$277,3)</f>
        <v/>
      </c>
      <c r="B35" s="64">
        <f>INDEX('Dados'!$J$258:$J$277,3)</f>
        <v/>
      </c>
      <c r="C35" s="64">
        <f>INDEX('Dados'!$K$258:$K$277,3)</f>
        <v/>
      </c>
      <c r="D35" s="64">
        <f>INDEX('Dados'!$L$258:$L$277,3)</f>
        <v/>
      </c>
      <c r="E35" s="64">
        <f>1+$E$5+IF($A35&gt;=17,2,IF($A35&gt;=9,1,0))</f>
        <v/>
      </c>
      <c r="F35" s="64">
        <f>$E$35-2</f>
        <v/>
      </c>
      <c r="G35" s="64">
        <f>INDEX('Dados'!$B$326:$B$330,INT(($A35-1)/4)+1)</f>
        <v/>
      </c>
      <c r="H35" s="64">
        <f>"Nível "&amp;(INT(($A35-1)/4)+1)</f>
        <v/>
      </c>
      <c r="I35" s="64">
        <f>CHOOSE(IF($A35&lt;=6,1,IF($A35&lt;=12,2,IF($A35&lt;=17,3,4))),"I","II","III","IV")</f>
        <v/>
      </c>
    </row>
    <row r="36">
      <c r="A36" s="65">
        <f>INDEX('Dados'!$A$258:$A$277,4)</f>
        <v/>
      </c>
      <c r="B36" s="66">
        <f>INDEX('Dados'!$J$258:$J$277,4)</f>
        <v/>
      </c>
      <c r="C36" s="66">
        <f>INDEX('Dados'!$K$258:$K$277,4)</f>
        <v/>
      </c>
      <c r="D36" s="66">
        <f>INDEX('Dados'!$L$258:$L$277,4)</f>
        <v/>
      </c>
      <c r="E36" s="66">
        <f>1+$E$5+IF($A36&gt;=17,2,IF($A36&gt;=9,1,0))</f>
        <v/>
      </c>
      <c r="F36" s="66">
        <f>$E$36-2</f>
        <v/>
      </c>
      <c r="G36" s="66">
        <f>INDEX('Dados'!$B$326:$B$330,INT(($A36-1)/4)+1)</f>
        <v/>
      </c>
      <c r="H36" s="66">
        <f>"Nível "&amp;(INT(($A36-1)/4)+1)</f>
        <v/>
      </c>
      <c r="I36" s="66">
        <f>CHOOSE(IF($A36&lt;=6,1,IF($A36&lt;=12,2,IF($A36&lt;=17,3,4))),"I","II","III","IV")</f>
        <v/>
      </c>
    </row>
    <row r="37">
      <c r="A37" s="31">
        <f>INDEX('Dados'!$A$258:$A$277,5)</f>
        <v/>
      </c>
      <c r="B37" s="64">
        <f>INDEX('Dados'!$J$258:$J$277,5)</f>
        <v/>
      </c>
      <c r="C37" s="64">
        <f>INDEX('Dados'!$K$258:$K$277,5)</f>
        <v/>
      </c>
      <c r="D37" s="64">
        <f>INDEX('Dados'!$L$258:$L$277,5)</f>
        <v/>
      </c>
      <c r="E37" s="64">
        <f>1+$E$5+IF($A37&gt;=17,2,IF($A37&gt;=9,1,0))</f>
        <v/>
      </c>
      <c r="F37" s="64">
        <f>$E$37-2</f>
        <v/>
      </c>
      <c r="G37" s="64">
        <f>INDEX('Dados'!$B$326:$B$330,INT(($A37-1)/4)+1)</f>
        <v/>
      </c>
      <c r="H37" s="64">
        <f>"Nível "&amp;(INT(($A37-1)/4)+1)</f>
        <v/>
      </c>
      <c r="I37" s="64">
        <f>CHOOSE(IF($A37&lt;=6,1,IF($A37&lt;=12,2,IF($A37&lt;=17,3,4))),"I","II","III","IV")</f>
        <v/>
      </c>
    </row>
    <row r="38">
      <c r="A38" s="65">
        <f>INDEX('Dados'!$A$258:$A$277,6)</f>
        <v/>
      </c>
      <c r="B38" s="66">
        <f>INDEX('Dados'!$J$258:$J$277,6)</f>
        <v/>
      </c>
      <c r="C38" s="66">
        <f>INDEX('Dados'!$K$258:$K$277,6)</f>
        <v/>
      </c>
      <c r="D38" s="66">
        <f>INDEX('Dados'!$L$258:$L$277,6)</f>
        <v/>
      </c>
      <c r="E38" s="66">
        <f>1+$E$5+IF($A38&gt;=17,2,IF($A38&gt;=9,1,0))</f>
        <v/>
      </c>
      <c r="F38" s="66">
        <f>$E$38-2</f>
        <v/>
      </c>
      <c r="G38" s="66">
        <f>INDEX('Dados'!$B$326:$B$330,INT(($A38-1)/4)+1)</f>
        <v/>
      </c>
      <c r="H38" s="66">
        <f>"Nível "&amp;(INT(($A38-1)/4)+1)</f>
        <v/>
      </c>
      <c r="I38" s="66">
        <f>CHOOSE(IF($A38&lt;=6,1,IF($A38&lt;=12,2,IF($A38&lt;=17,3,4))),"I","II","III","IV")</f>
        <v/>
      </c>
    </row>
    <row r="39">
      <c r="A39" s="31">
        <f>INDEX('Dados'!$A$258:$A$277,7)</f>
        <v/>
      </c>
      <c r="B39" s="64">
        <f>INDEX('Dados'!$J$258:$J$277,7)</f>
        <v/>
      </c>
      <c r="C39" s="64">
        <f>INDEX('Dados'!$K$258:$K$277,7)</f>
        <v/>
      </c>
      <c r="D39" s="64">
        <f>INDEX('Dados'!$L$258:$L$277,7)</f>
        <v/>
      </c>
      <c r="E39" s="64">
        <f>1+$E$5+IF($A39&gt;=17,2,IF($A39&gt;=9,1,0))</f>
        <v/>
      </c>
      <c r="F39" s="64">
        <f>$E$39-2</f>
        <v/>
      </c>
      <c r="G39" s="64">
        <f>INDEX('Dados'!$B$326:$B$330,INT(($A39-1)/4)+1)</f>
        <v/>
      </c>
      <c r="H39" s="64">
        <f>"Nível "&amp;(INT(($A39-1)/4)+1)</f>
        <v/>
      </c>
      <c r="I39" s="64">
        <f>CHOOSE(IF($A39&lt;=6,1,IF($A39&lt;=12,2,IF($A39&lt;=17,3,4))),"I","II","III","IV")</f>
        <v/>
      </c>
    </row>
    <row r="40">
      <c r="A40" s="65">
        <f>INDEX('Dados'!$A$258:$A$277,8)</f>
        <v/>
      </c>
      <c r="B40" s="66">
        <f>INDEX('Dados'!$J$258:$J$277,8)</f>
        <v/>
      </c>
      <c r="C40" s="66">
        <f>INDEX('Dados'!$K$258:$K$277,8)</f>
        <v/>
      </c>
      <c r="D40" s="66">
        <f>INDEX('Dados'!$L$258:$L$277,8)</f>
        <v/>
      </c>
      <c r="E40" s="66">
        <f>1+$E$5+IF($A40&gt;=17,2,IF($A40&gt;=9,1,0))</f>
        <v/>
      </c>
      <c r="F40" s="66">
        <f>$E$40-2</f>
        <v/>
      </c>
      <c r="G40" s="66">
        <f>INDEX('Dados'!$B$326:$B$330,INT(($A40-1)/4)+1)</f>
        <v/>
      </c>
      <c r="H40" s="66">
        <f>"Nível "&amp;(INT(($A40-1)/4)+1)</f>
        <v/>
      </c>
      <c r="I40" s="66">
        <f>CHOOSE(IF($A40&lt;=6,1,IF($A40&lt;=12,2,IF($A40&lt;=17,3,4))),"I","II","III","IV")</f>
        <v/>
      </c>
    </row>
    <row r="41">
      <c r="A41" s="31">
        <f>INDEX('Dados'!$A$258:$A$277,9)</f>
        <v/>
      </c>
      <c r="B41" s="64">
        <f>INDEX('Dados'!$J$258:$J$277,9)</f>
        <v/>
      </c>
      <c r="C41" s="64">
        <f>INDEX('Dados'!$K$258:$K$277,9)</f>
        <v/>
      </c>
      <c r="D41" s="64">
        <f>INDEX('Dados'!$L$258:$L$277,9)</f>
        <v/>
      </c>
      <c r="E41" s="64">
        <f>1+$E$5+IF($A41&gt;=17,2,IF($A41&gt;=9,1,0))</f>
        <v/>
      </c>
      <c r="F41" s="64">
        <f>$E$41-2</f>
        <v/>
      </c>
      <c r="G41" s="64">
        <f>INDEX('Dados'!$B$326:$B$330,INT(($A41-1)/4)+1)</f>
        <v/>
      </c>
      <c r="H41" s="64">
        <f>"Nível "&amp;(INT(($A41-1)/4)+1)</f>
        <v/>
      </c>
      <c r="I41" s="64">
        <f>CHOOSE(IF($A41&lt;=6,1,IF($A41&lt;=12,2,IF($A41&lt;=17,3,4))),"I","II","III","IV")</f>
        <v/>
      </c>
    </row>
    <row r="42">
      <c r="A42" s="65">
        <f>INDEX('Dados'!$A$258:$A$277,10)</f>
        <v/>
      </c>
      <c r="B42" s="66">
        <f>INDEX('Dados'!$J$258:$J$277,10)</f>
        <v/>
      </c>
      <c r="C42" s="66">
        <f>INDEX('Dados'!$K$258:$K$277,10)</f>
        <v/>
      </c>
      <c r="D42" s="66">
        <f>INDEX('Dados'!$L$258:$L$277,10)</f>
        <v/>
      </c>
      <c r="E42" s="66">
        <f>1+$E$5+IF($A42&gt;=17,2,IF($A42&gt;=9,1,0))</f>
        <v/>
      </c>
      <c r="F42" s="66">
        <f>$E$42-2</f>
        <v/>
      </c>
      <c r="G42" s="66">
        <f>INDEX('Dados'!$B$326:$B$330,INT(($A42-1)/4)+1)</f>
        <v/>
      </c>
      <c r="H42" s="66">
        <f>"Nível "&amp;(INT(($A42-1)/4)+1)</f>
        <v/>
      </c>
      <c r="I42" s="66">
        <f>CHOOSE(IF($A42&lt;=6,1,IF($A42&lt;=12,2,IF($A42&lt;=17,3,4))),"I","II","III","IV")</f>
        <v/>
      </c>
    </row>
    <row r="43" ht="26" customHeight="1">
      <c r="A43" s="30" t="inlineStr">
        <is>
          <t>Nível (11 a 20)</t>
        </is>
      </c>
      <c r="B43" s="30" t="inlineStr">
        <is>
          <t>Dados de Ataque Básico</t>
        </is>
      </c>
      <c r="C43" s="30" t="inlineStr">
        <is>
          <t>Especialização de Combate</t>
        </is>
      </c>
      <c r="D43" s="30" t="inlineStr">
        <is>
          <t>Teto de RD</t>
        </is>
      </c>
      <c r="E43" s="30" t="inlineStr">
        <is>
          <t>PH do grupo: máximo</t>
        </is>
      </c>
      <c r="F43" s="30" t="inlineStr">
        <is>
          <t>PH do grupo: início</t>
        </is>
      </c>
      <c r="G43" s="30" t="inlineStr">
        <is>
          <t>Ultimate: Nível equivalente</t>
        </is>
      </c>
      <c r="H43" s="30" t="inlineStr">
        <is>
          <t>Cone de Luz máximo</t>
        </is>
      </c>
      <c r="I43" s="30" t="inlineStr">
        <is>
          <t>Tier de Relíquia</t>
        </is>
      </c>
    </row>
    <row r="44">
      <c r="A44" s="31">
        <f>INDEX('Dados'!$A$258:$A$277,11)</f>
        <v/>
      </c>
      <c r="B44" s="64">
        <f>INDEX('Dados'!$J$258:$J$277,11)</f>
        <v/>
      </c>
      <c r="C44" s="64">
        <f>INDEX('Dados'!$K$258:$K$277,11)</f>
        <v/>
      </c>
      <c r="D44" s="64">
        <f>INDEX('Dados'!$L$258:$L$277,11)</f>
        <v/>
      </c>
      <c r="E44" s="64">
        <f>1+$E$5+IF($A44&gt;=17,2,IF($A44&gt;=9,1,0))</f>
        <v/>
      </c>
      <c r="F44" s="64">
        <f>$E$44-2</f>
        <v/>
      </c>
      <c r="G44" s="64">
        <f>INDEX('Dados'!$B$326:$B$330,INT(($A44-1)/4)+1)</f>
        <v/>
      </c>
      <c r="H44" s="64">
        <f>"Nível "&amp;(INT(($A44-1)/4)+1)</f>
        <v/>
      </c>
      <c r="I44" s="64">
        <f>CHOOSE(IF($A44&lt;=6,1,IF($A44&lt;=12,2,IF($A44&lt;=17,3,4))),"I","II","III","IV")</f>
        <v/>
      </c>
    </row>
    <row r="45">
      <c r="A45" s="65">
        <f>INDEX('Dados'!$A$258:$A$277,12)</f>
        <v/>
      </c>
      <c r="B45" s="66">
        <f>INDEX('Dados'!$J$258:$J$277,12)</f>
        <v/>
      </c>
      <c r="C45" s="66">
        <f>INDEX('Dados'!$K$258:$K$277,12)</f>
        <v/>
      </c>
      <c r="D45" s="66">
        <f>INDEX('Dados'!$L$258:$L$277,12)</f>
        <v/>
      </c>
      <c r="E45" s="66">
        <f>1+$E$5+IF($A45&gt;=17,2,IF($A45&gt;=9,1,0))</f>
        <v/>
      </c>
      <c r="F45" s="66">
        <f>$E$45-2</f>
        <v/>
      </c>
      <c r="G45" s="66">
        <f>INDEX('Dados'!$B$326:$B$330,INT(($A45-1)/4)+1)</f>
        <v/>
      </c>
      <c r="H45" s="66">
        <f>"Nível "&amp;(INT(($A45-1)/4)+1)</f>
        <v/>
      </c>
      <c r="I45" s="66">
        <f>CHOOSE(IF($A45&lt;=6,1,IF($A45&lt;=12,2,IF($A45&lt;=17,3,4))),"I","II","III","IV")</f>
        <v/>
      </c>
    </row>
    <row r="46">
      <c r="A46" s="31">
        <f>INDEX('Dados'!$A$258:$A$277,13)</f>
        <v/>
      </c>
      <c r="B46" s="64">
        <f>INDEX('Dados'!$J$258:$J$277,13)</f>
        <v/>
      </c>
      <c r="C46" s="64">
        <f>INDEX('Dados'!$K$258:$K$277,13)</f>
        <v/>
      </c>
      <c r="D46" s="64">
        <f>INDEX('Dados'!$L$258:$L$277,13)</f>
        <v/>
      </c>
      <c r="E46" s="64">
        <f>1+$E$5+IF($A46&gt;=17,2,IF($A46&gt;=9,1,0))</f>
        <v/>
      </c>
      <c r="F46" s="64">
        <f>$E$46-2</f>
        <v/>
      </c>
      <c r="G46" s="64">
        <f>INDEX('Dados'!$B$326:$B$330,INT(($A46-1)/4)+1)</f>
        <v/>
      </c>
      <c r="H46" s="64">
        <f>"Nível "&amp;(INT(($A46-1)/4)+1)</f>
        <v/>
      </c>
      <c r="I46" s="64">
        <f>CHOOSE(IF($A46&lt;=6,1,IF($A46&lt;=12,2,IF($A46&lt;=17,3,4))),"I","II","III","IV")</f>
        <v/>
      </c>
    </row>
    <row r="47">
      <c r="A47" s="65">
        <f>INDEX('Dados'!$A$258:$A$277,14)</f>
        <v/>
      </c>
      <c r="B47" s="66">
        <f>INDEX('Dados'!$J$258:$J$277,14)</f>
        <v/>
      </c>
      <c r="C47" s="66">
        <f>INDEX('Dados'!$K$258:$K$277,14)</f>
        <v/>
      </c>
      <c r="D47" s="66">
        <f>INDEX('Dados'!$L$258:$L$277,14)</f>
        <v/>
      </c>
      <c r="E47" s="66">
        <f>1+$E$5+IF($A47&gt;=17,2,IF($A47&gt;=9,1,0))</f>
        <v/>
      </c>
      <c r="F47" s="66">
        <f>$E$47-2</f>
        <v/>
      </c>
      <c r="G47" s="66">
        <f>INDEX('Dados'!$B$326:$B$330,INT(($A47-1)/4)+1)</f>
        <v/>
      </c>
      <c r="H47" s="66">
        <f>"Nível "&amp;(INT(($A47-1)/4)+1)</f>
        <v/>
      </c>
      <c r="I47" s="66">
        <f>CHOOSE(IF($A47&lt;=6,1,IF($A47&lt;=12,2,IF($A47&lt;=17,3,4))),"I","II","III","IV")</f>
        <v/>
      </c>
    </row>
    <row r="48">
      <c r="A48" s="31">
        <f>INDEX('Dados'!$A$258:$A$277,15)</f>
        <v/>
      </c>
      <c r="B48" s="64">
        <f>INDEX('Dados'!$J$258:$J$277,15)</f>
        <v/>
      </c>
      <c r="C48" s="64">
        <f>INDEX('Dados'!$K$258:$K$277,15)</f>
        <v/>
      </c>
      <c r="D48" s="64">
        <f>INDEX('Dados'!$L$258:$L$277,15)</f>
        <v/>
      </c>
      <c r="E48" s="64">
        <f>1+$E$5+IF($A48&gt;=17,2,IF($A48&gt;=9,1,0))</f>
        <v/>
      </c>
      <c r="F48" s="64">
        <f>$E$48-2</f>
        <v/>
      </c>
      <c r="G48" s="64">
        <f>INDEX('Dados'!$B$326:$B$330,INT(($A48-1)/4)+1)</f>
        <v/>
      </c>
      <c r="H48" s="64">
        <f>"Nível "&amp;(INT(($A48-1)/4)+1)</f>
        <v/>
      </c>
      <c r="I48" s="64">
        <f>CHOOSE(IF($A48&lt;=6,1,IF($A48&lt;=12,2,IF($A48&lt;=17,3,4))),"I","II","III","IV")</f>
        <v/>
      </c>
    </row>
    <row r="49">
      <c r="A49" s="65">
        <f>INDEX('Dados'!$A$258:$A$277,16)</f>
        <v/>
      </c>
      <c r="B49" s="66">
        <f>INDEX('Dados'!$J$258:$J$277,16)</f>
        <v/>
      </c>
      <c r="C49" s="66">
        <f>INDEX('Dados'!$K$258:$K$277,16)</f>
        <v/>
      </c>
      <c r="D49" s="66">
        <f>INDEX('Dados'!$L$258:$L$277,16)</f>
        <v/>
      </c>
      <c r="E49" s="66">
        <f>1+$E$5+IF($A49&gt;=17,2,IF($A49&gt;=9,1,0))</f>
        <v/>
      </c>
      <c r="F49" s="66">
        <f>$E$49-2</f>
        <v/>
      </c>
      <c r="G49" s="66">
        <f>INDEX('Dados'!$B$326:$B$330,INT(($A49-1)/4)+1)</f>
        <v/>
      </c>
      <c r="H49" s="66">
        <f>"Nível "&amp;(INT(($A49-1)/4)+1)</f>
        <v/>
      </c>
      <c r="I49" s="66">
        <f>CHOOSE(IF($A49&lt;=6,1,IF($A49&lt;=12,2,IF($A49&lt;=17,3,4))),"I","II","III","IV")</f>
        <v/>
      </c>
    </row>
    <row r="50">
      <c r="A50" s="31">
        <f>INDEX('Dados'!$A$258:$A$277,17)</f>
        <v/>
      </c>
      <c r="B50" s="64">
        <f>INDEX('Dados'!$J$258:$J$277,17)</f>
        <v/>
      </c>
      <c r="C50" s="64">
        <f>INDEX('Dados'!$K$258:$K$277,17)</f>
        <v/>
      </c>
      <c r="D50" s="64">
        <f>INDEX('Dados'!$L$258:$L$277,17)</f>
        <v/>
      </c>
      <c r="E50" s="64">
        <f>1+$E$5+IF($A50&gt;=17,2,IF($A50&gt;=9,1,0))</f>
        <v/>
      </c>
      <c r="F50" s="64">
        <f>$E$50-2</f>
        <v/>
      </c>
      <c r="G50" s="64">
        <f>INDEX('Dados'!$B$326:$B$330,INT(($A50-1)/4)+1)</f>
        <v/>
      </c>
      <c r="H50" s="64">
        <f>"Nível "&amp;(INT(($A50-1)/4)+1)</f>
        <v/>
      </c>
      <c r="I50" s="64">
        <f>CHOOSE(IF($A50&lt;=6,1,IF($A50&lt;=12,2,IF($A50&lt;=17,3,4))),"I","II","III","IV")</f>
        <v/>
      </c>
    </row>
    <row r="51">
      <c r="A51" s="65">
        <f>INDEX('Dados'!$A$258:$A$277,18)</f>
        <v/>
      </c>
      <c r="B51" s="66">
        <f>INDEX('Dados'!$J$258:$J$277,18)</f>
        <v/>
      </c>
      <c r="C51" s="66">
        <f>INDEX('Dados'!$K$258:$K$277,18)</f>
        <v/>
      </c>
      <c r="D51" s="66">
        <f>INDEX('Dados'!$L$258:$L$277,18)</f>
        <v/>
      </c>
      <c r="E51" s="66">
        <f>1+$E$5+IF($A51&gt;=17,2,IF($A51&gt;=9,1,0))</f>
        <v/>
      </c>
      <c r="F51" s="66">
        <f>$E$51-2</f>
        <v/>
      </c>
      <c r="G51" s="66">
        <f>INDEX('Dados'!$B$326:$B$330,INT(($A51-1)/4)+1)</f>
        <v/>
      </c>
      <c r="H51" s="66">
        <f>"Nível "&amp;(INT(($A51-1)/4)+1)</f>
        <v/>
      </c>
      <c r="I51" s="66">
        <f>CHOOSE(IF($A51&lt;=6,1,IF($A51&lt;=12,2,IF($A51&lt;=17,3,4))),"I","II","III","IV")</f>
        <v/>
      </c>
    </row>
    <row r="52">
      <c r="A52" s="31">
        <f>INDEX('Dados'!$A$258:$A$277,19)</f>
        <v/>
      </c>
      <c r="B52" s="64">
        <f>INDEX('Dados'!$J$258:$J$277,19)</f>
        <v/>
      </c>
      <c r="C52" s="64">
        <f>INDEX('Dados'!$K$258:$K$277,19)</f>
        <v/>
      </c>
      <c r="D52" s="64">
        <f>INDEX('Dados'!$L$258:$L$277,19)</f>
        <v/>
      </c>
      <c r="E52" s="64">
        <f>1+$E$5+IF($A52&gt;=17,2,IF($A52&gt;=9,1,0))</f>
        <v/>
      </c>
      <c r="F52" s="64">
        <f>$E$52-2</f>
        <v/>
      </c>
      <c r="G52" s="64">
        <f>INDEX('Dados'!$B$326:$B$330,INT(($A52-1)/4)+1)</f>
        <v/>
      </c>
      <c r="H52" s="64">
        <f>"Nível "&amp;(INT(($A52-1)/4)+1)</f>
        <v/>
      </c>
      <c r="I52" s="64">
        <f>CHOOSE(IF($A52&lt;=6,1,IF($A52&lt;=12,2,IF($A52&lt;=17,3,4))),"I","II","III","IV")</f>
        <v/>
      </c>
    </row>
    <row r="53">
      <c r="A53" s="65">
        <f>INDEX('Dados'!$A$258:$A$277,20)</f>
        <v/>
      </c>
      <c r="B53" s="66">
        <f>INDEX('Dados'!$J$258:$J$277,20)</f>
        <v/>
      </c>
      <c r="C53" s="66">
        <f>INDEX('Dados'!$K$258:$K$277,20)</f>
        <v/>
      </c>
      <c r="D53" s="66">
        <f>INDEX('Dados'!$L$258:$L$277,20)</f>
        <v/>
      </c>
      <c r="E53" s="66">
        <f>1+$E$5+IF($A53&gt;=17,2,IF($A53&gt;=9,1,0))</f>
        <v/>
      </c>
      <c r="F53" s="66">
        <f>$E$53-2</f>
        <v/>
      </c>
      <c r="G53" s="66">
        <f>INDEX('Dados'!$B$326:$B$330,INT(($A53-1)/4)+1)</f>
        <v/>
      </c>
      <c r="H53" s="66">
        <f>"Nível "&amp;(INT(($A53-1)/4)+1)</f>
        <v/>
      </c>
      <c r="I53" s="66">
        <f>CHOOSE(IF($A53&lt;=6,1,IF($A53&lt;=12,2,IF($A53&lt;=17,3,4))),"I","II","III","IV")</f>
        <v/>
      </c>
    </row>
    <row r="54"/>
    <row r="55">
      <c r="A55" s="14" t="inlineStr">
        <is>
          <t>Aumentos de Atributo — níveis 3, 6, 9, 12, 15 e 18 (04.3): +2 em um ou +1 em dois diferentes, teto 20</t>
        </is>
      </c>
    </row>
    <row r="56" ht="26" customHeight="1">
      <c r="A56" s="7" t="inlineStr">
        <is>
          <t>Nível</t>
        </is>
      </c>
      <c r="B56" s="7" t="inlineStr">
        <is>
          <t>Situação</t>
        </is>
      </c>
      <c r="C56" s="7" t="inlineStr">
        <is>
          <t>Modo (preencha)</t>
        </is>
      </c>
      <c r="D56" s="7" t="inlineStr">
        <is>
          <t>Atributo 1 (preencha)</t>
        </is>
      </c>
      <c r="E56" s="7" t="inlineStr">
        <is>
          <t>Atributo 2 (só Dois Atributos)</t>
        </is>
      </c>
      <c r="F56" s="7" t="inlineStr">
        <is>
          <t>Soma no Atributo 1</t>
        </is>
      </c>
      <c r="G56" s="7" t="inlineStr">
        <is>
          <t>Soma no Atributo 2</t>
        </is>
      </c>
      <c r="H56" s="7" t="inlineStr">
        <is>
          <t>Aviso</t>
        </is>
      </c>
      <c r="I56" s="15" t="n"/>
    </row>
    <row r="57" ht="26" customHeight="1">
      <c r="A57" s="16" t="n">
        <v>3</v>
      </c>
      <c r="B57" s="22">
        <f>IF($C$5&gt;=3,"Liberado","Libera no nível 3")</f>
        <v/>
      </c>
      <c r="C57" s="23" t="n"/>
      <c r="D57" s="23" t="n"/>
      <c r="E57" s="23" t="n"/>
      <c r="F57" s="22">
        <f>IF(AND(3&lt;=$C$5,$U$57&lt;&gt;""),IF($T$57="Dois Atributos (+1 cada)",1,2),0)</f>
        <v/>
      </c>
      <c r="G57" s="22">
        <f>IF(AND(3&lt;=$C$5,$T$57="Dois Atributos (+1 cada)",$V$57&lt;&gt;"",$V$57&lt;&gt;$U$57),1,0)</f>
        <v/>
      </c>
      <c r="H57" s="13">
        <f>IF(W57&gt;0,"O Google leu como fórmula: escolha de novo na lista.",IF(AND(OR($T$57&lt;&gt;"",$U$57&lt;&gt;"",$V$57&lt;&gt;""),3&gt;$C$5),"Ainda não liberado (nível 3)",IF(AND($T$57="Dois Atributos (+1 cada)",$U$57&lt;&gt;"",$U$57=$V$57),"+1 em dois exige atributos diferentes: contou só um +1",IF(AND($V$57&lt;&gt;"",$T$57&lt;&gt;"Dois Atributos (+1 cada)"),"Atributo 2 só vale no modo Dois Atributos (+1 cada)",IF(AND($T$57="Dois Atributos (+1 cada)",$U$57&lt;&gt;"",$V$57=""),"Falta o Atributo 2","")))))</f>
        <v/>
      </c>
      <c r="T57">
        <f>IF(ISERROR($C$57),"",IF(ISBLANK($C$57),"",$C$57))</f>
        <v/>
      </c>
      <c r="U57">
        <f>IF(ISERROR($D$57),"",IF(ISBLANK($D$57),"",$D$57))</f>
        <v/>
      </c>
      <c r="V57">
        <f>IF(ISERROR($E$57),"",IF(ISBLANK($E$57),"",$E$57))</f>
        <v/>
      </c>
      <c r="W57">
        <f>ISERROR($C$57)*1+ISERROR($D$57)*1+ISERROR($E$57)*1</f>
        <v/>
      </c>
    </row>
    <row r="58" ht="26" customHeight="1">
      <c r="A58" s="18" t="n">
        <v>6</v>
      </c>
      <c r="B58" s="21">
        <f>IF($C$5&gt;=6,"Liberado","Libera no nível 6")</f>
        <v/>
      </c>
      <c r="C58" s="36" t="n"/>
      <c r="D58" s="36" t="n"/>
      <c r="E58" s="36" t="n"/>
      <c r="F58" s="21">
        <f>IF(AND(6&lt;=$C$5,$U$58&lt;&gt;""),IF($T$58="Dois Atributos (+1 cada)",1,2),0)</f>
        <v/>
      </c>
      <c r="G58" s="21">
        <f>IF(AND(6&lt;=$C$5,$T$58="Dois Atributos (+1 cada)",$V$58&lt;&gt;"",$V$58&lt;&gt;$U$58),1,0)</f>
        <v/>
      </c>
      <c r="H58" s="20">
        <f>IF(W58&gt;0,"O Google leu como fórmula: escolha de novo na lista.",IF(AND(OR($T$58&lt;&gt;"",$U$58&lt;&gt;"",$V$58&lt;&gt;""),6&gt;$C$5),"Ainda não liberado (nível 6)",IF(AND($T$58="Dois Atributos (+1 cada)",$U$58&lt;&gt;"",$U$58=$V$58),"+1 em dois exige atributos diferentes: contou só um +1",IF(AND($V$58&lt;&gt;"",$T$58&lt;&gt;"Dois Atributos (+1 cada)"),"Atributo 2 só vale no modo Dois Atributos (+1 cada)",IF(AND($T$58="Dois Atributos (+1 cada)",$U$58&lt;&gt;"",$V$58=""),"Falta o Atributo 2","")))))</f>
        <v/>
      </c>
      <c r="T58">
        <f>IF(ISERROR($C$58),"",IF(ISBLANK($C$58),"",$C$58))</f>
        <v/>
      </c>
      <c r="U58">
        <f>IF(ISERROR($D$58),"",IF(ISBLANK($D$58),"",$D$58))</f>
        <v/>
      </c>
      <c r="V58">
        <f>IF(ISERROR($E$58),"",IF(ISBLANK($E$58),"",$E$58))</f>
        <v/>
      </c>
      <c r="W58">
        <f>ISERROR($C$58)*1+ISERROR($D$58)*1+ISERROR($E$58)*1</f>
        <v/>
      </c>
    </row>
    <row r="59" ht="26" customHeight="1">
      <c r="A59" s="16" t="n">
        <v>9</v>
      </c>
      <c r="B59" s="22">
        <f>IF($C$5&gt;=9,"Liberado","Libera no nível 9")</f>
        <v/>
      </c>
      <c r="C59" s="23" t="n"/>
      <c r="D59" s="23" t="n"/>
      <c r="E59" s="23" t="n"/>
      <c r="F59" s="22">
        <f>IF(AND(9&lt;=$C$5,$U$59&lt;&gt;""),IF($T$59="Dois Atributos (+1 cada)",1,2),0)</f>
        <v/>
      </c>
      <c r="G59" s="22">
        <f>IF(AND(9&lt;=$C$5,$T$59="Dois Atributos (+1 cada)",$V$59&lt;&gt;"",$V$59&lt;&gt;$U$59),1,0)</f>
        <v/>
      </c>
      <c r="H59" s="13">
        <f>IF(W59&gt;0,"O Google leu como fórmula: escolha de novo na lista.",IF(AND(OR($T$59&lt;&gt;"",$U$59&lt;&gt;"",$V$59&lt;&gt;""),9&gt;$C$5),"Ainda não liberado (nível 9)",IF(AND($T$59="Dois Atributos (+1 cada)",$U$59&lt;&gt;"",$U$59=$V$59),"+1 em dois exige atributos diferentes: contou só um +1",IF(AND($V$59&lt;&gt;"",$T$59&lt;&gt;"Dois Atributos (+1 cada)"),"Atributo 2 só vale no modo Dois Atributos (+1 cada)",IF(AND($T$59="Dois Atributos (+1 cada)",$U$59&lt;&gt;"",$V$59=""),"Falta o Atributo 2","")))))</f>
        <v/>
      </c>
      <c r="T59">
        <f>IF(ISERROR($C$59),"",IF(ISBLANK($C$59),"",$C$59))</f>
        <v/>
      </c>
      <c r="U59">
        <f>IF(ISERROR($D$59),"",IF(ISBLANK($D$59),"",$D$59))</f>
        <v/>
      </c>
      <c r="V59">
        <f>IF(ISERROR($E$59),"",IF(ISBLANK($E$59),"",$E$59))</f>
        <v/>
      </c>
      <c r="W59">
        <f>ISERROR($C$59)*1+ISERROR($D$59)*1+ISERROR($E$59)*1</f>
        <v/>
      </c>
    </row>
    <row r="60" ht="26" customHeight="1">
      <c r="A60" s="18" t="n">
        <v>12</v>
      </c>
      <c r="B60" s="21">
        <f>IF($C$5&gt;=12,"Liberado","Libera no nível 12")</f>
        <v/>
      </c>
      <c r="C60" s="36" t="n"/>
      <c r="D60" s="36" t="n"/>
      <c r="E60" s="36" t="n"/>
      <c r="F60" s="21">
        <f>IF(AND(12&lt;=$C$5,$U$60&lt;&gt;""),IF($T$60="Dois Atributos (+1 cada)",1,2),0)</f>
        <v/>
      </c>
      <c r="G60" s="21">
        <f>IF(AND(12&lt;=$C$5,$T$60="Dois Atributos (+1 cada)",$V$60&lt;&gt;"",$V$60&lt;&gt;$U$60),1,0)</f>
        <v/>
      </c>
      <c r="H60" s="20">
        <f>IF(W60&gt;0,"O Google leu como fórmula: escolha de novo na lista.",IF(AND(OR($T$60&lt;&gt;"",$U$60&lt;&gt;"",$V$60&lt;&gt;""),12&gt;$C$5),"Ainda não liberado (nível 12)",IF(AND($T$60="Dois Atributos (+1 cada)",$U$60&lt;&gt;"",$U$60=$V$60),"+1 em dois exige atributos diferentes: contou só um +1",IF(AND($V$60&lt;&gt;"",$T$60&lt;&gt;"Dois Atributos (+1 cada)"),"Atributo 2 só vale no modo Dois Atributos (+1 cada)",IF(AND($T$60="Dois Atributos (+1 cada)",$U$60&lt;&gt;"",$V$60=""),"Falta o Atributo 2","")))))</f>
        <v/>
      </c>
      <c r="T60">
        <f>IF(ISERROR($C$60),"",IF(ISBLANK($C$60),"",$C$60))</f>
        <v/>
      </c>
      <c r="U60">
        <f>IF(ISERROR($D$60),"",IF(ISBLANK($D$60),"",$D$60))</f>
        <v/>
      </c>
      <c r="V60">
        <f>IF(ISERROR($E$60),"",IF(ISBLANK($E$60),"",$E$60))</f>
        <v/>
      </c>
      <c r="W60">
        <f>ISERROR($C$60)*1+ISERROR($D$60)*1+ISERROR($E$60)*1</f>
        <v/>
      </c>
    </row>
    <row r="61" ht="26" customHeight="1">
      <c r="A61" s="16" t="n">
        <v>15</v>
      </c>
      <c r="B61" s="22">
        <f>IF($C$5&gt;=15,"Liberado","Libera no nível 15")</f>
        <v/>
      </c>
      <c r="C61" s="23" t="n"/>
      <c r="D61" s="23" t="n"/>
      <c r="E61" s="23" t="n"/>
      <c r="F61" s="22">
        <f>IF(AND(15&lt;=$C$5,$U$61&lt;&gt;""),IF($T$61="Dois Atributos (+1 cada)",1,2),0)</f>
        <v/>
      </c>
      <c r="G61" s="22">
        <f>IF(AND(15&lt;=$C$5,$T$61="Dois Atributos (+1 cada)",$V$61&lt;&gt;"",$V$61&lt;&gt;$U$61),1,0)</f>
        <v/>
      </c>
      <c r="H61" s="13">
        <f>IF(W61&gt;0,"O Google leu como fórmula: escolha de novo na lista.",IF(AND(OR($T$61&lt;&gt;"",$U$61&lt;&gt;"",$V$61&lt;&gt;""),15&gt;$C$5),"Ainda não liberado (nível 15)",IF(AND($T$61="Dois Atributos (+1 cada)",$U$61&lt;&gt;"",$U$61=$V$61),"+1 em dois exige atributos diferentes: contou só um +1",IF(AND($V$61&lt;&gt;"",$T$61&lt;&gt;"Dois Atributos (+1 cada)"),"Atributo 2 só vale no modo Dois Atributos (+1 cada)",IF(AND($T$61="Dois Atributos (+1 cada)",$U$61&lt;&gt;"",$V$61=""),"Falta o Atributo 2","")))))</f>
        <v/>
      </c>
      <c r="T61">
        <f>IF(ISERROR($C$61),"",IF(ISBLANK($C$61),"",$C$61))</f>
        <v/>
      </c>
      <c r="U61">
        <f>IF(ISERROR($D$61),"",IF(ISBLANK($D$61),"",$D$61))</f>
        <v/>
      </c>
      <c r="V61">
        <f>IF(ISERROR($E$61),"",IF(ISBLANK($E$61),"",$E$61))</f>
        <v/>
      </c>
      <c r="W61">
        <f>ISERROR($C$61)*1+ISERROR($D$61)*1+ISERROR($E$61)*1</f>
        <v/>
      </c>
    </row>
    <row r="62" ht="26" customHeight="1">
      <c r="A62" s="18" t="n">
        <v>18</v>
      </c>
      <c r="B62" s="21">
        <f>IF($C$5&gt;=18,"Liberado","Libera no nível 18")</f>
        <v/>
      </c>
      <c r="C62" s="36" t="n"/>
      <c r="D62" s="36" t="n"/>
      <c r="E62" s="36" t="n"/>
      <c r="F62" s="21">
        <f>IF(AND(18&lt;=$C$5,$U$62&lt;&gt;""),IF($T$62="Dois Atributos (+1 cada)",1,2),0)</f>
        <v/>
      </c>
      <c r="G62" s="21">
        <f>IF(AND(18&lt;=$C$5,$T$62="Dois Atributos (+1 cada)",$V$62&lt;&gt;"",$V$62&lt;&gt;$U$62),1,0)</f>
        <v/>
      </c>
      <c r="H62" s="20">
        <f>IF(W62&gt;0,"O Google leu como fórmula: escolha de novo na lista.",IF(AND(OR($T$62&lt;&gt;"",$U$62&lt;&gt;"",$V$62&lt;&gt;""),18&gt;$C$5),"Ainda não liberado (nível 18)",IF(AND($T$62="Dois Atributos (+1 cada)",$U$62&lt;&gt;"",$U$62=$V$62),"+1 em dois exige atributos diferentes: contou só um +1",IF(AND($V$62&lt;&gt;"",$T$62&lt;&gt;"Dois Atributos (+1 cada)"),"Atributo 2 só vale no modo Dois Atributos (+1 cada)",IF(AND($T$62="Dois Atributos (+1 cada)",$U$62&lt;&gt;"",$V$62=""),"Falta o Atributo 2","")))))</f>
        <v/>
      </c>
      <c r="T62">
        <f>IF(ISERROR($C$62),"",IF(ISBLANK($C$62),"",$C$62))</f>
        <v/>
      </c>
      <c r="U62">
        <f>IF(ISERROR($D$62),"",IF(ISBLANK($D$62),"",$D$62))</f>
        <v/>
      </c>
      <c r="V62">
        <f>IF(ISERROR($E$62),"",IF(ISBLANK($E$62),"",$E$62))</f>
        <v/>
      </c>
      <c r="W62">
        <f>ISERROR($C$62)*1+ISERROR($D$62)*1+ISERROR($E$62)*1</f>
        <v/>
      </c>
    </row>
    <row r="63">
      <c r="A63" s="8" t="inlineStr">
        <is>
          <t>Bônus de Vigor subiu? Os PV sobem na hora: nível + 2 =</t>
        </is>
      </c>
      <c r="E63" s="17">
        <f>$C$5+2</f>
        <v/>
      </c>
      <c r="F63" s="12" t="inlineStr">
        <is>
          <t>PV (04.3; a aba Criação já soma tudo)</t>
        </is>
      </c>
    </row>
    <row r="64"/>
    <row r="65">
      <c r="A65" s="14" t="inlineStr">
        <is>
          <t>Ressonâncias — 26.7 (níveis 5, 10, 15 e 20)</t>
        </is>
      </c>
    </row>
    <row r="66">
      <c r="A66" s="7" t="inlineStr">
        <is>
          <t>Ressonância</t>
        </is>
      </c>
      <c r="B66" s="7" t="inlineStr">
        <is>
          <t>Nível</t>
        </is>
      </c>
      <c r="C66" s="7" t="inlineStr">
        <is>
          <t>Opção (preencha)</t>
        </is>
      </c>
      <c r="D66" s="15" t="n"/>
      <c r="E66" s="15" t="n"/>
      <c r="F66" s="7" t="inlineStr">
        <is>
          <t>Situação</t>
        </is>
      </c>
      <c r="G66" s="7" t="inlineStr">
        <is>
          <t>O que o livro diz</t>
        </is>
      </c>
      <c r="H66" s="15" t="n"/>
      <c r="I66" s="7" t="inlineStr">
        <is>
          <t>Aviso</t>
        </is>
      </c>
    </row>
    <row r="67" ht="49" customHeight="1">
      <c r="A67" s="16" t="inlineStr">
        <is>
          <t>I</t>
        </is>
      </c>
      <c r="B67" s="22">
        <f>INDEX('Dados'!$B$289:$B$292,1)</f>
        <v/>
      </c>
      <c r="C67" s="23" t="n"/>
      <c r="D67" s="28" t="n"/>
      <c r="E67" s="29" t="n"/>
      <c r="F67" s="4">
        <f>IF($C$5&gt;=$B$67,IF($T$67="","Liberada: escolha a opção","Ativa"),"Libera no nível "&amp;$B$67)</f>
        <v/>
      </c>
      <c r="G67" s="4">
        <f>INDEX('Dados'!$C$289:$C$292,1)</f>
        <v/>
      </c>
      <c r="I67" s="13">
        <f>IF(W67&gt;0,"O Google leu como fórmula: escolha de novo na lista.",IF(AND($T$67&lt;&gt;"",$C$5&lt;$B$67),"Ainda não liberada (nível "&amp;$B$67&amp;")",""))</f>
        <v/>
      </c>
      <c r="R67" s="25">
        <f>IF($C$5&gt;=$B$67,$T$67,"")</f>
        <v/>
      </c>
      <c r="T67">
        <f>IF(ISERROR($C$67),"",IF(ISBLANK($C$67),"",$C$67))</f>
        <v/>
      </c>
      <c r="W67">
        <f>ISERROR($C$67)*1</f>
        <v/>
      </c>
    </row>
    <row r="68" ht="49" customHeight="1">
      <c r="A68" s="18" t="inlineStr">
        <is>
          <t>II</t>
        </is>
      </c>
      <c r="B68" s="21">
        <f>INDEX('Dados'!$B$289:$B$292,2)</f>
        <v/>
      </c>
      <c r="C68" s="36" t="n"/>
      <c r="D68" s="28" t="n"/>
      <c r="E68" s="29" t="n"/>
      <c r="F68" s="9">
        <f>IF($C$5&gt;=$B$68,IF($T$68="","Liberada: escolha a opção","Ativa"),"Libera no nível "&amp;$B$68)</f>
        <v/>
      </c>
      <c r="G68" s="9">
        <f>INDEX('Dados'!$C$289:$C$292,2)</f>
        <v/>
      </c>
      <c r="I68" s="20">
        <f>IF(W68&gt;0,"O Google leu como fórmula: escolha de novo na lista.",IF(AND($T$68&lt;&gt;"",$C$5&lt;$B$68),"Ainda não liberada (nível "&amp;$B$68&amp;")",""))</f>
        <v/>
      </c>
      <c r="R68" s="25">
        <f>IF($C$5&gt;=$B$68,$T$68,"")</f>
        <v/>
      </c>
      <c r="T68">
        <f>IF(ISERROR($C$68),"",IF(ISBLANK($C$68),"",$C$68))</f>
        <v/>
      </c>
      <c r="W68">
        <f>ISERROR($C$68)*1</f>
        <v/>
      </c>
    </row>
    <row r="69" ht="49" customHeight="1">
      <c r="A69" s="16" t="inlineStr">
        <is>
          <t>III</t>
        </is>
      </c>
      <c r="B69" s="22">
        <f>INDEX('Dados'!$B$289:$B$292,3)</f>
        <v/>
      </c>
      <c r="C69" s="23" t="n"/>
      <c r="D69" s="28" t="n"/>
      <c r="E69" s="29" t="n"/>
      <c r="F69" s="4">
        <f>IF($C$5&gt;=$B$69,IF($T$69="","Liberada: escolha a opção","Ativa"),"Libera no nível "&amp;$B$69)</f>
        <v/>
      </c>
      <c r="G69" s="4">
        <f>INDEX('Dados'!$C$289:$C$292,3)</f>
        <v/>
      </c>
      <c r="I69" s="13">
        <f>IF(W69&gt;0,"O Google leu como fórmula: escolha de novo na lista.",IF(AND($T$69&lt;&gt;"",$C$5&lt;$B$69),"Ainda não liberada (nível "&amp;$B$69&amp;")",""))</f>
        <v/>
      </c>
      <c r="R69" s="25">
        <f>IF($C$5&gt;=$B$69,$T$69,"")</f>
        <v/>
      </c>
      <c r="T69">
        <f>IF(ISERROR($C$69),"",IF(ISBLANK($C$69),"",$C$69))</f>
        <v/>
      </c>
      <c r="W69">
        <f>ISERROR($C$69)*1</f>
        <v/>
      </c>
    </row>
    <row r="70" ht="49" customHeight="1">
      <c r="A70" s="18" t="inlineStr">
        <is>
          <t>IV</t>
        </is>
      </c>
      <c r="B70" s="21">
        <f>INDEX('Dados'!$B$289:$B$292,4)</f>
        <v/>
      </c>
      <c r="C70" s="36" t="n"/>
      <c r="D70" s="28" t="n"/>
      <c r="E70" s="29" t="n"/>
      <c r="F70" s="9">
        <f>IF($C$5&gt;=$B$70,IF($T$70="","Liberada: escolha a opção","Ativa"),"Libera no nível "&amp;$B$70)</f>
        <v/>
      </c>
      <c r="G70" s="9">
        <f>INDEX('Dados'!$C$289:$C$292,4)</f>
        <v/>
      </c>
      <c r="I70" s="20">
        <f>IF(W70&gt;0,"O Google leu como fórmula: escolha de novo na lista.",IF(AND($T$70&lt;&gt;"",$C$5&lt;$B$70),"Ainda não liberada (nível "&amp;$B$70&amp;")",""))</f>
        <v/>
      </c>
      <c r="R70" s="25">
        <f>IF($C$5&gt;=$B$70,$T$70,"")</f>
        <v/>
      </c>
      <c r="T70">
        <f>IF(ISERROR($C$70),"",IF(ISBLANK($C$70),"",$C$70))</f>
        <v/>
      </c>
      <c r="W70">
        <f>ISERROR($C$70)*1</f>
        <v/>
      </c>
    </row>
    <row r="71"/>
    <row r="72">
      <c r="A72" s="14" t="inlineStr">
        <is>
          <t>No próximo nível você ganha</t>
        </is>
      </c>
    </row>
    <row r="73">
      <c r="A73" s="8" t="inlineStr">
        <is>
          <t>Próximo nível:</t>
        </is>
      </c>
      <c r="C73" s="17">
        <f>MIN(20,$C$5+1)</f>
        <v/>
      </c>
    </row>
    <row r="74">
      <c r="A74" s="22">
        <f>IF($C$5&gt;=20,"Você está no nível 20, o máximo do jogo.","Nível "&amp;$C$73&amp;":")</f>
        <v/>
      </c>
    </row>
    <row r="75">
      <c r="A75" s="22">
        <f>IF(AND($C$5&lt;20,INDEX('Dados'!$B$258:$B$277,$C$73)&gt;INDEX('Dados'!$B$258:$B$277,$C$5)),"Eficiência sobe para +"&amp;INDEX('Dados'!$B$258:$B$277,$C$73)&amp;" (Eficácia +"&amp;2*INDEX('Dados'!$B$258:$B$277,$C$73)&amp;")","")</f>
        <v/>
      </c>
    </row>
    <row r="76">
      <c r="A76" s="22">
        <f>IF(AND($C$5&lt;20,MOD($C$73,2)=1),"Nova Bênção (slot do nível "&amp;$C$73&amp;", aba Caminho)","")</f>
        <v/>
      </c>
    </row>
    <row r="77">
      <c r="A77" s="22">
        <f>IF(AND($C$5&lt;20,INDEX('Dados'!$F$258:$F$277,$C$73)&gt;INDEX('Dados'!$F$258:$F$277,$C$5)),"Mais 1 Habilidade conhecida (total "&amp;INDEX('Dados'!$F$258:$F$277,$C$73)&amp;")",IF(AND($C$5&lt;20,INDEX('Dados'!$G$258:$G$277,$C$73)="Sim"),"Reescreva 1 Habilidade (16.6)",""))</f>
        <v/>
      </c>
    </row>
    <row r="78">
      <c r="A78" s="22">
        <f>IF(AND($C$5&lt;20,INDEX('Dados'!$H$258:$H$277,$C$73)&gt;INDEX('Dados'!$H$258:$H$277,$C$5)),"Habilidades até o Nível "&amp;INDEX('Dados'!$H$258:$H$277,$C$73),"")</f>
        <v/>
      </c>
    </row>
    <row r="79">
      <c r="A79" s="22">
        <f>IF(AND($C$5&lt;20,INDEX('Dados'!$I$258:$I$277,$C$73)="Sim"),"Aumento de Atributo: +2 em um ou +1 em dois (tabela acima)","")</f>
        <v/>
      </c>
    </row>
    <row r="80">
      <c r="A80" s="22">
        <f>IF(AND($C$5&lt;20,INDEX('Dados'!$J$258:$J$277,$C$73)&gt;INDEX('Dados'!$J$258:$J$277,$C$5)),"Ataque Básico com "&amp;INDEX('Dados'!$J$258:$J$277,$C$73)&amp;" dados","")</f>
        <v/>
      </c>
    </row>
    <row r="81">
      <c r="A81" s="22">
        <f>IF(AND($C$5&lt;20,INDEX('Dados'!$K$258:$K$277,$C$73)&gt;INDEX('Dados'!$K$258:$K$277,$C$5)),"Especialização de Combate +"&amp;INDEX('Dados'!$K$258:$K$277,$C$73),"")</f>
        <v/>
      </c>
    </row>
    <row r="82">
      <c r="A82" s="22">
        <f>IF(AND($C$5&lt;20,OR(INDEX('Dados'!$C$258:$C$277,$C$73)&gt;INDEX('Dados'!$C$258:$C$277,$C$5),INDEX('Dados'!$D$258:$D$277,$C$73)&gt;INDEX('Dados'!$D$258:$D$277,$C$5))),"Slots de Eficácia: "&amp;INDEX('Dados'!$C$258:$C$277,$C$73)&amp;" em Perícias e "&amp;INDEX('Dados'!$D$258:$D$277,$C$73)&amp;" em Testes de Resistência","")</f>
        <v/>
      </c>
    </row>
    <row r="83">
      <c r="A83" s="22">
        <f>IF($C$5&lt;20,"PV máximos +"&amp;(5+'Criação'!$B$36+'Criação'!$F$46)&amp;" (5 + N + Bônus de Vigor)","")</f>
        <v/>
      </c>
    </row>
    <row r="84">
      <c r="A84" s="22">
        <f>IF(AND($C$5&lt;20,MOD($C$5,4)=0),"Nova faixa de nível: Ultimate de Nível equivalente "&amp;INDEX('Dados'!$B$326:$B$330,INT(($C$73-1)/4)+1)&amp;" e Cone de Luz até o Nível "&amp;(INT(($C$73-1)/4)+1),"")</f>
        <v/>
      </c>
    </row>
    <row r="85">
      <c r="A85" s="22">
        <f>IF(AND($C$5&lt;20,MOD($C$73,5)=0),"Ressonância "&amp;CHOOSE(INT($C$73/5),"I","II","III","IV")&amp;" (tabela acima)","")</f>
        <v/>
      </c>
    </row>
    <row r="86">
      <c r="A86" s="22">
        <f>IF(AND($C$5&lt;20,OR($C$73=7,$C$73=13,$C$73=18)),"Relíquias sobem para o Tier "&amp;CHOOSE(IF($C$73=7,1,IF($C$73=13,2,3)),"II","III","IV"),"")</f>
        <v/>
      </c>
    </row>
    <row r="87">
      <c r="A87" s="22">
        <f>IF(AND($C$5&lt;20,OR($C$73=9,$C$73=17)),"PH do grupo: máximo +1","")</f>
        <v/>
      </c>
    </row>
    <row r="88">
      <c r="A88" s="22">
        <f>IF(AND($C$5&lt;20,'Criação'!$Q$33="A Recordação"),IF(MOD($C$73,2)=0,"Memoespírito: +1 ponto de atributo. ","")&amp;IF(OR($C$73=8,$C$73=14,$C$73=20),"Memoespírito: nova Evolução.",""),"")</f>
        <v/>
      </c>
    </row>
  </sheetData>
  <mergeCells count="44">
    <mergeCell ref="A7:I7"/>
    <mergeCell ref="A65:I65"/>
    <mergeCell ref="A73:B73"/>
    <mergeCell ref="A75:I75"/>
    <mergeCell ref="A84:I84"/>
    <mergeCell ref="A80:I80"/>
    <mergeCell ref="G67:H67"/>
    <mergeCell ref="A63:D63"/>
    <mergeCell ref="A74:I74"/>
    <mergeCell ref="H58:I58"/>
    <mergeCell ref="A3:L3"/>
    <mergeCell ref="G70:H70"/>
    <mergeCell ref="A55:I55"/>
    <mergeCell ref="A86:I86"/>
    <mergeCell ref="H56:I56"/>
    <mergeCell ref="H59:I59"/>
    <mergeCell ref="A85:I85"/>
    <mergeCell ref="A76:I76"/>
    <mergeCell ref="H60:I60"/>
    <mergeCell ref="C70:E70"/>
    <mergeCell ref="G66:H66"/>
    <mergeCell ref="F63:I63"/>
    <mergeCell ref="H61:I61"/>
    <mergeCell ref="G69:H69"/>
    <mergeCell ref="C67:E67"/>
    <mergeCell ref="A72:I72"/>
    <mergeCell ref="A81:I81"/>
    <mergeCell ref="C66:E66"/>
    <mergeCell ref="G68:H68"/>
    <mergeCell ref="A5:B5"/>
    <mergeCell ref="C69:E69"/>
    <mergeCell ref="H57:I57"/>
    <mergeCell ref="A31:I31"/>
    <mergeCell ref="A77:I77"/>
    <mergeCell ref="C68:E68"/>
    <mergeCell ref="F5:I5"/>
    <mergeCell ref="A83:I83"/>
    <mergeCell ref="A82:I82"/>
    <mergeCell ref="H62:I62"/>
    <mergeCell ref="A1:L1"/>
    <mergeCell ref="A88:I88"/>
    <mergeCell ref="A79:I79"/>
    <mergeCell ref="A87:I87"/>
    <mergeCell ref="A78:I78"/>
  </mergeCells>
  <conditionalFormatting sqref="A9:I29">
    <cfRule type="expression" priority="1" dxfId="2">
      <formula>$A9=$C$5</formula>
    </cfRule>
  </conditionalFormatting>
  <conditionalFormatting sqref="A33:I53">
    <cfRule type="expression" priority="2" dxfId="2">
      <formula>$A33=$C$5</formula>
    </cfRule>
  </conditionalFormatting>
  <conditionalFormatting sqref="H57">
    <cfRule type="expression" priority="3" dxfId="0">
      <formula>LEN(H57)&gt;0</formula>
    </cfRule>
  </conditionalFormatting>
  <conditionalFormatting sqref="H58">
    <cfRule type="expression" priority="4" dxfId="0">
      <formula>LEN(H58)&gt;0</formula>
    </cfRule>
  </conditionalFormatting>
  <conditionalFormatting sqref="H59">
    <cfRule type="expression" priority="5" dxfId="0">
      <formula>LEN(H59)&gt;0</formula>
    </cfRule>
  </conditionalFormatting>
  <conditionalFormatting sqref="H60">
    <cfRule type="expression" priority="6" dxfId="0">
      <formula>LEN(H60)&gt;0</formula>
    </cfRule>
  </conditionalFormatting>
  <conditionalFormatting sqref="H61">
    <cfRule type="expression" priority="7" dxfId="0">
      <formula>LEN(H61)&gt;0</formula>
    </cfRule>
  </conditionalFormatting>
  <conditionalFormatting sqref="H62">
    <cfRule type="expression" priority="8" dxfId="0">
      <formula>LEN(H62)&gt;0</formula>
    </cfRule>
  </conditionalFormatting>
  <conditionalFormatting sqref="I67">
    <cfRule type="expression" priority="9" dxfId="0">
      <formula>LEN(I67)&gt;0</formula>
    </cfRule>
  </conditionalFormatting>
  <conditionalFormatting sqref="I68">
    <cfRule type="expression" priority="10" dxfId="0">
      <formula>LEN(I68)&gt;0</formula>
    </cfRule>
  </conditionalFormatting>
  <conditionalFormatting sqref="I69">
    <cfRule type="expression" priority="11" dxfId="0">
      <formula>LEN(I69)&gt;0</formula>
    </cfRule>
  </conditionalFormatting>
  <conditionalFormatting sqref="I70">
    <cfRule type="expression" priority="12" dxfId="0">
      <formula>LEN(I70)&gt;0</formula>
    </cfRule>
  </conditionalFormatting>
  <dataValidations count="22">
    <dataValidation sqref="C57" showDropDown="0" showInputMessage="0" showErrorMessage="1" allowBlank="1" errorTitle="Fora da lista" error="Aumento do nível 3: escolha um valor da lista. A ficha pode não reconhecer outro valor." type="list" errorStyle="warning">
      <formula1>'Dados'!$AJ$6:$AJ$7</formula1>
    </dataValidation>
    <dataValidation sqref="D57" showDropDown="0" showInputMessage="0" showErrorMessage="1" allowBlank="1" errorTitle="Fora da lista" error="Atributo 1: escolha um valor da lista. A ficha pode não reconhecer outro valor." type="list" errorStyle="warning">
      <formula1>'Dados'!$Q$6:$Q$11</formula1>
    </dataValidation>
    <dataValidation sqref="E57" showDropDown="0" showInputMessage="0" showErrorMessage="1" allowBlank="1" errorTitle="Fora da lista" error="Atributo 2: escolha um valor da lista. A ficha pode não reconhecer outro valor." type="list" errorStyle="warning">
      <formula1>'Dados'!$Q$6:$Q$11</formula1>
    </dataValidation>
    <dataValidation sqref="C58" showDropDown="0" showInputMessage="0" showErrorMessage="1" allowBlank="1" errorTitle="Fora da lista" error="Aumento do nível 6: escolha um valor da lista. A ficha pode não reconhecer outro valor." type="list" errorStyle="warning">
      <formula1>'Dados'!$AJ$6:$AJ$7</formula1>
    </dataValidation>
    <dataValidation sqref="D58" showDropDown="0" showInputMessage="0" showErrorMessage="1" allowBlank="1" errorTitle="Fora da lista" error="Atributo 1: escolha um valor da lista. A ficha pode não reconhecer outro valor." type="list" errorStyle="warning">
      <formula1>'Dados'!$Q$6:$Q$11</formula1>
    </dataValidation>
    <dataValidation sqref="E58" showDropDown="0" showInputMessage="0" showErrorMessage="1" allowBlank="1" errorTitle="Fora da lista" error="Atributo 2: escolha um valor da lista. A ficha pode não reconhecer outro valor." type="list" errorStyle="warning">
      <formula1>'Dados'!$Q$6:$Q$11</formula1>
    </dataValidation>
    <dataValidation sqref="C59" showDropDown="0" showInputMessage="0" showErrorMessage="1" allowBlank="1" errorTitle="Fora da lista" error="Aumento do nível 9: escolha um valor da lista. A ficha pode não reconhecer outro valor." type="list" errorStyle="warning">
      <formula1>'Dados'!$AJ$6:$AJ$7</formula1>
    </dataValidation>
    <dataValidation sqref="D59" showDropDown="0" showInputMessage="0" showErrorMessage="1" allowBlank="1" errorTitle="Fora da lista" error="Atributo 1: escolha um valor da lista. A ficha pode não reconhecer outro valor." type="list" errorStyle="warning">
      <formula1>'Dados'!$Q$6:$Q$11</formula1>
    </dataValidation>
    <dataValidation sqref="E59" showDropDown="0" showInputMessage="0" showErrorMessage="1" allowBlank="1" errorTitle="Fora da lista" error="Atributo 2: escolha um valor da lista. A ficha pode não reconhecer outro valor." type="list" errorStyle="warning">
      <formula1>'Dados'!$Q$6:$Q$11</formula1>
    </dataValidation>
    <dataValidation sqref="C60" showDropDown="0" showInputMessage="0" showErrorMessage="1" allowBlank="1" errorTitle="Fora da lista" error="Aumento do nível 12: escolha um valor da lista. A ficha pode não reconhecer outro valor." type="list" errorStyle="warning">
      <formula1>'Dados'!$AJ$6:$AJ$7</formula1>
    </dataValidation>
    <dataValidation sqref="D60" showDropDown="0" showInputMessage="0" showErrorMessage="1" allowBlank="1" errorTitle="Fora da lista" error="Atributo 1: escolha um valor da lista. A ficha pode não reconhecer outro valor." type="list" errorStyle="warning">
      <formula1>'Dados'!$Q$6:$Q$11</formula1>
    </dataValidation>
    <dataValidation sqref="E60" showDropDown="0" showInputMessage="0" showErrorMessage="1" allowBlank="1" errorTitle="Fora da lista" error="Atributo 2: escolha um valor da lista. A ficha pode não reconhecer outro valor." type="list" errorStyle="warning">
      <formula1>'Dados'!$Q$6:$Q$11</formula1>
    </dataValidation>
    <dataValidation sqref="C61" showDropDown="0" showInputMessage="0" showErrorMessage="1" allowBlank="1" errorTitle="Fora da lista" error="Aumento do nível 15: escolha um valor da lista. A ficha pode não reconhecer outro valor." type="list" errorStyle="warning">
      <formula1>'Dados'!$AJ$6:$AJ$7</formula1>
    </dataValidation>
    <dataValidation sqref="D61" showDropDown="0" showInputMessage="0" showErrorMessage="1" allowBlank="1" errorTitle="Fora da lista" error="Atributo 1: escolha um valor da lista. A ficha pode não reconhecer outro valor." type="list" errorStyle="warning">
      <formula1>'Dados'!$Q$6:$Q$11</formula1>
    </dataValidation>
    <dataValidation sqref="E61" showDropDown="0" showInputMessage="0" showErrorMessage="1" allowBlank="1" errorTitle="Fora da lista" error="Atributo 2: escolha um valor da lista. A ficha pode não reconhecer outro valor." type="list" errorStyle="warning">
      <formula1>'Dados'!$Q$6:$Q$11</formula1>
    </dataValidation>
    <dataValidation sqref="C62" showDropDown="0" showInputMessage="0" showErrorMessage="1" allowBlank="1" errorTitle="Fora da lista" error="Aumento do nível 18: escolha um valor da lista. A ficha pode não reconhecer outro valor." type="list" errorStyle="warning">
      <formula1>'Dados'!$AJ$6:$AJ$7</formula1>
    </dataValidation>
    <dataValidation sqref="D62" showDropDown="0" showInputMessage="0" showErrorMessage="1" allowBlank="1" errorTitle="Fora da lista" error="Atributo 1: escolha um valor da lista. A ficha pode não reconhecer outro valor." type="list" errorStyle="warning">
      <formula1>'Dados'!$Q$6:$Q$11</formula1>
    </dataValidation>
    <dataValidation sqref="E62" showDropDown="0" showInputMessage="0" showErrorMessage="1" allowBlank="1" errorTitle="Fora da lista" error="Atributo 2: escolha um valor da lista. A ficha pode não reconhecer outro valor." type="list" errorStyle="warning">
      <formula1>'Dados'!$Q$6:$Q$11</formula1>
    </dataValidation>
    <dataValidation sqref="C67" showDropDown="0" showInputMessage="0" showErrorMessage="1" allowBlank="1" errorTitle="Fora da lista" error="Ressonância I: escolha um valor da lista. A ficha pode não reconhecer outro valor." type="list" errorStyle="warning">
      <formula1>'Dados'!$AQ$6:$AQ$7</formula1>
    </dataValidation>
    <dataValidation sqref="C68" showDropDown="0" showInputMessage="0" showErrorMessage="1" allowBlank="1" errorTitle="Fora da lista" error="Ressonância II: escolha um valor da lista. A ficha pode não reconhecer outro valor." type="list" errorStyle="warning">
      <formula1>'Dados'!$AR$6:$AR$6</formula1>
    </dataValidation>
    <dataValidation sqref="C69" showDropDown="0" showInputMessage="0" showErrorMessage="1" allowBlank="1" errorTitle="Fora da lista" error="Ressonância III: escolha um valor da lista. A ficha pode não reconhecer outro valor." type="list" errorStyle="warning">
      <formula1>'Dados'!$AS$6:$AS$6</formula1>
    </dataValidation>
    <dataValidation sqref="C70" showDropDown="0" showInputMessage="0" showErrorMessage="1" allowBlank="1" errorTitle="Fora da lista" error="Ressonância IV: escolha um valor da lista. A ficha pode não reconhecer outro valor." type="list" errorStyle="warning">
      <formula1>'Dados'!$AT$6:$AT$7</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19"/>
  <sheetViews>
    <sheetView showGridLines="1" workbookViewId="0">
      <selection activeCell="A1" sqref="A1"/>
    </sheetView>
  </sheetViews>
  <sheetFormatPr baseColWidth="8" defaultRowHeight="15"/>
  <cols>
    <col width="2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ht="24" customHeight="1">
      <c r="A1" s="1" t="inlineStr">
        <is>
          <t>Regras Rápidas — Explorando Galáxias v1.1</t>
        </is>
      </c>
    </row>
    <row r="2" ht="37" customHeight="1">
      <c r="A2" s="2" t="inlineStr">
        <is>
          <t>Legenda:</t>
        </is>
      </c>
      <c r="B2" s="3" t="inlineStr">
        <is>
          <t>Entrada (preencha)</t>
        </is>
      </c>
      <c r="C2" s="4" t="inlineStr">
        <is>
          <t>Calculada (automático)</t>
        </is>
      </c>
      <c r="D2" s="5" t="inlineStr">
        <is>
          <t>Aviso (texto em vermelho)</t>
        </is>
      </c>
      <c r="E2" s="6" t="inlineStr">
        <is>
          <t>Título de bloco</t>
        </is>
      </c>
      <c r="F2" s="7" t="inlineStr">
        <is>
          <t>Cabeçalho de coluna</t>
        </is>
      </c>
      <c r="G2" s="8" t="inlineStr">
        <is>
          <t>Rótulo da linha</t>
        </is>
      </c>
      <c r="H2" s="9" t="inlineStr">
        <is>
          <t>Linha alternada (outro tom)</t>
        </is>
      </c>
      <c r="I2" s="10" t="inlineStr">
        <is>
          <t>Não se aplica</t>
        </is>
      </c>
    </row>
    <row r="3">
      <c r="A3" s="11" t="inlineStr">
        <is>
          <t>Referência de uma página (29.12), condições, Quebra, Energia e tetos.</t>
        </is>
      </c>
    </row>
    <row r="4"/>
    <row r="5">
      <c r="A5" s="14" t="inlineStr">
        <is>
          <t>A rolagem única — 29.12 e 02</t>
        </is>
      </c>
    </row>
    <row r="6" ht="30" customHeight="1">
      <c r="A6" s="12" t="inlineStr">
        <is>
          <t>d20 + Bônus de Atributo + Eficiência (se treinado) ≥ DT. Arredonde para baixo. Toda instância de dano causa no mínimo 1. A Eficácia (2 × Eficiência) nunca entra em Teste de Ataque; a Esquiva soma sempre a Eficiência. Vantagem: 2d20, fica o maior; Desvantagem: o menor; não acumulam (02.4).</t>
        </is>
      </c>
    </row>
    <row r="7"/>
    <row r="8">
      <c r="A8" s="14" t="inlineStr">
        <is>
          <t>Eficiência e Eficácia por nível — 26.4</t>
        </is>
      </c>
    </row>
    <row r="9">
      <c r="A9" s="7" t="inlineStr">
        <is>
          <t>Níveis</t>
        </is>
      </c>
      <c r="B9" s="7" t="inlineStr">
        <is>
          <t>Eficiência</t>
        </is>
      </c>
      <c r="C9" s="7" t="inlineStr">
        <is>
          <t>Eficácia</t>
        </is>
      </c>
    </row>
    <row r="10">
      <c r="A10" s="16" t="inlineStr">
        <is>
          <t>1-3</t>
        </is>
      </c>
      <c r="B10" s="22">
        <f>"+"&amp;INDEX('Dados'!$B$258:$B$277,1)</f>
        <v/>
      </c>
      <c r="C10" s="22">
        <f>"+"&amp;(2*INDEX('Dados'!$B$258:$B$277,1))</f>
        <v/>
      </c>
      <c r="D10" s="22">
        <f>"Você agora: nível "&amp;'Criação'!$A$14&amp;", Eficiência +"&amp;'Criação'!$C$14&amp;", Eficácia +"&amp;(2*'Criação'!$C$14)</f>
        <v/>
      </c>
    </row>
    <row r="11">
      <c r="A11" s="18" t="inlineStr">
        <is>
          <t>4-6</t>
        </is>
      </c>
      <c r="B11" s="21">
        <f>"+"&amp;INDEX('Dados'!$B$258:$B$277,4)</f>
        <v/>
      </c>
      <c r="C11" s="21">
        <f>"+"&amp;(2*INDEX('Dados'!$B$258:$B$277,4))</f>
        <v/>
      </c>
    </row>
    <row r="12">
      <c r="A12" s="16" t="inlineStr">
        <is>
          <t>7-9</t>
        </is>
      </c>
      <c r="B12" s="22">
        <f>"+"&amp;INDEX('Dados'!$B$258:$B$277,7)</f>
        <v/>
      </c>
      <c r="C12" s="22">
        <f>"+"&amp;(2*INDEX('Dados'!$B$258:$B$277,7))</f>
        <v/>
      </c>
    </row>
    <row r="13">
      <c r="A13" s="18" t="inlineStr">
        <is>
          <t>10-12</t>
        </is>
      </c>
      <c r="B13" s="21">
        <f>"+"&amp;INDEX('Dados'!$B$258:$B$277,10)</f>
        <v/>
      </c>
      <c r="C13" s="21">
        <f>"+"&amp;(2*INDEX('Dados'!$B$258:$B$277,10))</f>
        <v/>
      </c>
    </row>
    <row r="14">
      <c r="A14" s="16" t="inlineStr">
        <is>
          <t>13-15</t>
        </is>
      </c>
      <c r="B14" s="22">
        <f>"+"&amp;INDEX('Dados'!$B$258:$B$277,13)</f>
        <v/>
      </c>
      <c r="C14" s="22">
        <f>"+"&amp;(2*INDEX('Dados'!$B$258:$B$277,13))</f>
        <v/>
      </c>
    </row>
    <row r="15">
      <c r="A15" s="18" t="inlineStr">
        <is>
          <t>16-18</t>
        </is>
      </c>
      <c r="B15" s="21">
        <f>"+"&amp;INDEX('Dados'!$B$258:$B$277,16)</f>
        <v/>
      </c>
      <c r="C15" s="21">
        <f>"+"&amp;(2*INDEX('Dados'!$B$258:$B$277,16))</f>
        <v/>
      </c>
    </row>
    <row r="16">
      <c r="A16" s="16" t="inlineStr">
        <is>
          <t>19-20</t>
        </is>
      </c>
      <c r="B16" s="22">
        <f>"+"&amp;INDEX('Dados'!$B$258:$B$277,19)</f>
        <v/>
      </c>
      <c r="C16" s="22">
        <f>"+"&amp;(2*INDEX('Dados'!$B$258:$B$277,19))</f>
        <v/>
      </c>
    </row>
    <row r="17"/>
    <row r="18">
      <c r="A18" s="14" t="inlineStr">
        <is>
          <t>Bônus de Atributo — 04.2</t>
        </is>
      </c>
    </row>
    <row r="19">
      <c r="A19" s="7" t="inlineStr">
        <is>
          <t>Valor</t>
        </is>
      </c>
      <c r="B19" s="7" t="inlineStr">
        <is>
          <t>8-9</t>
        </is>
      </c>
      <c r="C19" s="7" t="inlineStr">
        <is>
          <t>10-11</t>
        </is>
      </c>
      <c r="D19" s="7" t="inlineStr">
        <is>
          <t>12-13</t>
        </is>
      </c>
      <c r="E19" s="7" t="inlineStr">
        <is>
          <t>14</t>
        </is>
      </c>
      <c r="F19" s="7" t="inlineStr">
        <is>
          <t>15-16</t>
        </is>
      </c>
      <c r="G19" s="7" t="inlineStr">
        <is>
          <t>17-18</t>
        </is>
      </c>
      <c r="H19" s="7" t="inlineStr">
        <is>
          <t>19-20</t>
        </is>
      </c>
    </row>
    <row r="20">
      <c r="A20" s="16" t="inlineStr">
        <is>
          <t>Bônus</t>
        </is>
      </c>
      <c r="B20" s="17">
        <f>IF(VLOOKUP(8,'Dados'!$A$27:$B$39,2,FALSE)&gt;=0,"+","")&amp;VLOOKUP(8,'Dados'!$A$27:$B$39,2,FALSE)</f>
        <v/>
      </c>
      <c r="C20" s="17">
        <f>IF(VLOOKUP(10,'Dados'!$A$27:$B$39,2,FALSE)&gt;=0,"+","")&amp;VLOOKUP(10,'Dados'!$A$27:$B$39,2,FALSE)</f>
        <v/>
      </c>
      <c r="D20" s="17">
        <f>IF(VLOOKUP(12,'Dados'!$A$27:$B$39,2,FALSE)&gt;=0,"+","")&amp;VLOOKUP(12,'Dados'!$A$27:$B$39,2,FALSE)</f>
        <v/>
      </c>
      <c r="E20" s="17">
        <f>IF(VLOOKUP(14,'Dados'!$A$27:$B$39,2,FALSE)&gt;=0,"+","")&amp;VLOOKUP(14,'Dados'!$A$27:$B$39,2,FALSE)</f>
        <v/>
      </c>
      <c r="F20" s="17">
        <f>IF(VLOOKUP(15,'Dados'!$A$27:$B$39,2,FALSE)&gt;=0,"+","")&amp;VLOOKUP(15,'Dados'!$A$27:$B$39,2,FALSE)</f>
        <v/>
      </c>
      <c r="G20" s="17">
        <f>IF(VLOOKUP(17,'Dados'!$A$27:$B$39,2,FALSE)&gt;=0,"+","")&amp;VLOOKUP(17,'Dados'!$A$27:$B$39,2,FALSE)</f>
        <v/>
      </c>
      <c r="H20" s="17">
        <f>IF(VLOOKUP(19,'Dados'!$A$27:$B$39,2,FALSE)&gt;=0,"+","")&amp;VLOOKUP(19,'Dados'!$A$27:$B$39,2,FALSE)</f>
        <v/>
      </c>
    </row>
    <row r="21"/>
    <row r="22">
      <c r="A22" s="14" t="inlineStr">
        <is>
          <t>DT por faixa — 27.2</t>
        </is>
      </c>
    </row>
    <row r="23" ht="30" customHeight="1">
      <c r="A23" s="67" t="inlineStr">
        <is>
          <t>Dificuldade</t>
        </is>
      </c>
      <c r="B23" s="30" t="inlineStr">
        <is>
          <t>1-4</t>
        </is>
      </c>
      <c r="C23" s="30" t="inlineStr">
        <is>
          <t>5-8</t>
        </is>
      </c>
      <c r="D23" s="30" t="inlineStr">
        <is>
          <t>9-12</t>
        </is>
      </c>
      <c r="E23" s="30" t="inlineStr">
        <is>
          <t>13-16</t>
        </is>
      </c>
      <c r="F23" s="30" t="inlineStr">
        <is>
          <t>17-20</t>
        </is>
      </c>
    </row>
    <row r="24">
      <c r="A24" s="68">
        <f>IF(LEN('Dados'!$A$417)=0,"",'Dados'!$A$417)</f>
        <v/>
      </c>
      <c r="B24" s="69">
        <f>IF(LEN('Dados'!$B$417)=0,"",'Dados'!$B$417)</f>
        <v/>
      </c>
      <c r="C24" s="69">
        <f>IF(LEN('Dados'!$C$417)=0,"",'Dados'!$C$417)</f>
        <v/>
      </c>
      <c r="D24" s="69">
        <f>IF(LEN('Dados'!$D$417)=0,"",'Dados'!$D$417)</f>
        <v/>
      </c>
      <c r="E24" s="69">
        <f>IF(LEN('Dados'!$E$417)=0,"",'Dados'!$E$417)</f>
        <v/>
      </c>
      <c r="F24" s="69">
        <f>IF(LEN('Dados'!$F$417)=0,"",'Dados'!$F$417)</f>
        <v/>
      </c>
    </row>
    <row r="25">
      <c r="A25" s="70">
        <f>IF(LEN('Dados'!$A$418)=0,"",'Dados'!$A$418)</f>
        <v/>
      </c>
      <c r="B25" s="71">
        <f>IF(LEN('Dados'!$B$418)=0,"",'Dados'!$B$418)</f>
        <v/>
      </c>
      <c r="C25" s="71">
        <f>IF(LEN('Dados'!$C$418)=0,"",'Dados'!$C$418)</f>
        <v/>
      </c>
      <c r="D25" s="71">
        <f>IF(LEN('Dados'!$D$418)=0,"",'Dados'!$D$418)</f>
        <v/>
      </c>
      <c r="E25" s="71">
        <f>IF(LEN('Dados'!$E$418)=0,"",'Dados'!$E$418)</f>
        <v/>
      </c>
      <c r="F25" s="71">
        <f>IF(LEN('Dados'!$F$418)=0,"",'Dados'!$F$418)</f>
        <v/>
      </c>
    </row>
    <row r="26">
      <c r="A26" s="68">
        <f>IF(LEN('Dados'!$A$419)=0,"",'Dados'!$A$419)</f>
        <v/>
      </c>
      <c r="B26" s="69">
        <f>IF(LEN('Dados'!$B$419)=0,"",'Dados'!$B$419)</f>
        <v/>
      </c>
      <c r="C26" s="69">
        <f>IF(LEN('Dados'!$C$419)=0,"",'Dados'!$C$419)</f>
        <v/>
      </c>
      <c r="D26" s="69">
        <f>IF(LEN('Dados'!$D$419)=0,"",'Dados'!$D$419)</f>
        <v/>
      </c>
      <c r="E26" s="69">
        <f>IF(LEN('Dados'!$E$419)=0,"",'Dados'!$E$419)</f>
        <v/>
      </c>
      <c r="F26" s="69">
        <f>IF(LEN('Dados'!$F$419)=0,"",'Dados'!$F$419)</f>
        <v/>
      </c>
    </row>
    <row r="27">
      <c r="A27" s="70">
        <f>IF(LEN('Dados'!$A$420)=0,"",'Dados'!$A$420)</f>
        <v/>
      </c>
      <c r="B27" s="71">
        <f>IF(LEN('Dados'!$B$420)=0,"",'Dados'!$B$420)</f>
        <v/>
      </c>
      <c r="C27" s="71">
        <f>IF(LEN('Dados'!$C$420)=0,"",'Dados'!$C$420)</f>
        <v/>
      </c>
      <c r="D27" s="71">
        <f>IF(LEN('Dados'!$D$420)=0,"",'Dados'!$D$420)</f>
        <v/>
      </c>
      <c r="E27" s="71">
        <f>IF(LEN('Dados'!$E$420)=0,"",'Dados'!$E$420)</f>
        <v/>
      </c>
      <c r="F27" s="71">
        <f>IF(LEN('Dados'!$F$420)=0,"",'Dados'!$F$420)</f>
        <v/>
      </c>
    </row>
    <row r="28">
      <c r="A28" s="68">
        <f>IF(LEN('Dados'!$A$421)=0,"",'Dados'!$A$421)</f>
        <v/>
      </c>
      <c r="B28" s="69">
        <f>IF(LEN('Dados'!$B$421)=0,"",'Dados'!$B$421)</f>
        <v/>
      </c>
      <c r="C28" s="69">
        <f>IF(LEN('Dados'!$C$421)=0,"",'Dados'!$C$421)</f>
        <v/>
      </c>
      <c r="D28" s="69">
        <f>IF(LEN('Dados'!$D$421)=0,"",'Dados'!$D$421)</f>
        <v/>
      </c>
      <c r="E28" s="69">
        <f>IF(LEN('Dados'!$E$421)=0,"",'Dados'!$E$421)</f>
        <v/>
      </c>
      <c r="F28" s="69">
        <f>IF(LEN('Dados'!$F$421)=0,"",'Dados'!$F$421)</f>
        <v/>
      </c>
    </row>
    <row r="29">
      <c r="A29" s="70">
        <f>IF(LEN('Dados'!$A$422)=0,"",'Dados'!$A$422)</f>
        <v/>
      </c>
      <c r="B29" s="71">
        <f>IF(LEN('Dados'!$B$422)=0,"",'Dados'!$B$422)</f>
        <v/>
      </c>
      <c r="C29" s="71">
        <f>IF(LEN('Dados'!$C$422)=0,"",'Dados'!$C$422)</f>
        <v/>
      </c>
      <c r="D29" s="71">
        <f>IF(LEN('Dados'!$D$422)=0,"",'Dados'!$D$422)</f>
        <v/>
      </c>
      <c r="E29" s="71">
        <f>IF(LEN('Dados'!$E$422)=0,"",'Dados'!$E$422)</f>
        <v/>
      </c>
      <c r="F29" s="71">
        <f>IF(LEN('Dados'!$F$422)=0,"",'Dados'!$F$422)</f>
        <v/>
      </c>
    </row>
    <row r="30">
      <c r="A30" s="72">
        <f>"A sua faixa agora: "&amp;CHOOSE('Criação'!$B$14,"1-4","5-8","9-12","13-16","17-20")&amp;" · Sucesso Automático: bônus total da Perícia ≥ DT, não rola (27.2)"</f>
        <v/>
      </c>
    </row>
    <row r="31"/>
    <row r="32">
      <c r="A32" s="14" t="inlineStr">
        <is>
          <t>As cinco DTs de subsistema — 27.3 (vencem a tabela acima e não escalam)</t>
        </is>
      </c>
    </row>
    <row r="33" ht="30" customHeight="1">
      <c r="A33" s="67" t="inlineStr">
        <is>
          <t>Teste</t>
        </is>
      </c>
      <c r="B33" s="15" t="n"/>
      <c r="C33" s="15" t="n"/>
      <c r="D33" s="15" t="n"/>
      <c r="E33" s="67" t="inlineStr">
        <is>
          <t>DT</t>
        </is>
      </c>
      <c r="F33" s="15" t="n"/>
      <c r="G33" s="15" t="n"/>
      <c r="H33" s="15" t="n"/>
      <c r="I33" s="30" t="inlineStr">
        <is>
          <t>Capítulo</t>
        </is>
      </c>
    </row>
    <row r="34">
      <c r="A34" s="68">
        <f>IF(LEN('Dados'!$A$426)=0,"",'Dados'!$A$426)</f>
        <v/>
      </c>
      <c r="E34" s="73">
        <f>IF(LEN('Dados'!$B$426)=0,"",'Dados'!$B$426)</f>
        <v/>
      </c>
      <c r="I34" s="69">
        <f>IF(LEN('Dados'!$C$426)=0,"",'Dados'!$C$426)</f>
        <v/>
      </c>
    </row>
    <row r="35">
      <c r="A35" s="70">
        <f>IF(LEN('Dados'!$A$427)=0,"",'Dados'!$A$427)</f>
        <v/>
      </c>
      <c r="E35" s="74">
        <f>IF(LEN('Dados'!$B$427)=0,"",'Dados'!$B$427)</f>
        <v/>
      </c>
      <c r="I35" s="71">
        <f>IF(LEN('Dados'!$C$427)=0,"",'Dados'!$C$427)</f>
        <v/>
      </c>
    </row>
    <row r="36">
      <c r="A36" s="68">
        <f>IF(LEN('Dados'!$A$428)=0,"",'Dados'!$A$428)</f>
        <v/>
      </c>
      <c r="E36" s="73">
        <f>IF(LEN('Dados'!$B$428)=0,"",'Dados'!$B$428)</f>
        <v/>
      </c>
      <c r="I36" s="69">
        <f>IF(LEN('Dados'!$C$428)=0,"",'Dados'!$C$428)</f>
        <v/>
      </c>
    </row>
    <row r="37">
      <c r="A37" s="70">
        <f>IF(LEN('Dados'!$A$429)=0,"",'Dados'!$A$429)</f>
        <v/>
      </c>
      <c r="E37" s="74">
        <f>IF(LEN('Dados'!$B$429)=0,"",'Dados'!$B$429)</f>
        <v/>
      </c>
      <c r="I37" s="71">
        <f>IF(LEN('Dados'!$C$429)=0,"",'Dados'!$C$429)</f>
        <v/>
      </c>
    </row>
    <row r="38">
      <c r="A38" s="68">
        <f>IF(LEN('Dados'!$A$430)=0,"",'Dados'!$A$430)</f>
        <v/>
      </c>
      <c r="E38" s="73">
        <f>IF(LEN('Dados'!$B$430)=0,"",'Dados'!$B$430)</f>
        <v/>
      </c>
      <c r="I38" s="69">
        <f>IF(LEN('Dados'!$C$430)=0,"",'Dados'!$C$430)</f>
        <v/>
      </c>
    </row>
    <row r="39"/>
    <row r="40">
      <c r="A40" s="14" t="inlineStr">
        <is>
          <t>O turno, as Distâncias e o Teste de Ataque — 18 e 29.12</t>
        </is>
      </c>
    </row>
    <row r="41" ht="30" customHeight="1">
      <c r="A41" s="12" t="inlineStr">
        <is>
          <t>O turno: 1 Ataque Básico + 1 Ação Complementar + 1 Ação de Movimento, mais a Ultimate (não gasta ação) e 1 Reação. Habilidade ocupa o espaço do Ataque Básico. Esforço Total troca Ataque Básico + Ação Complementar por 2 Distâncias. Máximo de 1 Ação Extra por criatura por Ciclo.</t>
        </is>
      </c>
    </row>
    <row r="42">
      <c r="A42" s="12" t="inlineStr">
        <is>
          <t>Distâncias: Pessoal → Curta → Média → Longa → Extrema. Um passo por Ação de Movimento.</t>
        </is>
      </c>
    </row>
    <row r="43" ht="30" customHeight="1">
      <c r="A43" s="12" t="inlineStr">
        <is>
          <t>Teste de Ataque: d20 + Atributo de Ataque + Eficiência + Especialização + equipamento ± temporários ≥ Defesa. 20 natural é crítico (dobra só os dados base); 1 natural erra e não gera Energia. A faixa 19-20 é exclusiva da Caça (Olho de Lan).</t>
        </is>
      </c>
    </row>
    <row r="44"/>
    <row r="45">
      <c r="A45" s="14" t="inlineStr">
        <is>
          <t>Habilidades por Nível — 16.3</t>
        </is>
      </c>
    </row>
    <row r="46" ht="30" customHeight="1">
      <c r="A46" s="67" t="inlineStr">
        <is>
          <t>Nível</t>
        </is>
      </c>
      <c r="B46" s="30" t="inlineStr">
        <is>
          <t>Dano</t>
        </is>
      </c>
      <c r="C46" s="30" t="inlineStr">
        <is>
          <t>Média do dano</t>
        </is>
      </c>
      <c r="D46" s="30" t="inlineStr">
        <is>
          <t>Cura</t>
        </is>
      </c>
      <c r="E46" s="30" t="inlineStr">
        <is>
          <t>Média da cura</t>
        </is>
      </c>
      <c r="F46" s="30" t="inlineStr">
        <is>
          <t>Custo (PH)</t>
        </is>
      </c>
      <c r="G46" s="30" t="inlineStr">
        <is>
          <t>Redução de Tenacidade</t>
        </is>
      </c>
      <c r="H46" s="67" t="inlineStr">
        <is>
          <t>Alcance (cumulativo)</t>
        </is>
      </c>
      <c r="I46" s="15" t="n"/>
    </row>
    <row r="47">
      <c r="A47" s="68">
        <f>IF(LEN('Dados'!$A$296)=0,"",'Dados'!$A$296)</f>
        <v/>
      </c>
      <c r="B47" s="69">
        <f>IF(LEN('Dados'!$B$296)=0,"",'Dados'!$B$296)</f>
        <v/>
      </c>
      <c r="C47" s="69">
        <f>IF(LEN('Dados'!$E$296)=0,"",'Dados'!$E$296)</f>
        <v/>
      </c>
      <c r="D47" s="69">
        <f>IF(LEN('Dados'!$F$296)=0,"",'Dados'!$F$296)</f>
        <v/>
      </c>
      <c r="E47" s="69">
        <f>IF(LEN('Dados'!$I$296)=0,"",'Dados'!$I$296)</f>
        <v/>
      </c>
      <c r="F47" s="69">
        <f>IF(LEN('Dados'!$J$296)=0,"",'Dados'!$J$296)</f>
        <v/>
      </c>
      <c r="G47" s="69">
        <f>IF(LEN('Dados'!$K$296)=0,"",'Dados'!$K$296)</f>
        <v/>
      </c>
      <c r="H47" s="73">
        <f>IF(LEN('Dados'!$L$296)=0,"",'Dados'!$L$296)</f>
        <v/>
      </c>
    </row>
    <row r="48">
      <c r="A48" s="70">
        <f>IF(LEN('Dados'!$A$297)=0,"",'Dados'!$A$297)</f>
        <v/>
      </c>
      <c r="B48" s="71">
        <f>IF(LEN('Dados'!$B$297)=0,"",'Dados'!$B$297)</f>
        <v/>
      </c>
      <c r="C48" s="71">
        <f>IF(LEN('Dados'!$E$297)=0,"",'Dados'!$E$297)</f>
        <v/>
      </c>
      <c r="D48" s="71">
        <f>IF(LEN('Dados'!$F$297)=0,"",'Dados'!$F$297)</f>
        <v/>
      </c>
      <c r="E48" s="71">
        <f>IF(LEN('Dados'!$I$297)=0,"",'Dados'!$I$297)</f>
        <v/>
      </c>
      <c r="F48" s="71">
        <f>IF(LEN('Dados'!$J$297)=0,"",'Dados'!$J$297)</f>
        <v/>
      </c>
      <c r="G48" s="71">
        <f>IF(LEN('Dados'!$K$297)=0,"",'Dados'!$K$297)</f>
        <v/>
      </c>
      <c r="H48" s="74">
        <f>IF(LEN('Dados'!$L$297)=0,"",'Dados'!$L$297)</f>
        <v/>
      </c>
    </row>
    <row r="49">
      <c r="A49" s="68">
        <f>IF(LEN('Dados'!$A$298)=0,"",'Dados'!$A$298)</f>
        <v/>
      </c>
      <c r="B49" s="69">
        <f>IF(LEN('Dados'!$B$298)=0,"",'Dados'!$B$298)</f>
        <v/>
      </c>
      <c r="C49" s="69">
        <f>IF(LEN('Dados'!$E$298)=0,"",'Dados'!$E$298)</f>
        <v/>
      </c>
      <c r="D49" s="69">
        <f>IF(LEN('Dados'!$F$298)=0,"",'Dados'!$F$298)</f>
        <v/>
      </c>
      <c r="E49" s="69">
        <f>IF(LEN('Dados'!$I$298)=0,"",'Dados'!$I$298)</f>
        <v/>
      </c>
      <c r="F49" s="69">
        <f>IF(LEN('Dados'!$J$298)=0,"",'Dados'!$J$298)</f>
        <v/>
      </c>
      <c r="G49" s="69">
        <f>IF(LEN('Dados'!$K$298)=0,"",'Dados'!$K$298)</f>
        <v/>
      </c>
      <c r="H49" s="73">
        <f>IF(LEN('Dados'!$L$298)=0,"",'Dados'!$L$298)</f>
        <v/>
      </c>
    </row>
    <row r="50">
      <c r="A50" s="70">
        <f>IF(LEN('Dados'!$A$299)=0,"",'Dados'!$A$299)</f>
        <v/>
      </c>
      <c r="B50" s="71">
        <f>IF(LEN('Dados'!$B$299)=0,"",'Dados'!$B$299)</f>
        <v/>
      </c>
      <c r="C50" s="71">
        <f>IF(LEN('Dados'!$E$299)=0,"",'Dados'!$E$299)</f>
        <v/>
      </c>
      <c r="D50" s="71">
        <f>IF(LEN('Dados'!$F$299)=0,"",'Dados'!$F$299)</f>
        <v/>
      </c>
      <c r="E50" s="71">
        <f>IF(LEN('Dados'!$I$299)=0,"",'Dados'!$I$299)</f>
        <v/>
      </c>
      <c r="F50" s="71">
        <f>IF(LEN('Dados'!$J$299)=0,"",'Dados'!$J$299)</f>
        <v/>
      </c>
      <c r="G50" s="71">
        <f>IF(LEN('Dados'!$K$299)=0,"",'Dados'!$K$299)</f>
        <v/>
      </c>
      <c r="H50" s="74">
        <f>IF(LEN('Dados'!$L$299)=0,"",'Dados'!$L$299)</f>
        <v/>
      </c>
    </row>
    <row r="51">
      <c r="A51" s="68">
        <f>IF(LEN('Dados'!$A$300)=0,"",'Dados'!$A$300)</f>
        <v/>
      </c>
      <c r="B51" s="69">
        <f>IF(LEN('Dados'!$B$300)=0,"",'Dados'!$B$300)</f>
        <v/>
      </c>
      <c r="C51" s="69">
        <f>IF(LEN('Dados'!$E$300)=0,"",'Dados'!$E$300)</f>
        <v/>
      </c>
      <c r="D51" s="69">
        <f>IF(LEN('Dados'!$F$300)=0,"",'Dados'!$F$300)</f>
        <v/>
      </c>
      <c r="E51" s="69">
        <f>IF(LEN('Dados'!$I$300)=0,"",'Dados'!$I$300)</f>
        <v/>
      </c>
      <c r="F51" s="69">
        <f>IF(LEN('Dados'!$J$300)=0,"",'Dados'!$J$300)</f>
        <v/>
      </c>
      <c r="G51" s="69">
        <f>IF(LEN('Dados'!$K$300)=0,"",'Dados'!$K$300)</f>
        <v/>
      </c>
      <c r="H51" s="73">
        <f>IF(LEN('Dados'!$L$300)=0,"",'Dados'!$L$300)</f>
        <v/>
      </c>
    </row>
    <row r="52">
      <c r="A52" s="70">
        <f>IF(LEN('Dados'!$A$301)=0,"",'Dados'!$A$301)</f>
        <v/>
      </c>
      <c r="B52" s="71">
        <f>IF(LEN('Dados'!$B$301)=0,"",'Dados'!$B$301)</f>
        <v/>
      </c>
      <c r="C52" s="71">
        <f>IF(LEN('Dados'!$E$301)=0,"",'Dados'!$E$301)</f>
        <v/>
      </c>
      <c r="D52" s="71">
        <f>IF(LEN('Dados'!$F$301)=0,"",'Dados'!$F$301)</f>
        <v/>
      </c>
      <c r="E52" s="71">
        <f>IF(LEN('Dados'!$I$301)=0,"",'Dados'!$I$301)</f>
        <v/>
      </c>
      <c r="F52" s="71">
        <f>IF(LEN('Dados'!$J$301)=0,"",'Dados'!$J$301)</f>
        <v/>
      </c>
      <c r="G52" s="71">
        <f>IF(LEN('Dados'!$K$301)=0,"",'Dados'!$K$301)</f>
        <v/>
      </c>
      <c r="H52" s="74">
        <f>IF(LEN('Dados'!$L$301)=0,"",'Dados'!$L$301)</f>
        <v/>
      </c>
    </row>
    <row r="53">
      <c r="A53" s="68">
        <f>IF(LEN('Dados'!$A$302)=0,"",'Dados'!$A$302)</f>
        <v/>
      </c>
      <c r="B53" s="69">
        <f>IF(LEN('Dados'!$B$302)=0,"",'Dados'!$B$302)</f>
        <v/>
      </c>
      <c r="C53" s="69">
        <f>IF(LEN('Dados'!$E$302)=0,"",'Dados'!$E$302)</f>
        <v/>
      </c>
      <c r="D53" s="69">
        <f>IF(LEN('Dados'!$F$302)=0,"",'Dados'!$F$302)</f>
        <v/>
      </c>
      <c r="E53" s="69">
        <f>IF(LEN('Dados'!$I$302)=0,"",'Dados'!$I$302)</f>
        <v/>
      </c>
      <c r="F53" s="69">
        <f>IF(LEN('Dados'!$J$302)=0,"",'Dados'!$J$302)</f>
        <v/>
      </c>
      <c r="G53" s="69">
        <f>IF(LEN('Dados'!$K$302)=0,"",'Dados'!$K$302)</f>
        <v/>
      </c>
      <c r="H53" s="73">
        <f>IF(LEN('Dados'!$L$302)=0,"",'Dados'!$L$302)</f>
        <v/>
      </c>
    </row>
    <row r="54" ht="30" customHeight="1">
      <c r="A54" s="33" t="inlineStr">
        <is>
          <t>Mais o Bônus do Atributo de Habilidade, uma vez. Em área: metade dos dados (mínimo 1), até 3 alvos (4 nos Níveis 6 e 7), teto absoluto 6, mesmo custo (16.4). Passiva não custa PH e conta no teto de 8.</t>
        </is>
      </c>
    </row>
    <row r="55"/>
    <row r="56">
      <c r="A56" s="14" t="inlineStr">
        <is>
          <t>Ultimate por faixa — 17.3 (100 de Energia, 1 por Ciclo)</t>
        </is>
      </c>
    </row>
    <row r="57" ht="30" customHeight="1">
      <c r="A57" s="67" t="inlineStr">
        <is>
          <t>Faixa de nível</t>
        </is>
      </c>
      <c r="B57" s="30" t="inlineStr">
        <is>
          <t>Nível equivalente</t>
        </is>
      </c>
      <c r="C57" s="30" t="inlineStr">
        <is>
          <t>Dano</t>
        </is>
      </c>
      <c r="D57" s="30" t="inlineStr">
        <is>
          <t>Média do dano</t>
        </is>
      </c>
      <c r="E57" s="30" t="inlineStr">
        <is>
          <t>Cura</t>
        </is>
      </c>
      <c r="F57" s="30" t="inlineStr">
        <is>
          <t>Média da cura</t>
        </is>
      </c>
      <c r="G57" s="30" t="inlineStr">
        <is>
          <t>Redução de Tenacidade</t>
        </is>
      </c>
    </row>
    <row r="58">
      <c r="A58" s="68">
        <f>IF(LEN('Dados'!$A$326)=0,"",'Dados'!$A$326)</f>
        <v/>
      </c>
      <c r="B58" s="69">
        <f>IF(LEN('Dados'!$B$326)=0,"",'Dados'!$B$326)</f>
        <v/>
      </c>
      <c r="C58" s="69">
        <f>IF(LEN('Dados'!$C$326)=0,"",'Dados'!$C$326)</f>
        <v/>
      </c>
      <c r="D58" s="69">
        <f>IF(LEN('Dados'!$F$326)=0,"",'Dados'!$F$326)</f>
        <v/>
      </c>
      <c r="E58" s="69">
        <f>IF(LEN('Dados'!$G$326)=0,"",'Dados'!$G$326)</f>
        <v/>
      </c>
      <c r="F58" s="69">
        <f>IF(LEN('Dados'!$J$326)=0,"",'Dados'!$J$326)</f>
        <v/>
      </c>
      <c r="G58" s="69">
        <f>IF(LEN('Dados'!$K$326)=0,"",'Dados'!$K$326)</f>
        <v/>
      </c>
    </row>
    <row r="59">
      <c r="A59" s="70">
        <f>IF(LEN('Dados'!$A$327)=0,"",'Dados'!$A$327)</f>
        <v/>
      </c>
      <c r="B59" s="71">
        <f>IF(LEN('Dados'!$B$327)=0,"",'Dados'!$B$327)</f>
        <v/>
      </c>
      <c r="C59" s="71">
        <f>IF(LEN('Dados'!$C$327)=0,"",'Dados'!$C$327)</f>
        <v/>
      </c>
      <c r="D59" s="71">
        <f>IF(LEN('Dados'!$F$327)=0,"",'Dados'!$F$327)</f>
        <v/>
      </c>
      <c r="E59" s="71">
        <f>IF(LEN('Dados'!$G$327)=0,"",'Dados'!$G$327)</f>
        <v/>
      </c>
      <c r="F59" s="71">
        <f>IF(LEN('Dados'!$J$327)=0,"",'Dados'!$J$327)</f>
        <v/>
      </c>
      <c r="G59" s="71">
        <f>IF(LEN('Dados'!$K$327)=0,"",'Dados'!$K$327)</f>
        <v/>
      </c>
    </row>
    <row r="60">
      <c r="A60" s="68">
        <f>IF(LEN('Dados'!$A$328)=0,"",'Dados'!$A$328)</f>
        <v/>
      </c>
      <c r="B60" s="69">
        <f>IF(LEN('Dados'!$B$328)=0,"",'Dados'!$B$328)</f>
        <v/>
      </c>
      <c r="C60" s="69">
        <f>IF(LEN('Dados'!$C$328)=0,"",'Dados'!$C$328)</f>
        <v/>
      </c>
      <c r="D60" s="69">
        <f>IF(LEN('Dados'!$F$328)=0,"",'Dados'!$F$328)</f>
        <v/>
      </c>
      <c r="E60" s="69">
        <f>IF(LEN('Dados'!$G$328)=0,"",'Dados'!$G$328)</f>
        <v/>
      </c>
      <c r="F60" s="69">
        <f>IF(LEN('Dados'!$J$328)=0,"",'Dados'!$J$328)</f>
        <v/>
      </c>
      <c r="G60" s="69">
        <f>IF(LEN('Dados'!$K$328)=0,"",'Dados'!$K$328)</f>
        <v/>
      </c>
    </row>
    <row r="61">
      <c r="A61" s="70">
        <f>IF(LEN('Dados'!$A$329)=0,"",'Dados'!$A$329)</f>
        <v/>
      </c>
      <c r="B61" s="71">
        <f>IF(LEN('Dados'!$B$329)=0,"",'Dados'!$B$329)</f>
        <v/>
      </c>
      <c r="C61" s="71">
        <f>IF(LEN('Dados'!$C$329)=0,"",'Dados'!$C$329)</f>
        <v/>
      </c>
      <c r="D61" s="71">
        <f>IF(LEN('Dados'!$F$329)=0,"",'Dados'!$F$329)</f>
        <v/>
      </c>
      <c r="E61" s="71">
        <f>IF(LEN('Dados'!$G$329)=0,"",'Dados'!$G$329)</f>
        <v/>
      </c>
      <c r="F61" s="71">
        <f>IF(LEN('Dados'!$J$329)=0,"",'Dados'!$J$329)</f>
        <v/>
      </c>
      <c r="G61" s="71">
        <f>IF(LEN('Dados'!$K$329)=0,"",'Dados'!$K$329)</f>
        <v/>
      </c>
    </row>
    <row r="62">
      <c r="A62" s="68">
        <f>IF(LEN('Dados'!$A$330)=0,"",'Dados'!$A$330)</f>
        <v/>
      </c>
      <c r="B62" s="69">
        <f>IF(LEN('Dados'!$B$330)=0,"",'Dados'!$B$330)</f>
        <v/>
      </c>
      <c r="C62" s="69">
        <f>IF(LEN('Dados'!$C$330)=0,"",'Dados'!$C$330)</f>
        <v/>
      </c>
      <c r="D62" s="69">
        <f>IF(LEN('Dados'!$F$330)=0,"",'Dados'!$F$330)</f>
        <v/>
      </c>
      <c r="E62" s="69">
        <f>IF(LEN('Dados'!$G$330)=0,"",'Dados'!$G$330)</f>
        <v/>
      </c>
      <c r="F62" s="69">
        <f>IF(LEN('Dados'!$J$330)=0,"",'Dados'!$J$330)</f>
        <v/>
      </c>
      <c r="G62" s="69">
        <f>IF(LEN('Dados'!$K$330)=0,"",'Dados'!$K$330)</f>
        <v/>
      </c>
    </row>
    <row r="63"/>
    <row r="64">
      <c r="A64" s="14" t="inlineStr">
        <is>
          <t>Energia — 17.2</t>
        </is>
      </c>
    </row>
    <row r="65" ht="30" customHeight="1">
      <c r="A65" s="67" t="inlineStr">
        <is>
          <t>Fonte</t>
        </is>
      </c>
      <c r="B65" s="15" t="n"/>
      <c r="C65" s="15" t="n"/>
      <c r="D65" s="67" t="inlineStr">
        <is>
          <t>Energia</t>
        </is>
      </c>
      <c r="E65" s="15" t="n"/>
      <c r="F65" s="15" t="n"/>
      <c r="G65" s="15" t="n"/>
      <c r="H65" s="15" t="n"/>
      <c r="I65" s="67" t="inlineStr">
        <is>
          <t>Limite</t>
        </is>
      </c>
      <c r="J65" s="15" t="n"/>
      <c r="K65" s="15" t="n"/>
    </row>
    <row r="66" ht="30" customHeight="1">
      <c r="A66" s="68">
        <f>IF(LEN('Dados'!$A$351)=0,"",'Dados'!$A$351)</f>
        <v/>
      </c>
      <c r="D66" s="73">
        <f>IF(LEN('Dados'!$B$351)=0,"",'Dados'!$B$351)</f>
        <v/>
      </c>
      <c r="I66" s="73">
        <f>IF(LEN('Dados'!$C$351)=0,"",'Dados'!$C$351)</f>
        <v/>
      </c>
    </row>
    <row r="67" ht="30" customHeight="1">
      <c r="A67" s="70">
        <f>IF(LEN('Dados'!$A$352)=0,"",'Dados'!$A$352)</f>
        <v/>
      </c>
      <c r="D67" s="74">
        <f>IF(LEN('Dados'!$B$352)=0,"",'Dados'!$B$352)</f>
        <v/>
      </c>
      <c r="I67" s="74">
        <f>IF(LEN('Dados'!$C$352)=0,"",'Dados'!$C$352)</f>
        <v/>
      </c>
    </row>
    <row r="68" ht="30" customHeight="1">
      <c r="A68" s="68">
        <f>IF(LEN('Dados'!$A$353)=0,"",'Dados'!$A$353)</f>
        <v/>
      </c>
      <c r="D68" s="73">
        <f>IF(LEN('Dados'!$B$353)=0,"",'Dados'!$B$353)</f>
        <v/>
      </c>
      <c r="I68" s="73">
        <f>IF(LEN('Dados'!$C$353)=0,"",'Dados'!$C$353)</f>
        <v/>
      </c>
    </row>
    <row r="69" ht="30" customHeight="1">
      <c r="A69" s="70">
        <f>IF(LEN('Dados'!$A$354)=0,"",'Dados'!$A$354)</f>
        <v/>
      </c>
      <c r="D69" s="74">
        <f>IF(LEN('Dados'!$B$354)=0,"",'Dados'!$B$354)</f>
        <v/>
      </c>
      <c r="I69" s="74">
        <f>IF(LEN('Dados'!$C$354)=0,"",'Dados'!$C$354)</f>
        <v/>
      </c>
    </row>
    <row r="70" ht="30" customHeight="1">
      <c r="A70" s="68">
        <f>IF(LEN('Dados'!$A$355)=0,"",'Dados'!$A$355)</f>
        <v/>
      </c>
      <c r="D70" s="73">
        <f>IF(LEN('Dados'!$B$355)=0,"",'Dados'!$B$355)</f>
        <v/>
      </c>
      <c r="I70" s="73">
        <f>IF(LEN('Dados'!$C$355)=0,"",'Dados'!$C$355)</f>
        <v/>
      </c>
    </row>
    <row r="71" ht="30" customHeight="1">
      <c r="A71" s="70">
        <f>IF(LEN('Dados'!$A$356)=0,"",'Dados'!$A$356)</f>
        <v/>
      </c>
      <c r="D71" s="74">
        <f>IF(LEN('Dados'!$B$356)=0,"",'Dados'!$B$356)</f>
        <v/>
      </c>
      <c r="I71" s="74">
        <f>IF(LEN('Dados'!$C$356)=0,"",'Dados'!$C$356)</f>
        <v/>
      </c>
    </row>
    <row r="72" ht="30" customHeight="1">
      <c r="A72" s="68">
        <f>IF(LEN('Dados'!$A$357)=0,"",'Dados'!$A$357)</f>
        <v/>
      </c>
      <c r="D72" s="73">
        <f>IF(LEN('Dados'!$B$357)=0,"",'Dados'!$B$357)</f>
        <v/>
      </c>
      <c r="I72" s="73">
        <f>IF(LEN('Dados'!$C$357)=0,"",'Dados'!$C$357)</f>
        <v/>
      </c>
    </row>
    <row r="73" ht="30" customHeight="1">
      <c r="A73" s="70">
        <f>IF(LEN('Dados'!$A$358)=0,"",'Dados'!$A$358)</f>
        <v/>
      </c>
      <c r="D73" s="74">
        <f>IF(LEN('Dados'!$B$358)=0,"",'Dados'!$B$358)</f>
        <v/>
      </c>
      <c r="I73" s="74">
        <f>IF(LEN('Dados'!$C$358)=0,"",'Dados'!$C$358)</f>
        <v/>
      </c>
    </row>
    <row r="74"/>
    <row r="75">
      <c r="A75" s="14" t="inlineStr">
        <is>
          <t>Fraqueza e Resistência — 20.2 (Redução de Tenacidade só se o ataque acertar)</t>
        </is>
      </c>
    </row>
    <row r="76" ht="30" customHeight="1">
      <c r="A76" s="67" t="inlineStr">
        <is>
          <t>Situação</t>
        </is>
      </c>
      <c r="B76" s="15" t="n"/>
      <c r="C76" s="15" t="n"/>
      <c r="D76" s="67" t="inlineStr">
        <is>
          <t>Dano</t>
        </is>
      </c>
      <c r="E76" s="15" t="n"/>
      <c r="F76" s="15" t="n"/>
      <c r="G76" s="15" t="n"/>
      <c r="H76" s="67" t="inlineStr">
        <is>
          <t>Redução de Tenacidade</t>
        </is>
      </c>
      <c r="I76" s="15" t="n"/>
      <c r="J76" s="15" t="n"/>
      <c r="K76" s="15" t="n"/>
    </row>
    <row r="77">
      <c r="A77" s="68">
        <f>IF(LEN('Dados'!$A$384)=0,"",'Dados'!$A$384)</f>
        <v/>
      </c>
      <c r="D77" s="73">
        <f>IF(LEN('Dados'!$B$384)=0,"",'Dados'!$B$384)</f>
        <v/>
      </c>
      <c r="H77" s="73">
        <f>IF(LEN('Dados'!$C$384)=0,"",'Dados'!$C$384)</f>
        <v/>
      </c>
    </row>
    <row r="78">
      <c r="A78" s="70">
        <f>IF(LEN('Dados'!$A$385)=0,"",'Dados'!$A$385)</f>
        <v/>
      </c>
      <c r="D78" s="74">
        <f>IF(LEN('Dados'!$B$385)=0,"",'Dados'!$B$385)</f>
        <v/>
      </c>
      <c r="H78" s="74">
        <f>IF(LEN('Dados'!$C$385)=0,"",'Dados'!$C$385)</f>
        <v/>
      </c>
    </row>
    <row r="79">
      <c r="A79" s="68">
        <f>IF(LEN('Dados'!$A$386)=0,"",'Dados'!$A$386)</f>
        <v/>
      </c>
      <c r="D79" s="73">
        <f>IF(LEN('Dados'!$B$386)=0,"",'Dados'!$B$386)</f>
        <v/>
      </c>
      <c r="H79" s="73">
        <f>IF(LEN('Dados'!$C$386)=0,"",'Dados'!$C$386)</f>
        <v/>
      </c>
    </row>
    <row r="80"/>
    <row r="81">
      <c r="A81" s="14" t="inlineStr">
        <is>
          <t>Dano de Quebra — 20.5 (Quebra: dano + efeito + Atrasa 1 casa + Quebrado + 10 de Energia)</t>
        </is>
      </c>
    </row>
    <row r="82" ht="30" customHeight="1">
      <c r="A82" s="67" t="inlineStr">
        <is>
          <t>Elemento</t>
        </is>
      </c>
      <c r="B82" s="15" t="n"/>
      <c r="C82" s="67" t="inlineStr">
        <is>
          <t>Dano de Quebra</t>
        </is>
      </c>
      <c r="D82" s="15" t="n"/>
      <c r="E82" s="15" t="n"/>
      <c r="F82" s="67" t="inlineStr">
        <is>
          <t>Efeito de Quebra</t>
        </is>
      </c>
      <c r="G82" s="15" t="n"/>
      <c r="H82" s="15" t="n"/>
    </row>
    <row r="83">
      <c r="A83" s="68">
        <f>IF(LEN('Dados'!$A$374)=0,"",'Dados'!$A$374)</f>
        <v/>
      </c>
      <c r="C83" s="73">
        <f>IF(LEN('Dados'!$D$374)=0,"",'Dados'!$D$374)</f>
        <v/>
      </c>
      <c r="F83" s="73">
        <f>IF(LEN('Dados'!$H$374)=0,"",'Dados'!$H$374)</f>
        <v/>
      </c>
    </row>
    <row r="84">
      <c r="A84" s="70">
        <f>IF(LEN('Dados'!$A$375)=0,"",'Dados'!$A$375)</f>
        <v/>
      </c>
      <c r="C84" s="74">
        <f>IF(LEN('Dados'!$D$375)=0,"",'Dados'!$D$375)</f>
        <v/>
      </c>
      <c r="F84" s="74">
        <f>IF(LEN('Dados'!$H$375)=0,"",'Dados'!$H$375)</f>
        <v/>
      </c>
    </row>
    <row r="85">
      <c r="A85" s="68">
        <f>IF(LEN('Dados'!$A$376)=0,"",'Dados'!$A$376)</f>
        <v/>
      </c>
      <c r="C85" s="73">
        <f>IF(LEN('Dados'!$D$376)=0,"",'Dados'!$D$376)</f>
        <v/>
      </c>
      <c r="F85" s="73">
        <f>IF(LEN('Dados'!$H$376)=0,"",'Dados'!$H$376)</f>
        <v/>
      </c>
    </row>
    <row r="86">
      <c r="A86" s="70">
        <f>IF(LEN('Dados'!$A$377)=0,"",'Dados'!$A$377)</f>
        <v/>
      </c>
      <c r="C86" s="74">
        <f>IF(LEN('Dados'!$D$377)=0,"",'Dados'!$D$377)</f>
        <v/>
      </c>
      <c r="F86" s="74">
        <f>IF(LEN('Dados'!$H$377)=0,"",'Dados'!$H$377)</f>
        <v/>
      </c>
    </row>
    <row r="87">
      <c r="A87" s="68">
        <f>IF(LEN('Dados'!$A$378)=0,"",'Dados'!$A$378)</f>
        <v/>
      </c>
      <c r="C87" s="73">
        <f>IF(LEN('Dados'!$D$378)=0,"",'Dados'!$D$378)</f>
        <v/>
      </c>
      <c r="F87" s="73">
        <f>IF(LEN('Dados'!$H$378)=0,"",'Dados'!$H$378)</f>
        <v/>
      </c>
    </row>
    <row r="88">
      <c r="A88" s="70">
        <f>IF(LEN('Dados'!$A$379)=0,"",'Dados'!$A$379)</f>
        <v/>
      </c>
      <c r="C88" s="74">
        <f>IF(LEN('Dados'!$D$379)=0,"",'Dados'!$D$379)</f>
        <v/>
      </c>
      <c r="F88" s="74">
        <f>IF(LEN('Dados'!$H$379)=0,"",'Dados'!$H$379)</f>
        <v/>
      </c>
    </row>
    <row r="89">
      <c r="A89" s="68">
        <f>IF(LEN('Dados'!$A$380)=0,"",'Dados'!$A$380)</f>
        <v/>
      </c>
      <c r="C89" s="73">
        <f>IF(LEN('Dados'!$D$380)=0,"",'Dados'!$D$380)</f>
        <v/>
      </c>
      <c r="F89" s="73">
        <f>IF(LEN('Dados'!$H$380)=0,"",'Dados'!$H$380)</f>
        <v/>
      </c>
    </row>
    <row r="90"/>
    <row r="91">
      <c r="A91" s="14" t="inlineStr">
        <is>
          <t>Tetos que a mesa esquece — 26.6, 18.4 e 23.3</t>
        </is>
      </c>
    </row>
    <row r="92" ht="45" customHeight="1">
      <c r="A92" s="12" t="inlineStr">
        <is>
          <t>Bônus somado +3 (níveis 1-9) / +4 (10-15) / +5 (16-20) · penalidade somada -3 / -4 / -5 (somatórios separados) · dados adicionais +3 por rolagem, sem contar a Fraqueza · RD 2 + (2 × Eficiência) · PV temporários 3 × Eficiência (não acumulam: fica o maior) · acúmulos de uma condição 5 · Habilidades conhecidas 8. Bônus Maior do Cone e bônus de slot de Relíquia ficam fora do teto; Conjuntos e Efeito Condicional entram (25.4).</t>
        </is>
      </c>
    </row>
    <row r="93">
      <c r="A93" s="4">
        <f>"Os seus tetos agora: bônus +"&amp;'Criação'!$J$14&amp;" · penalidade "&amp;'Criação'!$K$14&amp;" · RD "&amp;'Criação'!$H$14&amp;" · PV temporários "&amp;'Criação'!$I$14</f>
        <v/>
      </c>
    </row>
    <row r="94"/>
    <row r="95">
      <c r="A95" s="14" t="inlineStr">
        <is>
          <t>Condições — 21.5 (no máximo 5 instâncias; cura não remove; Descanso Longo remove todas)</t>
        </is>
      </c>
    </row>
    <row r="96" ht="30" customHeight="1">
      <c r="A96" s="67" t="inlineStr">
        <is>
          <t>Condição</t>
        </is>
      </c>
      <c r="B96" s="15" t="n"/>
      <c r="C96" s="67" t="inlineStr">
        <is>
          <t>Efeito</t>
        </is>
      </c>
      <c r="D96" s="15" t="n"/>
      <c r="E96" s="15" t="n"/>
      <c r="F96" s="15" t="n"/>
      <c r="G96" s="15" t="n"/>
      <c r="H96" s="67" t="inlineStr">
        <is>
          <t>Duração</t>
        </is>
      </c>
      <c r="I96" s="15" t="n"/>
      <c r="J96" s="67" t="inlineStr">
        <is>
          <t>Acúmulo</t>
        </is>
      </c>
      <c r="K96" s="15" t="n"/>
      <c r="L96" s="30" t="inlineStr">
        <is>
          <t>Só inimigos</t>
        </is>
      </c>
    </row>
    <row r="97" ht="30" customHeight="1">
      <c r="A97" s="68">
        <f>IF(LEN('Dados'!$A$398)=0,"",'Dados'!$A$398)</f>
        <v/>
      </c>
      <c r="C97" s="73">
        <f>IF(LEN('Dados'!$B$398)=0,"",'Dados'!$B$398)</f>
        <v/>
      </c>
      <c r="H97" s="73">
        <f>IF(LEN('Dados'!$C$398)=0,"",'Dados'!$C$398)</f>
        <v/>
      </c>
      <c r="J97" s="73">
        <f>IF(LEN('Dados'!$D$398)=0,"",'Dados'!$D$398)</f>
        <v/>
      </c>
      <c r="L97" s="69">
        <f>IF(LEN('Dados'!$E$398)=0,"",'Dados'!$E$398)</f>
        <v/>
      </c>
    </row>
    <row r="98" ht="30" customHeight="1">
      <c r="A98" s="70">
        <f>IF(LEN('Dados'!$A$399)=0,"",'Dados'!$A$399)</f>
        <v/>
      </c>
      <c r="C98" s="74">
        <f>IF(LEN('Dados'!$B$399)=0,"",'Dados'!$B$399)</f>
        <v/>
      </c>
      <c r="H98" s="74">
        <f>IF(LEN('Dados'!$C$399)=0,"",'Dados'!$C$399)</f>
        <v/>
      </c>
      <c r="J98" s="74">
        <f>IF(LEN('Dados'!$D$399)=0,"",'Dados'!$D$399)</f>
        <v/>
      </c>
      <c r="L98" s="71">
        <f>IF(LEN('Dados'!$E$399)=0,"",'Dados'!$E$399)</f>
        <v/>
      </c>
    </row>
    <row r="99" ht="30" customHeight="1">
      <c r="A99" s="68">
        <f>IF(LEN('Dados'!$A$400)=0,"",'Dados'!$A$400)</f>
        <v/>
      </c>
      <c r="C99" s="73">
        <f>IF(LEN('Dados'!$B$400)=0,"",'Dados'!$B$400)</f>
        <v/>
      </c>
      <c r="H99" s="73">
        <f>IF(LEN('Dados'!$C$400)=0,"",'Dados'!$C$400)</f>
        <v/>
      </c>
      <c r="J99" s="73">
        <f>IF(LEN('Dados'!$D$400)=0,"",'Dados'!$D$400)</f>
        <v/>
      </c>
      <c r="L99" s="69">
        <f>IF(LEN('Dados'!$E$400)=0,"",'Dados'!$E$400)</f>
        <v/>
      </c>
    </row>
    <row r="100" ht="30" customHeight="1">
      <c r="A100" s="70">
        <f>IF(LEN('Dados'!$A$401)=0,"",'Dados'!$A$401)</f>
        <v/>
      </c>
      <c r="C100" s="74">
        <f>IF(LEN('Dados'!$B$401)=0,"",'Dados'!$B$401)</f>
        <v/>
      </c>
      <c r="H100" s="74">
        <f>IF(LEN('Dados'!$C$401)=0,"",'Dados'!$C$401)</f>
        <v/>
      </c>
      <c r="J100" s="74">
        <f>IF(LEN('Dados'!$D$401)=0,"",'Dados'!$D$401)</f>
        <v/>
      </c>
      <c r="L100" s="71">
        <f>IF(LEN('Dados'!$E$401)=0,"",'Dados'!$E$401)</f>
        <v/>
      </c>
    </row>
    <row r="101" ht="30" customHeight="1">
      <c r="A101" s="68">
        <f>IF(LEN('Dados'!$A$402)=0,"",'Dados'!$A$402)</f>
        <v/>
      </c>
      <c r="C101" s="73">
        <f>IF(LEN('Dados'!$B$402)=0,"",'Dados'!$B$402)</f>
        <v/>
      </c>
      <c r="H101" s="73">
        <f>IF(LEN('Dados'!$C$402)=0,"",'Dados'!$C$402)</f>
        <v/>
      </c>
      <c r="J101" s="73">
        <f>IF(LEN('Dados'!$D$402)=0,"",'Dados'!$D$402)</f>
        <v/>
      </c>
      <c r="L101" s="69">
        <f>IF(LEN('Dados'!$E$402)=0,"",'Dados'!$E$402)</f>
        <v/>
      </c>
    </row>
    <row r="102" ht="30" customHeight="1">
      <c r="A102" s="70">
        <f>IF(LEN('Dados'!$A$403)=0,"",'Dados'!$A$403)</f>
        <v/>
      </c>
      <c r="C102" s="74">
        <f>IF(LEN('Dados'!$B$403)=0,"",'Dados'!$B$403)</f>
        <v/>
      </c>
      <c r="H102" s="74">
        <f>IF(LEN('Dados'!$C$403)=0,"",'Dados'!$C$403)</f>
        <v/>
      </c>
      <c r="J102" s="74">
        <f>IF(LEN('Dados'!$D$403)=0,"",'Dados'!$D$403)</f>
        <v/>
      </c>
      <c r="L102" s="71">
        <f>IF(LEN('Dados'!$E$403)=0,"",'Dados'!$E$403)</f>
        <v/>
      </c>
    </row>
    <row r="103" ht="30" customHeight="1">
      <c r="A103" s="68">
        <f>IF(LEN('Dados'!$A$404)=0,"",'Dados'!$A$404)</f>
        <v/>
      </c>
      <c r="C103" s="73">
        <f>IF(LEN('Dados'!$B$404)=0,"",'Dados'!$B$404)</f>
        <v/>
      </c>
      <c r="H103" s="73">
        <f>IF(LEN('Dados'!$C$404)=0,"",'Dados'!$C$404)</f>
        <v/>
      </c>
      <c r="J103" s="73">
        <f>IF(LEN('Dados'!$D$404)=0,"",'Dados'!$D$404)</f>
        <v/>
      </c>
      <c r="L103" s="69">
        <f>IF(LEN('Dados'!$E$404)=0,"",'Dados'!$E$404)</f>
        <v/>
      </c>
    </row>
    <row r="104" ht="30" customHeight="1">
      <c r="A104" s="70">
        <f>IF(LEN('Dados'!$A$405)=0,"",'Dados'!$A$405)</f>
        <v/>
      </c>
      <c r="C104" s="74">
        <f>IF(LEN('Dados'!$B$405)=0,"",'Dados'!$B$405)</f>
        <v/>
      </c>
      <c r="H104" s="74">
        <f>IF(LEN('Dados'!$C$405)=0,"",'Dados'!$C$405)</f>
        <v/>
      </c>
      <c r="J104" s="74">
        <f>IF(LEN('Dados'!$D$405)=0,"",'Dados'!$D$405)</f>
        <v/>
      </c>
      <c r="L104" s="71">
        <f>IF(LEN('Dados'!$E$405)=0,"",'Dados'!$E$405)</f>
        <v/>
      </c>
    </row>
    <row r="105" ht="30" customHeight="1">
      <c r="A105" s="68">
        <f>IF(LEN('Dados'!$A$406)=0,"",'Dados'!$A$406)</f>
        <v/>
      </c>
      <c r="C105" s="73">
        <f>IF(LEN('Dados'!$B$406)=0,"",'Dados'!$B$406)</f>
        <v/>
      </c>
      <c r="H105" s="73">
        <f>IF(LEN('Dados'!$C$406)=0,"",'Dados'!$C$406)</f>
        <v/>
      </c>
      <c r="J105" s="73">
        <f>IF(LEN('Dados'!$D$406)=0,"",'Dados'!$D$406)</f>
        <v/>
      </c>
      <c r="L105" s="69">
        <f>IF(LEN('Dados'!$E$406)=0,"",'Dados'!$E$406)</f>
        <v/>
      </c>
    </row>
    <row r="106" ht="30" customHeight="1">
      <c r="A106" s="70">
        <f>IF(LEN('Dados'!$A$407)=0,"",'Dados'!$A$407)</f>
        <v/>
      </c>
      <c r="C106" s="74">
        <f>IF(LEN('Dados'!$B$407)=0,"",'Dados'!$B$407)</f>
        <v/>
      </c>
      <c r="H106" s="74">
        <f>IF(LEN('Dados'!$C$407)=0,"",'Dados'!$C$407)</f>
        <v/>
      </c>
      <c r="J106" s="74">
        <f>IF(LEN('Dados'!$D$407)=0,"",'Dados'!$D$407)</f>
        <v/>
      </c>
      <c r="L106" s="71">
        <f>IF(LEN('Dados'!$E$407)=0,"",'Dados'!$E$407)</f>
        <v/>
      </c>
    </row>
    <row r="107" ht="30" customHeight="1">
      <c r="A107" s="67" t="inlineStr">
        <is>
          <t>Condição</t>
        </is>
      </c>
      <c r="B107" s="15" t="n"/>
      <c r="C107" s="67" t="inlineStr">
        <is>
          <t>Efeito</t>
        </is>
      </c>
      <c r="D107" s="15" t="n"/>
      <c r="E107" s="15" t="n"/>
      <c r="F107" s="15" t="n"/>
      <c r="G107" s="15" t="n"/>
      <c r="H107" s="67" t="inlineStr">
        <is>
          <t>Duração</t>
        </is>
      </c>
      <c r="I107" s="15" t="n"/>
      <c r="J107" s="67" t="inlineStr">
        <is>
          <t>Acúmulo</t>
        </is>
      </c>
      <c r="K107" s="15" t="n"/>
      <c r="L107" s="30" t="inlineStr">
        <is>
          <t>Só inimigos</t>
        </is>
      </c>
    </row>
    <row r="108" ht="30" customHeight="1">
      <c r="A108" s="68">
        <f>IF(LEN('Dados'!$A$408)=0,"",'Dados'!$A$408)</f>
        <v/>
      </c>
      <c r="C108" s="73">
        <f>IF(LEN('Dados'!$B$408)=0,"",'Dados'!$B$408)</f>
        <v/>
      </c>
      <c r="H108" s="73">
        <f>IF(LEN('Dados'!$C$408)=0,"",'Dados'!$C$408)</f>
        <v/>
      </c>
      <c r="J108" s="73">
        <f>IF(LEN('Dados'!$D$408)=0,"",'Dados'!$D$408)</f>
        <v/>
      </c>
      <c r="L108" s="69">
        <f>IF(LEN('Dados'!$E$408)=0,"",'Dados'!$E$408)</f>
        <v/>
      </c>
    </row>
    <row r="109" ht="30" customHeight="1">
      <c r="A109" s="70">
        <f>IF(LEN('Dados'!$A$409)=0,"",'Dados'!$A$409)</f>
        <v/>
      </c>
      <c r="C109" s="74">
        <f>IF(LEN('Dados'!$B$409)=0,"",'Dados'!$B$409)</f>
        <v/>
      </c>
      <c r="H109" s="74">
        <f>IF(LEN('Dados'!$C$409)=0,"",'Dados'!$C$409)</f>
        <v/>
      </c>
      <c r="J109" s="74">
        <f>IF(LEN('Dados'!$D$409)=0,"",'Dados'!$D$409)</f>
        <v/>
      </c>
      <c r="L109" s="71">
        <f>IF(LEN('Dados'!$E$409)=0,"",'Dados'!$E$409)</f>
        <v/>
      </c>
    </row>
    <row r="110" ht="30" customHeight="1">
      <c r="A110" s="68">
        <f>IF(LEN('Dados'!$A$410)=0,"",'Dados'!$A$410)</f>
        <v/>
      </c>
      <c r="C110" s="73">
        <f>IF(LEN('Dados'!$B$410)=0,"",'Dados'!$B$410)</f>
        <v/>
      </c>
      <c r="H110" s="73">
        <f>IF(LEN('Dados'!$C$410)=0,"",'Dados'!$C$410)</f>
        <v/>
      </c>
      <c r="J110" s="73">
        <f>IF(LEN('Dados'!$D$410)=0,"",'Dados'!$D$410)</f>
        <v/>
      </c>
      <c r="L110" s="69">
        <f>IF(LEN('Dados'!$E$410)=0,"",'Dados'!$E$410)</f>
        <v/>
      </c>
    </row>
    <row r="111" ht="30" customHeight="1">
      <c r="A111" s="70">
        <f>IF(LEN('Dados'!$A$411)=0,"",'Dados'!$A$411)</f>
        <v/>
      </c>
      <c r="C111" s="74">
        <f>IF(LEN('Dados'!$B$411)=0,"",'Dados'!$B$411)</f>
        <v/>
      </c>
      <c r="H111" s="74">
        <f>IF(LEN('Dados'!$C$411)=0,"",'Dados'!$C$411)</f>
        <v/>
      </c>
      <c r="J111" s="74">
        <f>IF(LEN('Dados'!$D$411)=0,"",'Dados'!$D$411)</f>
        <v/>
      </c>
      <c r="L111" s="71">
        <f>IF(LEN('Dados'!$E$411)=0,"",'Dados'!$E$411)</f>
        <v/>
      </c>
    </row>
    <row r="112" ht="30" customHeight="1">
      <c r="A112" s="68">
        <f>IF(LEN('Dados'!$A$412)=0,"",'Dados'!$A$412)</f>
        <v/>
      </c>
      <c r="C112" s="73">
        <f>IF(LEN('Dados'!$B$412)=0,"",'Dados'!$B$412)</f>
        <v/>
      </c>
      <c r="H112" s="73">
        <f>IF(LEN('Dados'!$C$412)=0,"",'Dados'!$C$412)</f>
        <v/>
      </c>
      <c r="J112" s="73">
        <f>IF(LEN('Dados'!$D$412)=0,"",'Dados'!$D$412)</f>
        <v/>
      </c>
      <c r="L112" s="69">
        <f>IF(LEN('Dados'!$E$412)=0,"",'Dados'!$E$412)</f>
        <v/>
      </c>
    </row>
    <row r="113" ht="30" customHeight="1">
      <c r="A113" s="70">
        <f>IF(LEN('Dados'!$A$413)=0,"",'Dados'!$A$413)</f>
        <v/>
      </c>
      <c r="C113" s="74">
        <f>IF(LEN('Dados'!$B$413)=0,"",'Dados'!$B$413)</f>
        <v/>
      </c>
      <c r="H113" s="74">
        <f>IF(LEN('Dados'!$C$413)=0,"",'Dados'!$C$413)</f>
        <v/>
      </c>
      <c r="J113" s="74">
        <f>IF(LEN('Dados'!$D$413)=0,"",'Dados'!$D$413)</f>
        <v/>
      </c>
      <c r="L113" s="71">
        <f>IF(LEN('Dados'!$E$413)=0,"",'Dados'!$E$413)</f>
        <v/>
      </c>
    </row>
    <row r="114"/>
    <row r="115">
      <c r="A115" s="14" t="inlineStr">
        <is>
          <t>Morrendo, Descanso e variantes — 23.4, 23.6 e 06.4</t>
        </is>
      </c>
    </row>
    <row r="116" ht="45" customHeight="1">
      <c r="A116" s="12" t="inlineStr">
        <is>
          <t>Morrendo: 0 PV, mantém a casa na Fila, Teste de Força de Vontade DT 10 com d20 + Presença apenas (sem Eficiência). 3 sucessos: estabiliza com 1 PV · 3 falhas: morre · 20 natural levanta · 1 natural vale 2 falhas · dano é 1 falha (2 se crítico ou Habilidade de Nível 5+) · qualquer cura levanta.</t>
        </is>
      </c>
    </row>
    <row r="117" ht="30" customHeight="1">
      <c r="A117" s="4">
        <f>"Descanso Curto: 1 hora, até 2 por dia, (2 × nível) + Bônus de Vigor = "&amp;'Em Jogo'!$J$11&amp;" PV para você. Descanso Longo: 8 horas, 1 por dia, todos os PV, remove todas as condições e devolve o Esforço. A Energia não zera; o PH volta no começo de cada combate."</f>
        <v/>
      </c>
    </row>
    <row r="118" ht="30" customHeight="1">
      <c r="A118" s="12" t="inlineStr">
        <is>
          <t>Variante oficial — PV rolado (06.4): role 1d20 no lugar do valor fixo de cada nível, com piso no valor fixo menos 3 e teto no valor fixo mais 5. A ficha calcula só o valor fixo: com a variante, o Mestre ajusta os PV à mão.</t>
        </is>
      </c>
    </row>
    <row r="119">
      <c r="A119" s="12" t="inlineStr">
        <is>
          <t>Falhe para frente: uma falha em Teste de Perícia nunca trava a cena. A cena avança com custo.</t>
        </is>
      </c>
    </row>
  </sheetData>
  <mergeCells count="184">
    <mergeCell ref="H53:I53"/>
    <mergeCell ref="I72:K72"/>
    <mergeCell ref="A98:B98"/>
    <mergeCell ref="F85:H85"/>
    <mergeCell ref="A107:B107"/>
    <mergeCell ref="A88:B88"/>
    <mergeCell ref="H113:I113"/>
    <mergeCell ref="H76:K76"/>
    <mergeCell ref="C97:G97"/>
    <mergeCell ref="E37:H37"/>
    <mergeCell ref="A71:C71"/>
    <mergeCell ref="C109:G109"/>
    <mergeCell ref="A99:B99"/>
    <mergeCell ref="I73:K73"/>
    <mergeCell ref="H52:I52"/>
    <mergeCell ref="H108:I108"/>
    <mergeCell ref="D66:H66"/>
    <mergeCell ref="A91:L91"/>
    <mergeCell ref="J108:K108"/>
    <mergeCell ref="A101:B101"/>
    <mergeCell ref="A115:L115"/>
    <mergeCell ref="D77:G77"/>
    <mergeCell ref="A85:B85"/>
    <mergeCell ref="A93:L93"/>
    <mergeCell ref="I65:K65"/>
    <mergeCell ref="A77:C77"/>
    <mergeCell ref="C110:G110"/>
    <mergeCell ref="F87:H87"/>
    <mergeCell ref="H96:I96"/>
    <mergeCell ref="A109:B109"/>
    <mergeCell ref="A92:L92"/>
    <mergeCell ref="H105:I105"/>
    <mergeCell ref="H79:K79"/>
    <mergeCell ref="E34:H34"/>
    <mergeCell ref="F89:H89"/>
    <mergeCell ref="A111:B111"/>
    <mergeCell ref="A6:L6"/>
    <mergeCell ref="D78:G78"/>
    <mergeCell ref="H107:I107"/>
    <mergeCell ref="A33:D33"/>
    <mergeCell ref="A69:C69"/>
    <mergeCell ref="A119:L119"/>
    <mergeCell ref="J110:K110"/>
    <mergeCell ref="C101:G101"/>
    <mergeCell ref="E36:H36"/>
    <mergeCell ref="C85:E85"/>
    <mergeCell ref="A66:C66"/>
    <mergeCell ref="A35:D35"/>
    <mergeCell ref="C84:E84"/>
    <mergeCell ref="C108:G108"/>
    <mergeCell ref="A103:B103"/>
    <mergeCell ref="A75:L75"/>
    <mergeCell ref="H50:I50"/>
    <mergeCell ref="A3:L3"/>
    <mergeCell ref="H102:I102"/>
    <mergeCell ref="J102:K102"/>
    <mergeCell ref="D65:H65"/>
    <mergeCell ref="A87:B87"/>
    <mergeCell ref="A95:L95"/>
    <mergeCell ref="C113:G113"/>
    <mergeCell ref="C103:G103"/>
    <mergeCell ref="J99:K99"/>
    <mergeCell ref="C100:G100"/>
    <mergeCell ref="C112:G112"/>
    <mergeCell ref="A5:L5"/>
    <mergeCell ref="A32:L32"/>
    <mergeCell ref="H49:I49"/>
    <mergeCell ref="A89:B89"/>
    <mergeCell ref="A105:B105"/>
    <mergeCell ref="J101:K101"/>
    <mergeCell ref="A81:L81"/>
    <mergeCell ref="H109:I109"/>
    <mergeCell ref="A43:L43"/>
    <mergeCell ref="J103:K103"/>
    <mergeCell ref="J100:K100"/>
    <mergeCell ref="E38:H38"/>
    <mergeCell ref="C87:E87"/>
    <mergeCell ref="A67:C67"/>
    <mergeCell ref="A40:L40"/>
    <mergeCell ref="H111:I111"/>
    <mergeCell ref="A73:C73"/>
    <mergeCell ref="A100:B100"/>
    <mergeCell ref="C106:G106"/>
    <mergeCell ref="D68:H68"/>
    <mergeCell ref="C89:E89"/>
    <mergeCell ref="H48:I48"/>
    <mergeCell ref="H104:I104"/>
    <mergeCell ref="D67:H67"/>
    <mergeCell ref="C88:E88"/>
    <mergeCell ref="A102:B102"/>
    <mergeCell ref="H97:I97"/>
    <mergeCell ref="F86:H86"/>
    <mergeCell ref="J97:K97"/>
    <mergeCell ref="A83:B83"/>
    <mergeCell ref="H106:I106"/>
    <mergeCell ref="D69:H69"/>
    <mergeCell ref="J111:K111"/>
    <mergeCell ref="I66:K66"/>
    <mergeCell ref="C104:G104"/>
    <mergeCell ref="A118:L118"/>
    <mergeCell ref="A18:L18"/>
    <mergeCell ref="I68:K68"/>
    <mergeCell ref="A42:L42"/>
    <mergeCell ref="D79:G79"/>
    <mergeCell ref="A34:D34"/>
    <mergeCell ref="I67:K67"/>
    <mergeCell ref="C99:G99"/>
    <mergeCell ref="A22:L22"/>
    <mergeCell ref="H110:I110"/>
    <mergeCell ref="A36:D36"/>
    <mergeCell ref="A72:C72"/>
    <mergeCell ref="F82:H82"/>
    <mergeCell ref="A104:B104"/>
    <mergeCell ref="H100:I100"/>
    <mergeCell ref="A113:B113"/>
    <mergeCell ref="D71:H71"/>
    <mergeCell ref="J113:K113"/>
    <mergeCell ref="A106:B106"/>
    <mergeCell ref="D76:G76"/>
    <mergeCell ref="A37:D37"/>
    <mergeCell ref="D10:I10"/>
    <mergeCell ref="A96:B96"/>
    <mergeCell ref="A64:L64"/>
    <mergeCell ref="J106:K106"/>
    <mergeCell ref="D73:H73"/>
    <mergeCell ref="A79:C79"/>
    <mergeCell ref="I70:K70"/>
    <mergeCell ref="F84:H84"/>
    <mergeCell ref="A70:C70"/>
    <mergeCell ref="C96:G96"/>
    <mergeCell ref="A54:L54"/>
    <mergeCell ref="A82:B82"/>
    <mergeCell ref="A41:L41"/>
    <mergeCell ref="H103:I103"/>
    <mergeCell ref="H112:I112"/>
    <mergeCell ref="A38:D38"/>
    <mergeCell ref="I71:K71"/>
    <mergeCell ref="H77:K77"/>
    <mergeCell ref="C98:G98"/>
    <mergeCell ref="J112:K112"/>
    <mergeCell ref="C107:G107"/>
    <mergeCell ref="A56:L56"/>
    <mergeCell ref="A110:B110"/>
    <mergeCell ref="A76:C76"/>
    <mergeCell ref="H46:I46"/>
    <mergeCell ref="A108:B108"/>
    <mergeCell ref="A116:L116"/>
    <mergeCell ref="H98:I98"/>
    <mergeCell ref="H51:I51"/>
    <mergeCell ref="A84:B84"/>
    <mergeCell ref="J98:K98"/>
    <mergeCell ref="A8:L8"/>
    <mergeCell ref="J107:K107"/>
    <mergeCell ref="H78:K78"/>
    <mergeCell ref="E33:H33"/>
    <mergeCell ref="C82:E82"/>
    <mergeCell ref="D70:H70"/>
    <mergeCell ref="J104:K104"/>
    <mergeCell ref="C105:G105"/>
    <mergeCell ref="A68:C68"/>
    <mergeCell ref="A86:B86"/>
    <mergeCell ref="D72:H72"/>
    <mergeCell ref="E35:H35"/>
    <mergeCell ref="A117:L117"/>
    <mergeCell ref="I69:K69"/>
    <mergeCell ref="H99:I99"/>
    <mergeCell ref="F88:H88"/>
    <mergeCell ref="C86:E86"/>
    <mergeCell ref="H47:I47"/>
    <mergeCell ref="C83:E83"/>
    <mergeCell ref="J109:K109"/>
    <mergeCell ref="A97:B97"/>
    <mergeCell ref="J96:K96"/>
    <mergeCell ref="A30:L30"/>
    <mergeCell ref="J105:K105"/>
    <mergeCell ref="H101:I101"/>
    <mergeCell ref="A112:B112"/>
    <mergeCell ref="A1:L1"/>
    <mergeCell ref="A45:L45"/>
    <mergeCell ref="A78:C78"/>
    <mergeCell ref="C102:G102"/>
    <mergeCell ref="F83:H83"/>
    <mergeCell ref="C111:G111"/>
    <mergeCell ref="A65:C6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T595"/>
  <sheetViews>
    <sheetView showGridLines="1" workbookViewId="0">
      <selection activeCell="A1" sqref="A1"/>
    </sheetView>
  </sheetViews>
  <sheetFormatPr baseColWidth="8" defaultRowHeight="15"/>
  <cols>
    <col width="26" customWidth="1" min="1" max="1"/>
    <col width="20" customWidth="1" min="2" max="2"/>
    <col width="20" customWidth="1" min="3" max="3"/>
    <col width="18" customWidth="1" min="4" max="4"/>
    <col width="18" customWidth="1" min="5" max="5"/>
    <col width="40" customWidth="1" min="6" max="6"/>
    <col width="80" customWidth="1" min="7" max="7"/>
    <col width="16" customWidth="1" min="8" max="8"/>
    <col width="16" customWidth="1" min="9" max="9"/>
    <col width="14" customWidth="1" min="10" max="10"/>
    <col width="15.2" customWidth="1" min="11" max="11"/>
    <col width="18" customWidth="1" min="12" max="12"/>
    <col width="3" customWidth="1" min="13" max="13"/>
    <col width="3"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4" customWidth="1" min="29" max="29"/>
    <col width="24" customWidth="1" min="30" max="30"/>
    <col width="24" customWidth="1" min="31" max="31"/>
    <col width="24" customWidth="1" min="32" max="32"/>
    <col width="24" customWidth="1" min="33" max="33"/>
    <col width="24" customWidth="1" min="34" max="34"/>
    <col width="24" customWidth="1" min="35" max="35"/>
    <col width="24" customWidth="1" min="36" max="36"/>
    <col width="24" customWidth="1" min="37" max="37"/>
    <col width="24" customWidth="1" min="38" max="38"/>
    <col width="24" customWidth="1" min="39" max="39"/>
    <col width="24" customWidth="1" min="40" max="40"/>
    <col width="24" customWidth="1" min="41" max="41"/>
    <col width="24" customWidth="1" min="42" max="42"/>
    <col width="24" customWidth="1" min="43" max="43"/>
    <col width="24" customWidth="1" min="44" max="44"/>
    <col width="24" customWidth="1" min="45" max="45"/>
    <col width="24" customWidth="1" min="46" max="46"/>
  </cols>
  <sheetData>
    <row r="1" ht="24" customHeight="1">
      <c r="A1" s="1" t="inlineStr">
        <is>
          <t>Dados — Explorando Galáxias v1.1</t>
        </is>
      </c>
    </row>
    <row r="2" ht="26" customHeight="1">
      <c r="A2" s="2" t="inlineStr">
        <is>
          <t>Legenda:</t>
        </is>
      </c>
      <c r="B2" s="3" t="inlineStr">
        <is>
          <t>Entrada (preencha)</t>
        </is>
      </c>
      <c r="C2" s="4" t="inlineStr">
        <is>
          <t>Calculada (automático)</t>
        </is>
      </c>
      <c r="D2" s="5" t="inlineStr">
        <is>
          <t>Aviso (texto em vermelho)</t>
        </is>
      </c>
      <c r="E2" s="6" t="inlineStr">
        <is>
          <t>Título de bloco</t>
        </is>
      </c>
      <c r="F2" s="7" t="inlineStr">
        <is>
          <t>Cabeçalho de coluna</t>
        </is>
      </c>
      <c r="G2" s="8" t="inlineStr">
        <is>
          <t>Rótulo da linha</t>
        </is>
      </c>
      <c r="H2" s="9" t="inlineStr">
        <is>
          <t>Linha alternada (outro tom)</t>
        </is>
      </c>
      <c r="I2" s="10" t="inlineStr">
        <is>
          <t>Não se aplica</t>
        </is>
      </c>
    </row>
    <row r="3">
      <c r="A3" s="11" t="inlineStr">
        <is>
          <t>Tabelas do livro usadas pelas fórmulas. Não edite: o gerador reescreve esta aba.</t>
        </is>
      </c>
    </row>
    <row r="4">
      <c r="O4" s="14" t="inlineStr">
        <is>
          <t>Listas de validação (uma por coluna; a fonte está no título)</t>
        </is>
      </c>
    </row>
    <row r="5" ht="37" customHeight="1">
      <c r="A5" s="14" t="inlineStr">
        <is>
          <t>Raças — capítulo 05 (tabela de consulta rápida e traços)</t>
        </is>
      </c>
      <c r="O5" s="7" t="inlineStr">
        <is>
          <t>Raças — cap. 05</t>
        </is>
      </c>
      <c r="P5" s="7" t="inlineStr">
        <is>
          <t>Caminhos — cap. 06.3</t>
        </is>
      </c>
      <c r="Q5" s="7" t="inlineStr">
        <is>
          <t>Atributos — cap. 04.1</t>
        </is>
      </c>
      <c r="R5" s="7" t="inlineStr">
        <is>
          <t>Elementos — cap. 20.1</t>
        </is>
      </c>
      <c r="S5" s="7" t="inlineStr">
        <is>
          <t>Armaduras — cap. 24.1</t>
        </is>
      </c>
      <c r="T5" s="7" t="inlineStr">
        <is>
          <t>Categorias de arma — cap. 24.2</t>
        </is>
      </c>
      <c r="U5" s="7" t="inlineStr">
        <is>
          <t>Atributo da arma Média — cap. 24.2</t>
        </is>
      </c>
      <c r="V5" s="7" t="inlineStr">
        <is>
          <t>Propriedade especial — cap. 24.2</t>
        </is>
      </c>
      <c r="W5" s="7" t="inlineStr">
        <is>
          <t>Tipos de Habilidade — cap. 16.1</t>
        </is>
      </c>
      <c r="X5" s="7" t="inlineStr">
        <is>
          <t>Alcances — cap. 18</t>
        </is>
      </c>
      <c r="Y5" s="7" t="inlineStr">
        <is>
          <t>Condições do personagem — cap. 21.5</t>
        </is>
      </c>
      <c r="Z5" s="7" t="inlineStr">
        <is>
          <t>Perícias — cap. 04.4</t>
        </is>
      </c>
      <c r="AA5" s="7" t="inlineStr">
        <is>
          <t>Testes de Resistência — cap. 04.6</t>
        </is>
      </c>
      <c r="AB5" s="7" t="inlineStr">
        <is>
          <t>Slots de Relíquia — cap. 25.3</t>
        </is>
      </c>
      <c r="AC5" s="7" t="inlineStr">
        <is>
          <t>Conceitos do Memoespírito — cap. 11.3</t>
        </is>
      </c>
      <c r="AD5" s="7" t="inlineStr">
        <is>
          <t>Funções do Memoespírito — cap. 11.3</t>
        </is>
      </c>
      <c r="AE5" s="7" t="inlineStr">
        <is>
          <t>Bônus menores do Memoespírito — cap. 11.3</t>
        </is>
      </c>
      <c r="AF5" s="7" t="inlineStr">
        <is>
          <t>Evoluções do Memoespírito — cap. 11.3</t>
        </is>
      </c>
      <c r="AG5" s="7" t="inlineStr">
        <is>
          <t>Sim/Não — convenção da planilha</t>
        </is>
      </c>
      <c r="AH5" s="7" t="inlineStr">
        <is>
          <t>Método de atributos — cap. 03</t>
        </is>
      </c>
      <c r="AI5" s="7" t="inlineStr">
        <is>
          <t>Bônus do Humano — cap. 05</t>
        </is>
      </c>
      <c r="AJ5" s="7" t="inlineStr">
        <is>
          <t>Aumento de Atributo — cap. 04</t>
        </is>
      </c>
      <c r="AK5" s="7" t="inlineStr">
        <is>
          <t>Resolução — cap. 16</t>
        </is>
      </c>
      <c r="AL5" s="7" t="inlineStr">
        <is>
          <t>Atributo da Sintonia — cap. 04</t>
        </is>
      </c>
      <c r="AM5" s="7" t="inlineStr">
        <is>
          <t>Alvo do Bônus Maior — cap. 25</t>
        </is>
      </c>
      <c r="AN5" s="7" t="inlineStr">
        <is>
          <t>Cone: numérico ou PV — cap. 25</t>
        </is>
      </c>
      <c r="AO5" s="7" t="inlineStr">
        <is>
          <t>Conjunto — cap. 25</t>
        </is>
      </c>
      <c r="AP5" s="7" t="inlineStr">
        <is>
          <t>Bônus de 2 peças — cap. 25</t>
        </is>
      </c>
      <c r="AQ5" s="7" t="inlineStr">
        <is>
          <t>Ressonância I — cap. 26</t>
        </is>
      </c>
      <c r="AR5" s="7" t="inlineStr">
        <is>
          <t>Ressonância II — cap. 26</t>
        </is>
      </c>
      <c r="AS5" s="7" t="inlineStr">
        <is>
          <t>Ressonância III — cap. 26</t>
        </is>
      </c>
      <c r="AT5" s="7" t="inlineStr">
        <is>
          <t>Ressonância IV — cap. 26</t>
        </is>
      </c>
    </row>
    <row r="6" ht="37" customHeight="1">
      <c r="A6" s="7" t="inlineStr">
        <is>
          <t>Raça</t>
        </is>
      </c>
      <c r="B6" s="7" t="inlineStr">
        <is>
          <t>Bônus de atributo</t>
        </is>
      </c>
      <c r="C6" s="7" t="inlineStr">
        <is>
          <t>Bônus livre (+2 em um ou +1 em dois)</t>
        </is>
      </c>
      <c r="D6" s="7" t="inlineStr">
        <is>
          <t>Opção 1 do +2</t>
        </is>
      </c>
      <c r="E6" s="7" t="inlineStr">
        <is>
          <t>Opção 2 do +2</t>
        </is>
      </c>
      <c r="F6" s="7" t="inlineStr">
        <is>
          <t>Traços (resumo)</t>
        </is>
      </c>
      <c r="G6" s="7" t="inlineStr">
        <is>
          <t>Traços (texto do livro)</t>
        </is>
      </c>
      <c r="O6" s="22" t="inlineStr">
        <is>
          <t>Humano</t>
        </is>
      </c>
      <c r="P6" s="22" t="inlineStr">
        <is>
          <t>A Destruição</t>
        </is>
      </c>
      <c r="Q6" s="22" t="inlineStr">
        <is>
          <t>Poder</t>
        </is>
      </c>
      <c r="R6" s="22" t="inlineStr">
        <is>
          <t>Físico</t>
        </is>
      </c>
      <c r="S6" s="22" t="inlineStr">
        <is>
          <t>Leve</t>
        </is>
      </c>
      <c r="T6" s="22" t="inlineStr">
        <is>
          <t>Leve</t>
        </is>
      </c>
      <c r="U6" s="22" t="inlineStr">
        <is>
          <t>Poder</t>
        </is>
      </c>
      <c r="V6" s="22" t="inlineStr">
        <is>
          <t>Nenhuma</t>
        </is>
      </c>
      <c r="W6" s="22" t="inlineStr">
        <is>
          <t>Dano</t>
        </is>
      </c>
      <c r="X6" s="22" t="inlineStr">
        <is>
          <t>Pessoal</t>
        </is>
      </c>
      <c r="Y6" s="22" t="inlineStr">
        <is>
          <t>Sangramento</t>
        </is>
      </c>
      <c r="Z6" s="22" t="inlineStr">
        <is>
          <t>Atletismo</t>
        </is>
      </c>
      <c r="AA6" s="22" t="inlineStr">
        <is>
          <t>Potência Física</t>
        </is>
      </c>
      <c r="AB6" s="22" t="inlineStr">
        <is>
          <t>Cabeça</t>
        </is>
      </c>
      <c r="AC6" s="22" t="inlineStr">
        <is>
          <t>Memória de Guerra</t>
        </is>
      </c>
      <c r="AD6" s="22" t="inlineStr">
        <is>
          <t>Predador</t>
        </is>
      </c>
      <c r="AE6" s="22" t="inlineStr">
        <is>
          <t>Força Espiritual</t>
        </is>
      </c>
      <c r="AF6" s="22" t="inlineStr">
        <is>
          <t>Forma Completa</t>
        </is>
      </c>
      <c r="AG6" s="22" t="inlineStr">
        <is>
          <t>Sim</t>
        </is>
      </c>
      <c r="AH6" s="22" t="inlineStr">
        <is>
          <t>Array oficial</t>
        </is>
      </c>
      <c r="AI6" s="22" t="inlineStr">
        <is>
          <t>Um Atributo (+2)</t>
        </is>
      </c>
      <c r="AJ6" s="22" t="inlineStr">
        <is>
          <t>Um Atributo (+2)</t>
        </is>
      </c>
      <c r="AK6" s="22" t="inlineStr">
        <is>
          <t>Teste de Ataque</t>
        </is>
      </c>
      <c r="AL6" s="22" t="inlineStr">
        <is>
          <t>Discernimento</t>
        </is>
      </c>
      <c r="AM6" s="22" t="inlineStr">
        <is>
          <t>PV máximos</t>
        </is>
      </c>
      <c r="AN6" s="22" t="inlineStr">
        <is>
          <t>Numérico</t>
        </is>
      </c>
      <c r="AO6" s="22" t="inlineStr">
        <is>
          <t>A</t>
        </is>
      </c>
      <c r="AP6" s="22" t="inlineStr">
        <is>
          <t>Um tipo de rolagem +1</t>
        </is>
      </c>
      <c r="AQ6" s="4" t="inlineStr">
        <is>
          <t>Habilidade de Nível 3 ou menor sem PH (1 por combate)</t>
        </is>
      </c>
      <c r="AR6" s="22" t="inlineStr">
        <is>
          <t>Ultimate com efeito extra</t>
        </is>
      </c>
      <c r="AS6" s="4" t="inlineStr">
        <is>
          <t>Uma Habilidade sobe 1 Nível de efeito</t>
        </is>
      </c>
      <c r="AT6" s="4" t="inlineStr">
        <is>
          <t>Ultimate com 80 de Energia</t>
        </is>
      </c>
    </row>
    <row r="7" ht="116" customHeight="1">
      <c r="A7" s="58" t="inlineStr">
        <is>
          <t>Humano</t>
        </is>
      </c>
      <c r="B7" s="4" t="inlineStr">
        <is>
          <t>+2 em um, ou +1 em dois</t>
        </is>
      </c>
      <c r="C7" s="22" t="inlineStr">
        <is>
          <t>Sim</t>
        </is>
      </c>
      <c r="D7" s="22" t="inlineStr"/>
      <c r="E7" s="22" t="inlineStr"/>
      <c r="F7" s="4" t="inlineStr">
        <is>
          <t>Força de Vontade (Esforço: 1 ponto, re-rola um dado)</t>
        </is>
      </c>
      <c r="G7" s="4" t="inlineStr">
        <is>
          <t>Força de Vontade: Você tem um recurso que ninguém mais no jogo tem: o Esforço. Esforço: gaste 1 ponto de Esforço para rolar de novo qualquer dado que você acabou de rolar, e use o resultado novo. Você pode declarar depois de ver o resultado, mas antes de o Mestre narrar a consequência. • Você carrega no máximo 1 ponto de Esforço. Ganhar um segundo sem ter gasto o primeiro perde o excedente. • Você recupera o ponto de duas formas: em um Descanso Longo (capítulo 23), ou agindo de acordo com o que o seu personagem acredita, uma vez por sessão, com a aprovação do Mestre. • O que você acredita precisa ser concreto. "Eu acredito na verdade" não serve. "Eu não deixo ninguém para trás, nem inimigo" serve, e cobra um preço na cena — que é justamente o ponto.</t>
        </is>
      </c>
      <c r="O7" s="22" t="inlineStr">
        <is>
          <t>Xianzhouíta</t>
        </is>
      </c>
      <c r="P7" s="22" t="inlineStr">
        <is>
          <t>A Inexistência</t>
        </is>
      </c>
      <c r="Q7" s="22" t="inlineStr">
        <is>
          <t>Agilidade</t>
        </is>
      </c>
      <c r="R7" s="22" t="inlineStr">
        <is>
          <t>Fogo</t>
        </is>
      </c>
      <c r="S7" s="22" t="inlineStr">
        <is>
          <t>Média</t>
        </is>
      </c>
      <c r="T7" s="22" t="inlineStr">
        <is>
          <t>Média</t>
        </is>
      </c>
      <c r="U7" s="22" t="inlineStr">
        <is>
          <t>Agilidade</t>
        </is>
      </c>
      <c r="V7" s="22" t="inlineStr">
        <is>
          <t>Recarga</t>
        </is>
      </c>
      <c r="W7" s="22" t="inlineStr">
        <is>
          <t>Cura</t>
        </is>
      </c>
      <c r="X7" s="22" t="inlineStr">
        <is>
          <t>Curta</t>
        </is>
      </c>
      <c r="Y7" s="22" t="inlineStr">
        <is>
          <t>Queimadura</t>
        </is>
      </c>
      <c r="Z7" s="22" t="inlineStr">
        <is>
          <t>Acrobacia</t>
        </is>
      </c>
      <c r="AA7" s="22" t="inlineStr">
        <is>
          <t>Reflexos</t>
        </is>
      </c>
      <c r="AB7" s="22" t="inlineStr">
        <is>
          <t>Mãos</t>
        </is>
      </c>
      <c r="AC7" s="22" t="inlineStr">
        <is>
          <t>Memória Perdida</t>
        </is>
      </c>
      <c r="AD7" s="22" t="inlineStr">
        <is>
          <t>Guardião</t>
        </is>
      </c>
      <c r="AE7" s="22" t="inlineStr">
        <is>
          <t>Resistência Espiritual</t>
        </is>
      </c>
      <c r="AF7" s="22" t="inlineStr">
        <is>
          <t>Fusão de Memórias</t>
        </is>
      </c>
      <c r="AG7" s="22" t="inlineStr">
        <is>
          <t>Não</t>
        </is>
      </c>
      <c r="AH7" s="22" t="inlineStr">
        <is>
          <t>Compra de Pontos</t>
        </is>
      </c>
      <c r="AI7" s="22" t="inlineStr">
        <is>
          <t>Dois Atributos (+1 cada)</t>
        </is>
      </c>
      <c r="AJ7" s="22" t="inlineStr">
        <is>
          <t>Dois Atributos (+1 cada)</t>
        </is>
      </c>
      <c r="AK7" s="22" t="inlineStr">
        <is>
          <t>Teste de Resistência</t>
        </is>
      </c>
      <c r="AL7" s="22" t="inlineStr">
        <is>
          <t>Sincronia</t>
        </is>
      </c>
      <c r="AM7" s="22" t="inlineStr">
        <is>
          <t>Defesa</t>
        </is>
      </c>
      <c r="AN7" s="22" t="inlineStr">
        <is>
          <t>PV</t>
        </is>
      </c>
      <c r="AO7" s="22" t="inlineStr">
        <is>
          <t>B</t>
        </is>
      </c>
      <c r="AP7" s="22" t="inlineStr">
        <is>
          <t>Velocidade +1</t>
        </is>
      </c>
      <c r="AQ7" s="22" t="inlineStr">
        <is>
          <t>Velocidade +1</t>
        </is>
      </c>
      <c r="AT7" s="4" t="inlineStr">
        <is>
          <t>Avatar afeta um alvo adicional</t>
        </is>
      </c>
    </row>
    <row r="8" ht="71" customHeight="1">
      <c r="A8" s="59" t="inlineStr">
        <is>
          <t>Xianzhouíta</t>
        </is>
      </c>
      <c r="B8" s="9" t="inlineStr">
        <is>
          <t>+2 Vigor ou Sincronia</t>
        </is>
      </c>
      <c r="C8" s="21" t="inlineStr">
        <is>
          <t>Não</t>
        </is>
      </c>
      <c r="D8" s="21" t="inlineStr">
        <is>
          <t>Vigor</t>
        </is>
      </c>
      <c r="E8" s="21" t="inlineStr">
        <is>
          <t>Sincronia</t>
        </is>
      </c>
      <c r="F8" s="9" t="inlineStr">
        <is>
          <t>Ad Vitam Aeternam (não pode ser Executado; Vantagem em todo Teste de Resistência)</t>
        </is>
      </c>
      <c r="G8" s="9" t="inlineStr">
        <is>
          <t>Ad Vitam Aeternam: • Você não pode ser Executado por ninguém. A Execução (capítulo 23) simplesmente não funciona em você: um inimigo racial a Distância Pessoal que gaste o Ataque Básico dele para isso perde a ação. • Você tem Vantagem em qualquer Teste de Resistência. Vantagem permanente nos seis Testes de Resistência é o traço mais forte da lista, e está certo que seja: é a Raça da longevidade, e ela paga por isso não tendo nenhum traço ativo para usar em cena.</t>
        </is>
      </c>
      <c r="O8" s="22" t="inlineStr">
        <is>
          <t>Vidyadhara</t>
        </is>
      </c>
      <c r="P8" s="22" t="inlineStr">
        <is>
          <t>A Harmonia</t>
        </is>
      </c>
      <c r="Q8" s="22" t="inlineStr">
        <is>
          <t>Vigor</t>
        </is>
      </c>
      <c r="R8" s="22" t="inlineStr">
        <is>
          <t>Gelo</t>
        </is>
      </c>
      <c r="S8" s="22" t="inlineStr">
        <is>
          <t>Pesada</t>
        </is>
      </c>
      <c r="T8" s="22" t="inlineStr">
        <is>
          <t>Pesada</t>
        </is>
      </c>
      <c r="V8" s="22" t="inlineStr">
        <is>
          <t>Arremessável</t>
        </is>
      </c>
      <c r="W8" s="22" t="inlineStr">
        <is>
          <t>Buff</t>
        </is>
      </c>
      <c r="X8" s="22" t="inlineStr">
        <is>
          <t>Média</t>
        </is>
      </c>
      <c r="Y8" s="22" t="inlineStr">
        <is>
          <t>Choque</t>
        </is>
      </c>
      <c r="Z8" s="22" t="inlineStr">
        <is>
          <t>Furtividade</t>
        </is>
      </c>
      <c r="AA8" s="22" t="inlineStr">
        <is>
          <t>Resistência Física</t>
        </is>
      </c>
      <c r="AB8" s="22" t="inlineStr">
        <is>
          <t>Tronco</t>
        </is>
      </c>
      <c r="AC8" s="22" t="inlineStr">
        <is>
          <t>Memória Animal</t>
        </is>
      </c>
      <c r="AD8" s="22" t="inlineStr">
        <is>
          <t>Catalisador</t>
        </is>
      </c>
      <c r="AE8" s="22" t="inlineStr">
        <is>
          <t>Velocidade Espiritual</t>
        </is>
      </c>
      <c r="AF8" s="22" t="inlineStr">
        <is>
          <t>Memória Desperta</t>
        </is>
      </c>
      <c r="AM8" s="22" t="inlineStr">
        <is>
          <t>Velocidade</t>
        </is>
      </c>
      <c r="AO8" s="22" t="inlineStr">
        <is>
          <t>C</t>
        </is>
      </c>
      <c r="AP8" s="22" t="inlineStr">
        <is>
          <t>Dano +2</t>
        </is>
      </c>
    </row>
    <row r="9" ht="127" customHeight="1">
      <c r="A9" s="58" t="inlineStr">
        <is>
          <t>Vidyadhara</t>
        </is>
      </c>
      <c r="B9" s="22" t="inlineStr">
        <is>
          <t>+2 Vigor</t>
        </is>
      </c>
      <c r="C9" s="22" t="inlineStr">
        <is>
          <t>Não</t>
        </is>
      </c>
      <c r="D9" s="22" t="inlineStr">
        <is>
          <t>Vigor</t>
        </is>
      </c>
      <c r="E9" s="22" t="inlineStr"/>
      <c r="F9" s="4" t="inlineStr">
        <is>
          <t>Corpo das Marés (Vantagem contra água, frio e afogamento) · Reencarnação Ancestral</t>
        </is>
      </c>
      <c r="G9" s="4" t="inlineStr">
        <is>
          <t>Corpo das Marés: Você tem Vantagem em Testes de Resistência Física contra afogamento, frio e efeitos de água. Reencarnação Ancestral: Você não morre em definitivo. No lugar da morte, você reencarna em outro corpo e pode voltar à mesa um dia depois da sua morte em jogo. • A aparência passa a ser a do corpo em que você reencarnou, e esse corpo obrigatoriamente é de um Vidyadhara. • Depois da reencarnação, role 1d20: • 16 a 20: você lembra do seu nome, da sua Raça, do seu Propósito de Vida e de 2 coisas importantes do seu passado — e de nada do dia da sua morte. • 1 a 15: você lembra só do nome, da Raça e do Propósito de Vida. • O corpo novo entra no nível do grupo, com o equipamento do tier da faixa (capítulo 26). Nível, Habilidades, Bênçãos e Ultimate continuam sendo os seus: o que se perde é memória, não ficha.</t>
        </is>
      </c>
      <c r="O9" s="22" t="inlineStr">
        <is>
          <t>Vulpes</t>
        </is>
      </c>
      <c r="P9" s="22" t="inlineStr">
        <is>
          <t>A Abundância</t>
        </is>
      </c>
      <c r="Q9" s="22" t="inlineStr">
        <is>
          <t>Sincronia</t>
        </is>
      </c>
      <c r="R9" s="22" t="inlineStr">
        <is>
          <t>Raio</t>
        </is>
      </c>
      <c r="T9" s="22" t="inlineStr">
        <is>
          <t>Disparo curto</t>
        </is>
      </c>
      <c r="V9" s="22" t="inlineStr">
        <is>
          <t>Alcance estendido</t>
        </is>
      </c>
      <c r="W9" s="22" t="inlineStr">
        <is>
          <t>Debuff</t>
        </is>
      </c>
      <c r="X9" s="22" t="inlineStr">
        <is>
          <t>Longa</t>
        </is>
      </c>
      <c r="Y9" s="22" t="inlineStr">
        <is>
          <t>Cisalhamento de Vento</t>
        </is>
      </c>
      <c r="Z9" s="22" t="inlineStr">
        <is>
          <t>Pilotagem</t>
        </is>
      </c>
      <c r="AA9" s="22" t="inlineStr">
        <is>
          <t>Resistência Mental</t>
        </is>
      </c>
      <c r="AB9" s="22" t="inlineStr">
        <is>
          <t>Botas</t>
        </is>
      </c>
      <c r="AC9" s="22" t="inlineStr">
        <is>
          <t>Memória Artificial</t>
        </is>
      </c>
      <c r="AD9" s="22" t="inlineStr">
        <is>
          <t>Controlador</t>
        </is>
      </c>
      <c r="AE9" s="22" t="inlineStr">
        <is>
          <t>Memória Afiada</t>
        </is>
      </c>
      <c r="AM9" s="22" t="inlineStr">
        <is>
          <t>Dano de Ataque Básico</t>
        </is>
      </c>
      <c r="AO9" s="22" t="inlineStr">
        <is>
          <t>—</t>
        </is>
      </c>
      <c r="AP9" s="22" t="inlineStr">
        <is>
          <t>RD +1</t>
        </is>
      </c>
    </row>
    <row r="10" ht="82" customHeight="1">
      <c r="A10" s="59" t="inlineStr">
        <is>
          <t>Vulpes</t>
        </is>
      </c>
      <c r="B10" s="9" t="inlineStr">
        <is>
          <t>+2 Discernimento ou Presença</t>
        </is>
      </c>
      <c r="C10" s="21" t="inlineStr">
        <is>
          <t>Não</t>
        </is>
      </c>
      <c r="D10" s="21" t="inlineStr">
        <is>
          <t>Discernimento</t>
        </is>
      </c>
      <c r="E10" s="21" t="inlineStr">
        <is>
          <t>Presença</t>
        </is>
      </c>
      <c r="F10" s="9" t="inlineStr">
        <is>
          <t>Língua de Prata (Vantagem em Testes de Presença) · Raposa Astuta (segunda chance contra Surpresa, DT 10)</t>
        </is>
      </c>
      <c r="G10" s="9" t="inlineStr">
        <is>
          <t>Língua de Prata: Você tem Vantagem em Testes baseados no Atributo Presença — Persuasão, Intimidação, Enganação, Liderança e o Teste de Força de Vontade. Raposa Astuta: É mais difícil te pegar de surpresa. Quando você falha no Teste de Percepção Mental da Surpresa (capítulo 19), faça imediatamente um Teste de Percepção Mental contra DT 10 como segunda chance. Se passar, você não recebe a condição Surpreso — e não pode mais ser surpreendido pelo resto da cena. A DT 10 é fixa em todas as faixas e é uma das cinco DTs de subsistema do livro (capítulo 02).</t>
        </is>
      </c>
      <c r="O10" s="22" t="inlineStr">
        <is>
          <t>Haloviano</t>
        </is>
      </c>
      <c r="P10" s="22" t="inlineStr">
        <is>
          <t>A Recordação</t>
        </is>
      </c>
      <c r="Q10" s="22" t="inlineStr">
        <is>
          <t>Discernimento</t>
        </is>
      </c>
      <c r="R10" s="22" t="inlineStr">
        <is>
          <t>Vento</t>
        </is>
      </c>
      <c r="T10" s="22" t="inlineStr">
        <is>
          <t>Disparo longo</t>
        </is>
      </c>
      <c r="V10" s="22" t="inlineStr">
        <is>
          <t>Peso de impacto</t>
        </is>
      </c>
      <c r="W10" s="22" t="inlineStr">
        <is>
          <t>Passiva</t>
        </is>
      </c>
      <c r="X10" s="22" t="inlineStr">
        <is>
          <t>Extrema</t>
        </is>
      </c>
      <c r="Y10" s="22" t="inlineStr">
        <is>
          <t>Embaraço</t>
        </is>
      </c>
      <c r="Z10" s="22" t="inlineStr">
        <is>
          <t>Resistência</t>
        </is>
      </c>
      <c r="AA10" s="22" t="inlineStr">
        <is>
          <t>Percepção Mental</t>
        </is>
      </c>
      <c r="AB10" s="22" t="inlineStr">
        <is>
          <t>Esfera Planar</t>
        </is>
      </c>
      <c r="AC10" s="22" t="inlineStr">
        <is>
          <t>Memória Celestial</t>
        </is>
      </c>
      <c r="AE10" s="22" t="inlineStr">
        <is>
          <t>Vínculo Profundo</t>
        </is>
      </c>
      <c r="AM10" s="22" t="inlineStr">
        <is>
          <t>Dano de Habilidade</t>
        </is>
      </c>
    </row>
    <row r="11" ht="116" customHeight="1">
      <c r="A11" s="58" t="inlineStr">
        <is>
          <t>Haloviano</t>
        </is>
      </c>
      <c r="B11" s="4" t="inlineStr">
        <is>
          <t>+2 Sincronia ou Presença</t>
        </is>
      </c>
      <c r="C11" s="22" t="inlineStr">
        <is>
          <t>Não</t>
        </is>
      </c>
      <c r="D11" s="22" t="inlineStr">
        <is>
          <t>Sincronia</t>
        </is>
      </c>
      <c r="E11" s="22" t="inlineStr">
        <is>
          <t>Presença</t>
        </is>
      </c>
      <c r="F11" s="4" t="inlineStr">
        <is>
          <t>To na sua mente (2 vezes por dia, deixa o alvo Controlado)</t>
        </is>
      </c>
      <c r="G11" s="4" t="inlineStr">
        <is>
          <t>To na sua mente: 2 vezes por dia. Gaste a sua Ação Complementar. 1. Ativação. Se você segue o Caminho da Harmonia, não há teste de ativação. Caso contrário, faça um Teste de Sintonia contra DT 13; se falhar, você não pode usar este traço até o próximo Descanso Longo. 2. Resistência do alvo. Em ambos os casos, o alvo faz um Teste de Força de Vontade contra a sua DT (8 + Bônus do Atributo de Habilidade + Eficiência). 3. Na falha do alvo, ele fica Controlado (capítulo 21) por 2 turnos se for Comum, ou 1 turno se for Elite ou Boss. Não funciona em Boss em cena de clímax sem autorização do Mestre. Fora de combate, o Mestre define a duração pela cena — a referência é meia hora. A DT 13 da ativação é fixa em todas as faixas e é uma das cinco DTs de subsistema do livro (capítulo 02).</t>
        </is>
      </c>
      <c r="O11" s="22" t="inlineStr">
        <is>
          <t>Avginiano</t>
        </is>
      </c>
      <c r="P11" s="22" t="inlineStr">
        <is>
          <t>A Erudição</t>
        </is>
      </c>
      <c r="Q11" s="22" t="inlineStr">
        <is>
          <t>Presença</t>
        </is>
      </c>
      <c r="R11" s="22" t="inlineStr">
        <is>
          <t>Quântico</t>
        </is>
      </c>
      <c r="T11" s="22" t="inlineStr">
        <is>
          <t>Energia</t>
        </is>
      </c>
      <c r="V11" s="22" t="inlineStr">
        <is>
          <t>Dissimulada</t>
        </is>
      </c>
      <c r="Y11" s="22" t="inlineStr">
        <is>
          <t>Aprisionamento</t>
        </is>
      </c>
      <c r="Z11" s="22" t="inlineStr">
        <is>
          <t>Tecnologia</t>
        </is>
      </c>
      <c r="AA11" s="22" t="inlineStr">
        <is>
          <t>Força de Vontade</t>
        </is>
      </c>
      <c r="AB11" s="22" t="inlineStr">
        <is>
          <t>Corda de Ligação</t>
        </is>
      </c>
      <c r="AE11" s="22" t="inlineStr">
        <is>
          <t>Forma Mutável</t>
        </is>
      </c>
      <c r="AM11" s="22" t="inlineStr">
        <is>
          <t>Dano de Ultimate</t>
        </is>
      </c>
    </row>
    <row r="12" ht="71" customHeight="1">
      <c r="A12" s="59" t="inlineStr">
        <is>
          <t>Avginiano</t>
        </is>
      </c>
      <c r="B12" s="21" t="inlineStr">
        <is>
          <t>+2 Discernimento</t>
        </is>
      </c>
      <c r="C12" s="21" t="inlineStr">
        <is>
          <t>Não</t>
        </is>
      </c>
      <c r="D12" s="21" t="inlineStr">
        <is>
          <t>Discernimento</t>
        </is>
      </c>
      <c r="E12" s="21" t="inlineStr"/>
      <c r="F12" s="9" t="inlineStr">
        <is>
          <t>Mente de Ferro (Vantagem em Resistência Mental, Percepção Mental e Força de Vontade)</t>
        </is>
      </c>
      <c r="G12" s="9" t="inlineStr">
        <is>
          <t>Mente de Ferro: Por tudo que você e o seu povo passaram, a sua cabeça virou um lugar difícil de invadir. Você tem Vantagem em três dos seis Testes de Resistência: • Resistência Mental • Percepção Mental • Força de Vontade São exatamente os três Testes mentais do capítulo 22 — medo, ilusão, manipulação cognitiva, intimidação e controle. Contra um Caminho da Inexistência ou da Harmonia hostil, isso é a diferença entre perder o turno e rir na cara dele.</t>
        </is>
      </c>
      <c r="O12" s="22" t="inlineStr">
        <is>
          <t>Intellitron</t>
        </is>
      </c>
      <c r="P12" s="22" t="inlineStr">
        <is>
          <t>A Euforia</t>
        </is>
      </c>
      <c r="R12" s="22" t="inlineStr">
        <is>
          <t>Imaginário</t>
        </is>
      </c>
      <c r="Y12" s="22" t="inlineStr">
        <is>
          <t>Lentidão</t>
        </is>
      </c>
      <c r="Z12" s="22" t="inlineStr">
        <is>
          <t>Pesquisa</t>
        </is>
      </c>
      <c r="AM12" s="22" t="inlineStr">
        <is>
          <t>RD</t>
        </is>
      </c>
    </row>
    <row r="13" ht="71" customHeight="1">
      <c r="A13" s="58" t="inlineStr">
        <is>
          <t>Intellitron</t>
        </is>
      </c>
      <c r="B13" s="22" t="inlineStr">
        <is>
          <t>+2 Sincronia</t>
        </is>
      </c>
      <c r="C13" s="22" t="inlineStr">
        <is>
          <t>Não</t>
        </is>
      </c>
      <c r="D13" s="22" t="inlineStr">
        <is>
          <t>Sincronia</t>
        </is>
      </c>
      <c r="E13" s="22" t="inlineStr"/>
      <c r="F13" s="4" t="inlineStr">
        <is>
          <t>Sabedoria de Intellitron (Vantagem em Tecnologia e Mecânica; Fraqueza com Vantagem e duas por sucesso)</t>
        </is>
      </c>
      <c r="G13" s="4" t="inlineStr">
        <is>
          <t>Sabedoria de Intellitron: • Você tem Vantagem em Testes de Tecnologia e de Mecânica. • Quando você faz o teste para descobrir uma Fraqueza de inimigo (capítulo 20), você rola com Vantagem e, em um sucesso, descobre duas Fraquezas em vez de uma. • Fora de combate, o mesmo tipo de teste — Pesquisa, Ciência ou Sintonia contra a DT da cena — serve para arrancar uma pista sobre algo que você queira saber, a critério do Mestre.</t>
        </is>
      </c>
      <c r="P13" s="22" t="inlineStr">
        <is>
          <t>A Caça</t>
        </is>
      </c>
      <c r="Y13" s="22" t="inlineStr">
        <is>
          <t>Marcado</t>
        </is>
      </c>
      <c r="Z13" s="22" t="inlineStr">
        <is>
          <t>Ciência</t>
        </is>
      </c>
      <c r="AM13" s="22" t="inlineStr">
        <is>
          <t>Teste de Ataque</t>
        </is>
      </c>
    </row>
    <row r="14">
      <c r="P14" s="22" t="inlineStr">
        <is>
          <t>A Preservação</t>
        </is>
      </c>
      <c r="Y14" s="22" t="inlineStr">
        <is>
          <t>Silenciado</t>
        </is>
      </c>
      <c r="Z14" s="22" t="inlineStr">
        <is>
          <t>Mecânica</t>
        </is>
      </c>
      <c r="AM14" s="22" t="inlineStr">
        <is>
          <t>Um Teste de Resistência</t>
        </is>
      </c>
    </row>
    <row r="15">
      <c r="A15" s="14" t="inlineStr">
        <is>
          <t>Vantagens e traços automáticos por Raça — capítulo 05 (transcrito)</t>
        </is>
      </c>
      <c r="Y15" s="22" t="inlineStr">
        <is>
          <t>Vulnerável</t>
        </is>
      </c>
      <c r="Z15" s="22" t="inlineStr">
        <is>
          <t>Percepção</t>
        </is>
      </c>
      <c r="AM15" s="22" t="inlineStr">
        <is>
          <t>Uma Perícia</t>
        </is>
      </c>
    </row>
    <row r="16">
      <c r="A16" s="7" t="inlineStr">
        <is>
          <t>Raça</t>
        </is>
      </c>
      <c r="B16" s="7" t="inlineStr">
        <is>
          <t>Onde vale</t>
        </is>
      </c>
      <c r="Y16" s="22" t="inlineStr">
        <is>
          <t>Controlado</t>
        </is>
      </c>
      <c r="Z16" s="22" t="inlineStr">
        <is>
          <t>Sobrevivência</t>
        </is>
      </c>
    </row>
    <row r="17" ht="37" customHeight="1">
      <c r="A17" s="58" t="inlineStr">
        <is>
          <t>Xianzhouíta</t>
        </is>
      </c>
      <c r="B17" s="4" t="inlineStr">
        <is>
          <t>todos os 6 Testes de Resistência (inclusive Morrendo)</t>
        </is>
      </c>
      <c r="Y17" s="22" t="inlineStr">
        <is>
          <t>Corrupção</t>
        </is>
      </c>
      <c r="Z17" s="22" t="inlineStr">
        <is>
          <t>Intuição</t>
        </is>
      </c>
    </row>
    <row r="18" ht="26" customHeight="1">
      <c r="A18" s="59" t="inlineStr">
        <is>
          <t>Xianzhouíta</t>
        </is>
      </c>
      <c r="B18" s="9" t="inlineStr">
        <is>
          <t>não pode ser Executado</t>
        </is>
      </c>
      <c r="Y18" s="22" t="inlineStr">
        <is>
          <t>Surpreso</t>
        </is>
      </c>
      <c r="Z18" s="22" t="inlineStr">
        <is>
          <t>Investigação</t>
        </is>
      </c>
    </row>
    <row r="19" ht="48" customHeight="1">
      <c r="A19" s="58" t="inlineStr">
        <is>
          <t>Vidyadhara</t>
        </is>
      </c>
      <c r="B19" s="4" t="inlineStr">
        <is>
          <t>Resistência Física contra afogamento, frio e efeitos de água (condicional)</t>
        </is>
      </c>
      <c r="Z19" s="22" t="inlineStr">
        <is>
          <t>Persuasão</t>
        </is>
      </c>
    </row>
    <row r="20" ht="60" customHeight="1">
      <c r="A20" s="59" t="inlineStr">
        <is>
          <t>Vulpes</t>
        </is>
      </c>
      <c r="B20" s="9" t="inlineStr">
        <is>
          <t>Persuasão, Intimidação, Enganação, Liderança e Força de Vontade</t>
        </is>
      </c>
      <c r="Z20" s="22" t="inlineStr">
        <is>
          <t>Intimidação</t>
        </is>
      </c>
    </row>
    <row r="21" ht="37" customHeight="1">
      <c r="A21" s="58" t="inlineStr">
        <is>
          <t>Avginiano</t>
        </is>
      </c>
      <c r="B21" s="4" t="inlineStr">
        <is>
          <t>Resistência Mental, Percepção Mental e Força de Vontade</t>
        </is>
      </c>
      <c r="Z21" s="22" t="inlineStr">
        <is>
          <t>Enganação</t>
        </is>
      </c>
    </row>
    <row r="22" ht="37" customHeight="1">
      <c r="A22" s="59" t="inlineStr">
        <is>
          <t>Intellitron</t>
        </is>
      </c>
      <c r="B22" s="9" t="inlineStr">
        <is>
          <t>Tecnologia, Mecânica e teste de descobrir Fraqueza</t>
        </is>
      </c>
      <c r="Z22" s="22" t="inlineStr">
        <is>
          <t>Liderança</t>
        </is>
      </c>
    </row>
    <row r="23" ht="26" customHeight="1">
      <c r="A23" s="58" t="inlineStr">
        <is>
          <t>Humano</t>
        </is>
      </c>
      <c r="B23" s="4" t="inlineStr">
        <is>
          <t>Esforço (máximo 1 ponto)</t>
        </is>
      </c>
      <c r="Z23" s="22" t="inlineStr">
        <is>
          <t>Sintonia</t>
        </is>
      </c>
    </row>
    <row r="24"/>
    <row r="25">
      <c r="A25" s="14" t="inlineStr">
        <is>
          <t>Bônus de Atributo — 04.2</t>
        </is>
      </c>
    </row>
    <row r="26">
      <c r="A26" s="7" t="inlineStr">
        <is>
          <t>Valor</t>
        </is>
      </c>
      <c r="B26" s="7" t="inlineStr">
        <is>
          <t>Bônus</t>
        </is>
      </c>
    </row>
    <row r="27">
      <c r="A27" s="58" t="n">
        <v>8</v>
      </c>
      <c r="B27" s="22" t="n">
        <v>-1</v>
      </c>
    </row>
    <row r="28">
      <c r="A28" s="59" t="n">
        <v>9</v>
      </c>
      <c r="B28" s="21" t="n">
        <v>-1</v>
      </c>
    </row>
    <row r="29">
      <c r="A29" s="58" t="n">
        <v>10</v>
      </c>
      <c r="B29" s="22" t="n">
        <v>0</v>
      </c>
    </row>
    <row r="30">
      <c r="A30" s="59" t="n">
        <v>11</v>
      </c>
      <c r="B30" s="21" t="n">
        <v>0</v>
      </c>
    </row>
    <row r="31">
      <c r="A31" s="58" t="n">
        <v>12</v>
      </c>
      <c r="B31" s="22" t="n">
        <v>1</v>
      </c>
    </row>
    <row r="32">
      <c r="A32" s="59" t="n">
        <v>13</v>
      </c>
      <c r="B32" s="21" t="n">
        <v>1</v>
      </c>
    </row>
    <row r="33">
      <c r="A33" s="58" t="n">
        <v>14</v>
      </c>
      <c r="B33" s="22" t="n">
        <v>2</v>
      </c>
    </row>
    <row r="34">
      <c r="A34" s="59" t="n">
        <v>15</v>
      </c>
      <c r="B34" s="21" t="n">
        <v>3</v>
      </c>
    </row>
    <row r="35">
      <c r="A35" s="58" t="n">
        <v>16</v>
      </c>
      <c r="B35" s="22" t="n">
        <v>3</v>
      </c>
    </row>
    <row r="36">
      <c r="A36" s="59" t="n">
        <v>17</v>
      </c>
      <c r="B36" s="21" t="n">
        <v>4</v>
      </c>
    </row>
    <row r="37">
      <c r="A37" s="58" t="n">
        <v>18</v>
      </c>
      <c r="B37" s="22" t="n">
        <v>4</v>
      </c>
    </row>
    <row r="38">
      <c r="A38" s="59" t="n">
        <v>19</v>
      </c>
      <c r="B38" s="21" t="n">
        <v>5</v>
      </c>
    </row>
    <row r="39">
      <c r="A39" s="58" t="n">
        <v>20</v>
      </c>
      <c r="B39" s="22" t="n">
        <v>5</v>
      </c>
    </row>
    <row r="40"/>
    <row r="41">
      <c r="A41" s="14" t="inlineStr">
        <is>
          <t>Compra de Pontos — 03 Passo 4 (Método B)</t>
        </is>
      </c>
    </row>
    <row r="42">
      <c r="A42" s="7" t="inlineStr">
        <is>
          <t>Valor</t>
        </is>
      </c>
      <c r="B42" s="7" t="inlineStr">
        <is>
          <t>Custo acumulado</t>
        </is>
      </c>
    </row>
    <row r="43">
      <c r="A43" s="58" t="n">
        <v>8</v>
      </c>
      <c r="B43" s="22" t="n">
        <v>0</v>
      </c>
    </row>
    <row r="44">
      <c r="A44" s="59" t="n">
        <v>9</v>
      </c>
      <c r="B44" s="21" t="n">
        <v>1</v>
      </c>
    </row>
    <row r="45">
      <c r="A45" s="58" t="n">
        <v>10</v>
      </c>
      <c r="B45" s="22" t="n">
        <v>2</v>
      </c>
    </row>
    <row r="46">
      <c r="A46" s="59" t="n">
        <v>11</v>
      </c>
      <c r="B46" s="21" t="n">
        <v>3</v>
      </c>
    </row>
    <row r="47">
      <c r="A47" s="58" t="n">
        <v>12</v>
      </c>
      <c r="B47" s="22" t="n">
        <v>4</v>
      </c>
    </row>
    <row r="48">
      <c r="A48" s="59" t="n">
        <v>13</v>
      </c>
      <c r="B48" s="21" t="n">
        <v>5</v>
      </c>
    </row>
    <row r="49">
      <c r="A49" s="58" t="n">
        <v>14</v>
      </c>
      <c r="B49" s="22" t="n">
        <v>7</v>
      </c>
    </row>
    <row r="50">
      <c r="A50" s="59" t="n">
        <v>15</v>
      </c>
      <c r="B50" s="21" t="n">
        <v>10</v>
      </c>
    </row>
    <row r="51"/>
    <row r="52">
      <c r="A52" s="14" t="inlineStr">
        <is>
          <t>Perícias — 04.4</t>
        </is>
      </c>
    </row>
    <row r="53">
      <c r="A53" s="7" t="inlineStr">
        <is>
          <t>Perícia</t>
        </is>
      </c>
      <c r="B53" s="7" t="inlineStr">
        <is>
          <t>Atributo</t>
        </is>
      </c>
      <c r="C53" s="7" t="inlineStr">
        <is>
          <t>O que resolve</t>
        </is>
      </c>
    </row>
    <row r="54" ht="48" customHeight="1">
      <c r="A54" s="58" t="inlineStr">
        <is>
          <t>Atletismo</t>
        </is>
      </c>
      <c r="B54" s="22" t="inlineStr">
        <is>
          <t>Poder</t>
        </is>
      </c>
      <c r="C54" s="4" t="inlineStr">
        <is>
          <t>Escalar, nadar, saltar, empurrar, quebrar objetos e feitos de força</t>
        </is>
      </c>
    </row>
    <row r="55" ht="48" customHeight="1">
      <c r="A55" s="59" t="inlineStr">
        <is>
          <t>Acrobacia</t>
        </is>
      </c>
      <c r="B55" s="21" t="inlineStr">
        <is>
          <t>Agilidade</t>
        </is>
      </c>
      <c r="C55" s="9" t="inlineStr">
        <is>
          <t>Equilíbrio, rolamentos, parkour e escapar de agarrões</t>
        </is>
      </c>
    </row>
    <row r="56">
      <c r="A56" s="58" t="inlineStr">
        <is>
          <t>Furtividade</t>
        </is>
      </c>
      <c r="B56" s="22" t="inlineStr">
        <is>
          <t>Agilidade</t>
        </is>
      </c>
      <c r="C56" s="22" t="inlineStr">
        <is>
          <t>Passar despercebido</t>
        </is>
      </c>
    </row>
    <row r="57" ht="48" customHeight="1">
      <c r="A57" s="59" t="inlineStr">
        <is>
          <t>Pilotagem</t>
        </is>
      </c>
      <c r="B57" s="21" t="inlineStr">
        <is>
          <t>Agilidade</t>
        </is>
      </c>
      <c r="C57" s="9" t="inlineStr">
        <is>
          <t>Conduzir naves, mechas, motos voadoras ou outros veículos</t>
        </is>
      </c>
    </row>
    <row r="58" ht="48" customHeight="1">
      <c r="A58" s="58" t="inlineStr">
        <is>
          <t>Resistência</t>
        </is>
      </c>
      <c r="B58" s="22" t="inlineStr">
        <is>
          <t>Vigor</t>
        </is>
      </c>
      <c r="C58" s="4" t="inlineStr">
        <is>
          <t>Suportar venenos, frio, calor, fadiga, fome e longas marchas</t>
        </is>
      </c>
    </row>
    <row r="59" ht="48" customHeight="1">
      <c r="A59" s="59" t="inlineStr">
        <is>
          <t>Tecnologia</t>
        </is>
      </c>
      <c r="B59" s="21" t="inlineStr">
        <is>
          <t>Sincronia</t>
        </is>
      </c>
      <c r="C59" s="9" t="inlineStr">
        <is>
          <t>Invadir sistemas, consertar máquinas, usar computadores e dispositivos</t>
        </is>
      </c>
    </row>
    <row r="60" ht="60" customHeight="1">
      <c r="A60" s="58" t="inlineStr">
        <is>
          <t>Pesquisa</t>
        </is>
      </c>
      <c r="B60" s="22" t="inlineStr">
        <is>
          <t>Sincronia</t>
        </is>
      </c>
      <c r="C60" s="4" t="inlineStr">
        <is>
          <t>Encontrar informações, consultar arquivos e lembrar conhecimentos</t>
        </is>
      </c>
    </row>
    <row r="61" ht="48" customHeight="1">
      <c r="A61" s="59" t="inlineStr">
        <is>
          <t>Ciência</t>
        </is>
      </c>
      <c r="B61" s="21" t="inlineStr">
        <is>
          <t>Sincronia</t>
        </is>
      </c>
      <c r="C61" s="9" t="inlineStr">
        <is>
          <t>Física, química, medicina, astronomia e biologia, entre outras</t>
        </is>
      </c>
    </row>
    <row r="62" ht="37" customHeight="1">
      <c r="A62" s="58" t="inlineStr">
        <is>
          <t>Mecânica</t>
        </is>
      </c>
      <c r="B62" s="22" t="inlineStr">
        <is>
          <t>Sincronia</t>
        </is>
      </c>
      <c r="C62" s="4" t="inlineStr">
        <is>
          <t>Construir, modificar ou reparar armas, robôs e veículos</t>
        </is>
      </c>
    </row>
    <row r="63" ht="37" customHeight="1">
      <c r="A63" s="59" t="inlineStr">
        <is>
          <t>Percepção</t>
        </is>
      </c>
      <c r="B63" s="21" t="inlineStr">
        <is>
          <t>Discernimento</t>
        </is>
      </c>
      <c r="C63" s="9" t="inlineStr">
        <is>
          <t>Notar armadilhas, inimigos escondidos e detalhes</t>
        </is>
      </c>
    </row>
    <row r="64" ht="48" customHeight="1">
      <c r="A64" s="58" t="inlineStr">
        <is>
          <t>Sobrevivência</t>
        </is>
      </c>
      <c r="B64" s="22" t="inlineStr">
        <is>
          <t>Discernimento</t>
        </is>
      </c>
      <c r="C64" s="4" t="inlineStr">
        <is>
          <t>Rastrear, encontrar recursos e orientar-se em ambientes hostis</t>
        </is>
      </c>
    </row>
    <row r="65" ht="26" customHeight="1">
      <c r="A65" s="59" t="inlineStr">
        <is>
          <t>Intuição</t>
        </is>
      </c>
      <c r="B65" s="21" t="inlineStr">
        <is>
          <t>Discernimento</t>
        </is>
      </c>
      <c r="C65" s="9" t="inlineStr">
        <is>
          <t>Perceber mentiras, intenções e emoções</t>
        </is>
      </c>
    </row>
    <row r="66" ht="37" customHeight="1">
      <c r="A66" s="58" t="inlineStr">
        <is>
          <t>Investigação</t>
        </is>
      </c>
      <c r="B66" s="22" t="inlineStr">
        <is>
          <t>Discernimento</t>
        </is>
      </c>
      <c r="C66" s="4" t="inlineStr">
        <is>
          <t>Reconstruir cenas, encontrar pistas e resolver mistérios</t>
        </is>
      </c>
    </row>
    <row r="67" ht="26" customHeight="1">
      <c r="A67" s="59" t="inlineStr">
        <is>
          <t>Persuasão</t>
        </is>
      </c>
      <c r="B67" s="21" t="inlineStr">
        <is>
          <t>Presença</t>
        </is>
      </c>
      <c r="C67" s="9" t="inlineStr">
        <is>
          <t>Convencer e negociar</t>
        </is>
      </c>
    </row>
    <row r="68" ht="26" customHeight="1">
      <c r="A68" s="58" t="inlineStr">
        <is>
          <t>Intimidação</t>
        </is>
      </c>
      <c r="B68" s="22" t="inlineStr">
        <is>
          <t>Presença</t>
        </is>
      </c>
      <c r="C68" s="4" t="inlineStr">
        <is>
          <t>Ameaçar e impor respeito</t>
        </is>
      </c>
    </row>
    <row r="69" ht="26" customHeight="1">
      <c r="A69" s="59" t="inlineStr">
        <is>
          <t>Enganação</t>
        </is>
      </c>
      <c r="B69" s="21" t="inlineStr">
        <is>
          <t>Presença</t>
        </is>
      </c>
      <c r="C69" s="9" t="inlineStr">
        <is>
          <t>Mentir, blefar e criar disfarces</t>
        </is>
      </c>
    </row>
    <row r="70" ht="37" customHeight="1">
      <c r="A70" s="58" t="inlineStr">
        <is>
          <t>Liderança</t>
        </is>
      </c>
      <c r="B70" s="22" t="inlineStr">
        <is>
          <t>Presença</t>
        </is>
      </c>
      <c r="C70" s="4" t="inlineStr">
        <is>
          <t>Coordenar aliados, motivar equipes e comandar grupos</t>
        </is>
      </c>
    </row>
    <row r="71" ht="82" customHeight="1">
      <c r="A71" s="59" t="inlineStr">
        <is>
          <t>Sintonia</t>
        </is>
      </c>
      <c r="B71" s="9" t="inlineStr">
        <is>
          <t>Discernimento ou Sincronia</t>
        </is>
      </c>
      <c r="C71" s="9" t="inlineStr">
        <is>
          <t>Usar ou compreender fenômenos ligados aos Caminhos, ao Stellaron, ao Fragmentum e a outras energias sobrenaturais</t>
        </is>
      </c>
    </row>
    <row r="72"/>
    <row r="73">
      <c r="A73" s="14" t="inlineStr">
        <is>
          <t>Testes de Resistência — 04.6</t>
        </is>
      </c>
    </row>
    <row r="74">
      <c r="A74" s="7" t="inlineStr">
        <is>
          <t>Teste de Resistência</t>
        </is>
      </c>
      <c r="B74" s="7" t="inlineStr">
        <is>
          <t>Atributo</t>
        </is>
      </c>
    </row>
    <row r="75">
      <c r="A75" s="58" t="inlineStr">
        <is>
          <t>Potência Física</t>
        </is>
      </c>
      <c r="B75" s="22" t="inlineStr">
        <is>
          <t>Poder</t>
        </is>
      </c>
    </row>
    <row r="76">
      <c r="A76" s="59" t="inlineStr">
        <is>
          <t>Reflexos</t>
        </is>
      </c>
      <c r="B76" s="21" t="inlineStr">
        <is>
          <t>Agilidade</t>
        </is>
      </c>
    </row>
    <row r="77">
      <c r="A77" s="58" t="inlineStr">
        <is>
          <t>Resistência Física</t>
        </is>
      </c>
      <c r="B77" s="22" t="inlineStr">
        <is>
          <t>Vigor</t>
        </is>
      </c>
    </row>
    <row r="78">
      <c r="A78" s="59" t="inlineStr">
        <is>
          <t>Resistência Mental</t>
        </is>
      </c>
      <c r="B78" s="21" t="inlineStr">
        <is>
          <t>Sincronia</t>
        </is>
      </c>
    </row>
    <row r="79">
      <c r="A79" s="58" t="inlineStr">
        <is>
          <t>Percepção Mental</t>
        </is>
      </c>
      <c r="B79" s="22" t="inlineStr">
        <is>
          <t>Discernimento</t>
        </is>
      </c>
    </row>
    <row r="80">
      <c r="A80" s="59" t="inlineStr">
        <is>
          <t>Força de Vontade</t>
        </is>
      </c>
      <c r="B80" s="21" t="inlineStr">
        <is>
          <t>Presença</t>
        </is>
      </c>
    </row>
    <row r="81"/>
    <row r="82">
      <c r="A82" s="14" t="inlineStr">
        <is>
          <t>Caminhos — 06.2 e 06.3 (recurso próprio: capítulos 07 a 15)</t>
        </is>
      </c>
    </row>
    <row r="83" ht="26" customHeight="1">
      <c r="A83" s="7" t="inlineStr">
        <is>
          <t>Caminho</t>
        </is>
      </c>
      <c r="B83" s="7" t="inlineStr">
        <is>
          <t>Aeon</t>
        </is>
      </c>
      <c r="C83" s="7" t="inlineStr">
        <is>
          <t>A ideia, em uma frase</t>
        </is>
      </c>
      <c r="D83" s="7" t="inlineStr">
        <is>
          <t>Atributo de Habilidade</t>
        </is>
      </c>
      <c r="E83" s="7" t="inlineStr">
        <is>
          <t>Opção 1</t>
        </is>
      </c>
      <c r="F83" s="7" t="inlineStr">
        <is>
          <t>Opção 2</t>
        </is>
      </c>
      <c r="G83" s="7" t="inlineStr">
        <is>
          <t>Perícia 1</t>
        </is>
      </c>
      <c r="H83" s="7" t="inlineStr">
        <is>
          <t>Perícia 2</t>
        </is>
      </c>
      <c r="I83" s="7" t="inlineStr">
        <is>
          <t>Perícia 3</t>
        </is>
      </c>
      <c r="J83" s="7" t="inlineStr">
        <is>
          <t>N</t>
        </is>
      </c>
      <c r="K83" s="7" t="inlineStr">
        <is>
          <t>Bônus de VEL</t>
        </is>
      </c>
      <c r="L83" s="7" t="inlineStr">
        <is>
          <t>Recurso próprio</t>
        </is>
      </c>
    </row>
    <row r="84" ht="71" customHeight="1">
      <c r="A84" s="58" t="inlineStr">
        <is>
          <t>A Destruição</t>
        </is>
      </c>
      <c r="B84" s="22" t="inlineStr">
        <is>
          <t>Nanook</t>
        </is>
      </c>
      <c r="C84" s="4" t="inlineStr">
        <is>
          <t>Tudo que foi construído pode cair, e cair abre espaço.</t>
        </is>
      </c>
      <c r="D84" s="22" t="inlineStr">
        <is>
          <t>Poder ou Vigor</t>
        </is>
      </c>
      <c r="E84" s="22" t="inlineStr">
        <is>
          <t>Poder</t>
        </is>
      </c>
      <c r="F84" s="22" t="inlineStr">
        <is>
          <t>Vigor</t>
        </is>
      </c>
      <c r="G84" s="22" t="inlineStr">
        <is>
          <t>Atletismo</t>
        </is>
      </c>
      <c r="H84" s="22" t="inlineStr">
        <is>
          <t>Sobrevivência</t>
        </is>
      </c>
      <c r="I84" s="22" t="inlineStr">
        <is>
          <t>Resistência</t>
        </is>
      </c>
      <c r="J84" s="22" t="n">
        <v>6</v>
      </c>
      <c r="K84" s="22" t="n">
        <v>1</v>
      </c>
      <c r="L84" s="4" t="inlineStr">
        <is>
          <t>Os seus PV, gastos como moeda: 2 × nível por ativação; 5 × nível por dado base do Avatar</t>
        </is>
      </c>
    </row>
    <row r="85" ht="60" customHeight="1">
      <c r="A85" s="59" t="inlineStr">
        <is>
          <t>A Inexistência</t>
        </is>
      </c>
      <c r="B85" s="21" t="inlineStr">
        <is>
          <t>Ix</t>
        </is>
      </c>
      <c r="C85" s="9" t="inlineStr">
        <is>
          <t>Nada precisava existir, e o que existe pode ser negado.</t>
        </is>
      </c>
      <c r="D85" s="9" t="inlineStr">
        <is>
          <t>Discernimento ou Sincronia</t>
        </is>
      </c>
      <c r="E85" s="21" t="inlineStr">
        <is>
          <t>Discernimento</t>
        </is>
      </c>
      <c r="F85" s="21" t="inlineStr">
        <is>
          <t>Sincronia</t>
        </is>
      </c>
      <c r="G85" s="21" t="inlineStr">
        <is>
          <t>Percepção</t>
        </is>
      </c>
      <c r="H85" s="21" t="inlineStr">
        <is>
          <t>Pesquisa</t>
        </is>
      </c>
      <c r="I85" s="21" t="inlineStr">
        <is>
          <t>Furtividade</t>
        </is>
      </c>
      <c r="J85" s="21" t="n">
        <v>4</v>
      </c>
      <c r="K85" s="21" t="n">
        <v>2</v>
      </c>
      <c r="L85" s="9" t="inlineStr">
        <is>
          <t>Nenhum além dos acúmulos das Bênçãos: Marca do Vazio (até 3) e Corrupção (até 5)</t>
        </is>
      </c>
    </row>
    <row r="86" ht="49" customHeight="1">
      <c r="A86" s="58" t="inlineStr">
        <is>
          <t>A Harmonia</t>
        </is>
      </c>
      <c r="B86" s="22" t="inlineStr">
        <is>
          <t>Xipe</t>
        </is>
      </c>
      <c r="C86" s="4" t="inlineStr">
        <is>
          <t>Nenhuma voz sozinha chega onde um coro chega.</t>
        </is>
      </c>
      <c r="D86" s="22" t="inlineStr">
        <is>
          <t>Presença</t>
        </is>
      </c>
      <c r="E86" s="22" t="inlineStr">
        <is>
          <t>Presença</t>
        </is>
      </c>
      <c r="F86" s="22" t="inlineStr"/>
      <c r="G86" s="22" t="inlineStr">
        <is>
          <t>Liderança</t>
        </is>
      </c>
      <c r="H86" s="22" t="inlineStr">
        <is>
          <t>Sintonia</t>
        </is>
      </c>
      <c r="I86" s="22" t="inlineStr">
        <is>
          <t>Persuasão</t>
        </is>
      </c>
      <c r="J86" s="22" t="n">
        <v>3</v>
      </c>
      <c r="K86" s="22" t="n">
        <v>2</v>
      </c>
      <c r="L86" s="4" t="inlineStr">
        <is>
          <t>Nenhum além dos acúmulos das Bênçãos: Eco da Vitória (até 3)</t>
        </is>
      </c>
    </row>
    <row r="87" ht="60" customHeight="1">
      <c r="A87" s="59" t="inlineStr">
        <is>
          <t>A Abundância</t>
        </is>
      </c>
      <c r="B87" s="21" t="inlineStr">
        <is>
          <t>Yaoshi</t>
        </is>
      </c>
      <c r="C87" s="9" t="inlineStr">
        <is>
          <t>Nenhuma vida deveria terminar enquanto houver energia para sustentá-la.</t>
        </is>
      </c>
      <c r="D87" s="9" t="inlineStr">
        <is>
          <t>Presença ou Sincronia</t>
        </is>
      </c>
      <c r="E87" s="21" t="inlineStr">
        <is>
          <t>Presença</t>
        </is>
      </c>
      <c r="F87" s="21" t="inlineStr">
        <is>
          <t>Sincronia</t>
        </is>
      </c>
      <c r="G87" s="21" t="inlineStr">
        <is>
          <t>Liderança</t>
        </is>
      </c>
      <c r="H87" s="21" t="inlineStr">
        <is>
          <t>Intuição</t>
        </is>
      </c>
      <c r="I87" s="21" t="inlineStr">
        <is>
          <t>Sobrevivência</t>
        </is>
      </c>
      <c r="J87" s="21" t="n">
        <v>5</v>
      </c>
      <c r="K87" s="21" t="n">
        <v>1</v>
      </c>
      <c r="L87" s="9" t="inlineStr">
        <is>
          <t>Nenhum além dos acúmulos das Bênçãos: Florescimento (até 5)</t>
        </is>
      </c>
    </row>
    <row r="88" ht="37" customHeight="1">
      <c r="A88" s="58" t="inlineStr">
        <is>
          <t>A Recordação</t>
        </is>
      </c>
      <c r="B88" s="22" t="inlineStr">
        <is>
          <t>Fuli</t>
        </is>
      </c>
      <c r="C88" s="4" t="inlineStr">
        <is>
          <t>Enquanto algo for lembrado, não está perdido.</t>
        </is>
      </c>
      <c r="D88" s="4" t="inlineStr">
        <is>
          <t>Sincronia ou Discernimento</t>
        </is>
      </c>
      <c r="E88" s="22" t="inlineStr">
        <is>
          <t>Sincronia</t>
        </is>
      </c>
      <c r="F88" s="22" t="inlineStr">
        <is>
          <t>Discernimento</t>
        </is>
      </c>
      <c r="G88" s="22" t="inlineStr">
        <is>
          <t>Intimidação</t>
        </is>
      </c>
      <c r="H88" s="22" t="inlineStr">
        <is>
          <t>Investigação</t>
        </is>
      </c>
      <c r="I88" s="22" t="inlineStr">
        <is>
          <t>Ciência</t>
        </is>
      </c>
      <c r="J88" s="22" t="n">
        <v>3</v>
      </c>
      <c r="K88" s="22" t="n">
        <v>1</v>
      </c>
      <c r="L88" s="4" t="inlineStr">
        <is>
          <t>Memoespírito (11.3 a 11.5)</t>
        </is>
      </c>
    </row>
    <row r="89" ht="37" customHeight="1">
      <c r="A89" s="59" t="inlineStr">
        <is>
          <t>A Erudição</t>
        </is>
      </c>
      <c r="B89" s="21" t="inlineStr">
        <is>
          <t>Nous</t>
        </is>
      </c>
      <c r="C89" s="9" t="inlineStr">
        <is>
          <t>Entender é a única forma honesta de poder.</t>
        </is>
      </c>
      <c r="D89" s="21" t="inlineStr">
        <is>
          <t>Sincronia</t>
        </is>
      </c>
      <c r="E89" s="21" t="inlineStr">
        <is>
          <t>Sincronia</t>
        </is>
      </c>
      <c r="F89" s="21" t="inlineStr"/>
      <c r="G89" s="21" t="inlineStr">
        <is>
          <t>Ciência</t>
        </is>
      </c>
      <c r="H89" s="21" t="inlineStr">
        <is>
          <t>Pesquisa</t>
        </is>
      </c>
      <c r="I89" s="21" t="inlineStr">
        <is>
          <t>Tecnologia</t>
        </is>
      </c>
      <c r="J89" s="21" t="n">
        <v>3</v>
      </c>
      <c r="K89" s="21" t="n">
        <v>1</v>
      </c>
      <c r="L89" s="9" t="inlineStr">
        <is>
          <t>Acúmulos de Cálculo (máximo 5)</t>
        </is>
      </c>
    </row>
    <row r="90" ht="48" customHeight="1">
      <c r="A90" s="58" t="inlineStr">
        <is>
          <t>A Euforia</t>
        </is>
      </c>
      <c r="B90" s="22" t="inlineStr">
        <is>
          <t>Aha</t>
        </is>
      </c>
      <c r="C90" s="4" t="inlineStr">
        <is>
          <t>O universo é uma piada boa, e levar a sério é perder a graça.</t>
        </is>
      </c>
      <c r="D90" s="4" t="inlineStr">
        <is>
          <t>Presença ou Discernimento</t>
        </is>
      </c>
      <c r="E90" s="22" t="inlineStr">
        <is>
          <t>Presença</t>
        </is>
      </c>
      <c r="F90" s="22" t="inlineStr">
        <is>
          <t>Discernimento</t>
        </is>
      </c>
      <c r="G90" s="22" t="inlineStr">
        <is>
          <t>Enganação</t>
        </is>
      </c>
      <c r="H90" s="22" t="inlineStr">
        <is>
          <t>Acrobacia</t>
        </is>
      </c>
      <c r="I90" s="22" t="inlineStr">
        <is>
          <t>Persuasão</t>
        </is>
      </c>
      <c r="J90" s="22" t="n">
        <v>3</v>
      </c>
      <c r="K90" s="22" t="n">
        <v>3</v>
      </c>
      <c r="L90" s="4" t="inlineStr">
        <is>
          <t>Tabela do Riso (1d6)</t>
        </is>
      </c>
    </row>
    <row r="91" ht="60" customHeight="1">
      <c r="A91" s="59" t="inlineStr">
        <is>
          <t>A Caça</t>
        </is>
      </c>
      <c r="B91" s="21" t="inlineStr">
        <is>
          <t>Lan</t>
        </is>
      </c>
      <c r="C91" s="9" t="inlineStr">
        <is>
          <t>Existe uma presa, existe um tiro, e o resto é ruído.</t>
        </is>
      </c>
      <c r="D91" s="21" t="inlineStr">
        <is>
          <t>Agilidade</t>
        </is>
      </c>
      <c r="E91" s="21" t="inlineStr">
        <is>
          <t>Agilidade</t>
        </is>
      </c>
      <c r="F91" s="21" t="inlineStr"/>
      <c r="G91" s="21" t="inlineStr">
        <is>
          <t>Furtividade</t>
        </is>
      </c>
      <c r="H91" s="21" t="inlineStr">
        <is>
          <t>Percepção</t>
        </is>
      </c>
      <c r="I91" s="21" t="inlineStr">
        <is>
          <t>Acrobacia</t>
        </is>
      </c>
      <c r="J91" s="21" t="n">
        <v>2</v>
      </c>
      <c r="K91" s="21" t="n">
        <v>4</v>
      </c>
      <c r="L91" s="9" t="inlineStr">
        <is>
          <t>Marcação de Presa (1 alvo) + faixa de crítico 19-20 com Olho de Lan</t>
        </is>
      </c>
    </row>
    <row r="92" ht="37" customHeight="1">
      <c r="A92" s="58" t="inlineStr">
        <is>
          <t>A Preservação</t>
        </is>
      </c>
      <c r="B92" s="22" t="inlineStr">
        <is>
          <t>Qlipoth</t>
        </is>
      </c>
      <c r="C92" s="4" t="inlineStr">
        <is>
          <t>Enquanto a muralha estiver de pé, o que está atrás dela vive.</t>
        </is>
      </c>
      <c r="D92" s="22" t="inlineStr">
        <is>
          <t>Vigor ou Poder</t>
        </is>
      </c>
      <c r="E92" s="22" t="inlineStr">
        <is>
          <t>Vigor</t>
        </is>
      </c>
      <c r="F92" s="22" t="inlineStr">
        <is>
          <t>Poder</t>
        </is>
      </c>
      <c r="G92" s="22" t="inlineStr">
        <is>
          <t>Resistência</t>
        </is>
      </c>
      <c r="H92" s="22" t="inlineStr">
        <is>
          <t>Atletismo</t>
        </is>
      </c>
      <c r="I92" s="22" t="inlineStr">
        <is>
          <t>Intuição</t>
        </is>
      </c>
      <c r="J92" s="22" t="n">
        <v>5</v>
      </c>
      <c r="K92" s="22" t="n">
        <v>0</v>
      </c>
      <c r="L92" s="4" t="inlineStr">
        <is>
          <t>Barreira (teto 3 × Eficiência)</t>
        </is>
      </c>
    </row>
    <row r="93"/>
    <row r="94">
      <c r="A94" s="14" t="inlineStr">
        <is>
          <t>PV com Bônus de Vigor +2 — 06.4</t>
        </is>
      </c>
    </row>
    <row r="95" ht="48" customHeight="1">
      <c r="A95" s="7" t="inlineStr">
        <is>
          <t>Nível</t>
        </is>
      </c>
      <c r="B95" s="7" t="inlineStr">
        <is>
          <t>N=6 Destruição</t>
        </is>
      </c>
      <c r="C95" s="7" t="inlineStr">
        <is>
          <t>N=5 Preservação / Abundância</t>
        </is>
      </c>
      <c r="D95" s="7" t="inlineStr">
        <is>
          <t>N=4 Inexistência</t>
        </is>
      </c>
      <c r="E95" s="7" t="inlineStr">
        <is>
          <t>N=3 Harmonia / Erudição / Euforia / Recordação</t>
        </is>
      </c>
      <c r="F95" s="7" t="inlineStr">
        <is>
          <t>N=2 Caça</t>
        </is>
      </c>
    </row>
    <row r="96">
      <c r="A96" s="58" t="n">
        <v>1</v>
      </c>
      <c r="B96" s="22" t="n">
        <v>61</v>
      </c>
      <c r="C96" s="22" t="n">
        <v>56</v>
      </c>
      <c r="D96" s="22" t="n">
        <v>51</v>
      </c>
      <c r="E96" s="22" t="n">
        <v>46</v>
      </c>
      <c r="F96" s="22" t="n">
        <v>41</v>
      </c>
    </row>
    <row r="97">
      <c r="A97" s="59" t="n">
        <v>2</v>
      </c>
      <c r="B97" s="21" t="n">
        <v>74</v>
      </c>
      <c r="C97" s="21" t="n">
        <v>68</v>
      </c>
      <c r="D97" s="21" t="n">
        <v>62</v>
      </c>
      <c r="E97" s="21" t="n">
        <v>56</v>
      </c>
      <c r="F97" s="21" t="n">
        <v>50</v>
      </c>
    </row>
    <row r="98">
      <c r="A98" s="58" t="n">
        <v>3</v>
      </c>
      <c r="B98" s="22" t="n">
        <v>87</v>
      </c>
      <c r="C98" s="22" t="n">
        <v>80</v>
      </c>
      <c r="D98" s="22" t="n">
        <v>73</v>
      </c>
      <c r="E98" s="22" t="n">
        <v>66</v>
      </c>
      <c r="F98" s="22" t="n">
        <v>59</v>
      </c>
    </row>
    <row r="99">
      <c r="A99" s="59" t="n">
        <v>4</v>
      </c>
      <c r="B99" s="21" t="n">
        <v>100</v>
      </c>
      <c r="C99" s="21" t="n">
        <v>92</v>
      </c>
      <c r="D99" s="21" t="n">
        <v>84</v>
      </c>
      <c r="E99" s="21" t="n">
        <v>76</v>
      </c>
      <c r="F99" s="21" t="n">
        <v>68</v>
      </c>
    </row>
    <row r="100">
      <c r="A100" s="58" t="n">
        <v>5</v>
      </c>
      <c r="B100" s="22" t="n">
        <v>113</v>
      </c>
      <c r="C100" s="22" t="n">
        <v>104</v>
      </c>
      <c r="D100" s="22" t="n">
        <v>95</v>
      </c>
      <c r="E100" s="22" t="n">
        <v>86</v>
      </c>
      <c r="F100" s="22" t="n">
        <v>77</v>
      </c>
    </row>
    <row r="101">
      <c r="A101" s="59" t="n">
        <v>6</v>
      </c>
      <c r="B101" s="21" t="n">
        <v>126</v>
      </c>
      <c r="C101" s="21" t="n">
        <v>116</v>
      </c>
      <c r="D101" s="21" t="n">
        <v>106</v>
      </c>
      <c r="E101" s="21" t="n">
        <v>96</v>
      </c>
      <c r="F101" s="21" t="n">
        <v>86</v>
      </c>
    </row>
    <row r="102">
      <c r="A102" s="58" t="n">
        <v>7</v>
      </c>
      <c r="B102" s="22" t="n">
        <v>139</v>
      </c>
      <c r="C102" s="22" t="n">
        <v>128</v>
      </c>
      <c r="D102" s="22" t="n">
        <v>117</v>
      </c>
      <c r="E102" s="22" t="n">
        <v>106</v>
      </c>
      <c r="F102" s="22" t="n">
        <v>95</v>
      </c>
    </row>
    <row r="103">
      <c r="A103" s="59" t="n">
        <v>8</v>
      </c>
      <c r="B103" s="21" t="n">
        <v>152</v>
      </c>
      <c r="C103" s="21" t="n">
        <v>140</v>
      </c>
      <c r="D103" s="21" t="n">
        <v>128</v>
      </c>
      <c r="E103" s="21" t="n">
        <v>116</v>
      </c>
      <c r="F103" s="21" t="n">
        <v>104</v>
      </c>
    </row>
    <row r="104">
      <c r="A104" s="58" t="n">
        <v>9</v>
      </c>
      <c r="B104" s="22" t="n">
        <v>165</v>
      </c>
      <c r="C104" s="22" t="n">
        <v>152</v>
      </c>
      <c r="D104" s="22" t="n">
        <v>139</v>
      </c>
      <c r="E104" s="22" t="n">
        <v>126</v>
      </c>
      <c r="F104" s="22" t="n">
        <v>113</v>
      </c>
    </row>
    <row r="105">
      <c r="A105" s="59" t="n">
        <v>10</v>
      </c>
      <c r="B105" s="21" t="n">
        <v>178</v>
      </c>
      <c r="C105" s="21" t="n">
        <v>164</v>
      </c>
      <c r="D105" s="21" t="n">
        <v>150</v>
      </c>
      <c r="E105" s="21" t="n">
        <v>136</v>
      </c>
      <c r="F105" s="21" t="n">
        <v>122</v>
      </c>
    </row>
    <row r="106">
      <c r="A106" s="58" t="n">
        <v>11</v>
      </c>
      <c r="B106" s="22" t="n">
        <v>191</v>
      </c>
      <c r="C106" s="22" t="n">
        <v>176</v>
      </c>
      <c r="D106" s="22" t="n">
        <v>161</v>
      </c>
      <c r="E106" s="22" t="n">
        <v>146</v>
      </c>
      <c r="F106" s="22" t="n">
        <v>131</v>
      </c>
    </row>
    <row r="107">
      <c r="A107" s="59" t="n">
        <v>12</v>
      </c>
      <c r="B107" s="21" t="n">
        <v>204</v>
      </c>
      <c r="C107" s="21" t="n">
        <v>188</v>
      </c>
      <c r="D107" s="21" t="n">
        <v>172</v>
      </c>
      <c r="E107" s="21" t="n">
        <v>156</v>
      </c>
      <c r="F107" s="21" t="n">
        <v>140</v>
      </c>
    </row>
    <row r="108">
      <c r="A108" s="58" t="n">
        <v>13</v>
      </c>
      <c r="B108" s="22" t="n">
        <v>217</v>
      </c>
      <c r="C108" s="22" t="n">
        <v>200</v>
      </c>
      <c r="D108" s="22" t="n">
        <v>183</v>
      </c>
      <c r="E108" s="22" t="n">
        <v>166</v>
      </c>
      <c r="F108" s="22" t="n">
        <v>149</v>
      </c>
    </row>
    <row r="109">
      <c r="A109" s="59" t="n">
        <v>14</v>
      </c>
      <c r="B109" s="21" t="n">
        <v>230</v>
      </c>
      <c r="C109" s="21" t="n">
        <v>212</v>
      </c>
      <c r="D109" s="21" t="n">
        <v>194</v>
      </c>
      <c r="E109" s="21" t="n">
        <v>176</v>
      </c>
      <c r="F109" s="21" t="n">
        <v>158</v>
      </c>
    </row>
    <row r="110">
      <c r="A110" s="58" t="n">
        <v>15</v>
      </c>
      <c r="B110" s="22" t="n">
        <v>243</v>
      </c>
      <c r="C110" s="22" t="n">
        <v>224</v>
      </c>
      <c r="D110" s="22" t="n">
        <v>205</v>
      </c>
      <c r="E110" s="22" t="n">
        <v>186</v>
      </c>
      <c r="F110" s="22" t="n">
        <v>167</v>
      </c>
    </row>
    <row r="111">
      <c r="A111" s="59" t="n">
        <v>16</v>
      </c>
      <c r="B111" s="21" t="n">
        <v>256</v>
      </c>
      <c r="C111" s="21" t="n">
        <v>236</v>
      </c>
      <c r="D111" s="21" t="n">
        <v>216</v>
      </c>
      <c r="E111" s="21" t="n">
        <v>196</v>
      </c>
      <c r="F111" s="21" t="n">
        <v>176</v>
      </c>
    </row>
    <row r="112">
      <c r="A112" s="58" t="n">
        <v>17</v>
      </c>
      <c r="B112" s="22" t="n">
        <v>269</v>
      </c>
      <c r="C112" s="22" t="n">
        <v>248</v>
      </c>
      <c r="D112" s="22" t="n">
        <v>227</v>
      </c>
      <c r="E112" s="22" t="n">
        <v>206</v>
      </c>
      <c r="F112" s="22" t="n">
        <v>185</v>
      </c>
    </row>
    <row r="113">
      <c r="A113" s="59" t="n">
        <v>18</v>
      </c>
      <c r="B113" s="21" t="n">
        <v>282</v>
      </c>
      <c r="C113" s="21" t="n">
        <v>260</v>
      </c>
      <c r="D113" s="21" t="n">
        <v>238</v>
      </c>
      <c r="E113" s="21" t="n">
        <v>216</v>
      </c>
      <c r="F113" s="21" t="n">
        <v>194</v>
      </c>
    </row>
    <row r="114">
      <c r="A114" s="58" t="n">
        <v>19</v>
      </c>
      <c r="B114" s="22" t="n">
        <v>295</v>
      </c>
      <c r="C114" s="22" t="n">
        <v>272</v>
      </c>
      <c r="D114" s="22" t="n">
        <v>249</v>
      </c>
      <c r="E114" s="22" t="n">
        <v>226</v>
      </c>
      <c r="F114" s="22" t="n">
        <v>203</v>
      </c>
    </row>
    <row r="115">
      <c r="A115" s="59" t="n">
        <v>20</v>
      </c>
      <c r="B115" s="21" t="n">
        <v>308</v>
      </c>
      <c r="C115" s="21" t="n">
        <v>284</v>
      </c>
      <c r="D115" s="21" t="n">
        <v>260</v>
      </c>
      <c r="E115" s="21" t="n">
        <v>236</v>
      </c>
      <c r="F115" s="21" t="n">
        <v>212</v>
      </c>
    </row>
    <row r="116"/>
    <row r="117">
      <c r="A117" s="14" t="inlineStr">
        <is>
          <t>Bênçãos — capítulos 07 a 15 (12 por Caminho)</t>
        </is>
      </c>
    </row>
    <row r="118">
      <c r="A118" s="7" t="inlineStr">
        <is>
          <t>Caminho</t>
        </is>
      </c>
      <c r="B118" s="7" t="inlineStr">
        <is>
          <t>Nº</t>
        </is>
      </c>
      <c r="C118" s="7" t="inlineStr">
        <is>
          <t>Bênção</t>
        </is>
      </c>
      <c r="D118" s="7" t="inlineStr">
        <is>
          <t>Tier</t>
        </is>
      </c>
      <c r="E118" s="7" t="inlineStr">
        <is>
          <t>Requisito (nível)</t>
        </is>
      </c>
      <c r="F118" s="7" t="inlineStr">
        <is>
          <t>Em uma linha</t>
        </is>
      </c>
      <c r="G118" s="7" t="inlineStr">
        <is>
          <t>Frequência</t>
        </is>
      </c>
      <c r="H118" s="7" t="inlineStr">
        <is>
          <t>Nova da v1.0</t>
        </is>
      </c>
    </row>
    <row r="119" ht="26" customHeight="1">
      <c r="A119" s="58" t="inlineStr">
        <is>
          <t>A Destruição</t>
        </is>
      </c>
      <c r="B119" s="22" t="n">
        <v>1</v>
      </c>
      <c r="C119" s="22" t="inlineStr">
        <is>
          <t>Pacto da Ruína</t>
        </is>
      </c>
      <c r="D119" s="22" t="inlineStr">
        <is>
          <t>I</t>
        </is>
      </c>
      <c r="E119" s="22" t="n">
        <v>1</v>
      </c>
      <c r="F119" s="4" t="inlineStr">
        <is>
          <t>Gaste 2 × nível PV por +Eficiência de dano; dobra abaixo da metade dos PV</t>
        </is>
      </c>
      <c r="G119" s="22" t="inlineStr">
        <is>
          <t>Uma vez por turno</t>
        </is>
      </c>
      <c r="H119" s="22" t="inlineStr">
        <is>
          <t>Não</t>
        </is>
      </c>
    </row>
    <row r="120" ht="37" customHeight="1">
      <c r="A120" s="59" t="inlineStr">
        <is>
          <t>A Destruição</t>
        </is>
      </c>
      <c r="B120" s="21" t="n">
        <v>2</v>
      </c>
      <c r="C120" s="21" t="inlineStr">
        <is>
          <t>Corpo Forjado na Dor</t>
        </is>
      </c>
      <c r="D120" s="21" t="inlineStr">
        <is>
          <t>I</t>
        </is>
      </c>
      <c r="E120" s="21" t="n">
        <v>1</v>
      </c>
      <c r="F120" s="9" t="inlineStr">
        <is>
          <t>Resistência a um Elemento abaixo da metade dos PV; 1 vez por combate, fica com 1 PV</t>
        </is>
      </c>
      <c r="G120" s="21" t="inlineStr">
        <is>
          <t>Uma vez por combate</t>
        </is>
      </c>
      <c r="H120" s="21" t="inlineStr">
        <is>
          <t>Não</t>
        </is>
      </c>
    </row>
    <row r="121" ht="37" customHeight="1">
      <c r="A121" s="58" t="inlineStr">
        <is>
          <t>A Destruição</t>
        </is>
      </c>
      <c r="B121" s="22" t="n">
        <v>3</v>
      </c>
      <c r="C121" s="4" t="inlineStr">
        <is>
          <t>Quebrador de Mundos</t>
        </is>
      </c>
      <c r="D121" s="22" t="inlineStr">
        <is>
          <t>I</t>
        </is>
      </c>
      <c r="E121" s="22" t="n">
        <v>1</v>
      </c>
      <c r="F121" s="4" t="inlineStr">
        <is>
          <t>Dados cheios contra Resistência, ignora 2 de RD, ignora Defesa contra quem tem Fraqueza</t>
        </is>
      </c>
      <c r="G121" s="22" t="inlineStr">
        <is>
          <t>Sem limite declarado</t>
        </is>
      </c>
      <c r="H121" s="22" t="inlineStr">
        <is>
          <t>Não</t>
        </is>
      </c>
    </row>
    <row r="122" ht="26" customHeight="1">
      <c r="A122" s="59" t="inlineStr">
        <is>
          <t>A Destruição</t>
        </is>
      </c>
      <c r="B122" s="21" t="n">
        <v>4</v>
      </c>
      <c r="C122" s="9" t="inlineStr">
        <is>
          <t>Sacrifício Desesperado</t>
        </is>
      </c>
      <c r="D122" s="21" t="inlineStr">
        <is>
          <t>I</t>
        </is>
      </c>
      <c r="E122" s="21" t="n">
        <v>1</v>
      </c>
      <c r="F122" s="9" t="inlineStr">
        <is>
          <t>Até 2 acúmulos de +1d6, pagos com 2 × nível PV cada</t>
        </is>
      </c>
      <c r="G122" s="21" t="inlineStr">
        <is>
          <t>Sem limite declarado</t>
        </is>
      </c>
      <c r="H122" s="21" t="inlineStr">
        <is>
          <t>Não</t>
        </is>
      </c>
    </row>
    <row r="123" ht="26" customHeight="1">
      <c r="A123" s="58" t="inlineStr">
        <is>
          <t>A Destruição</t>
        </is>
      </c>
      <c r="B123" s="22" t="n">
        <v>5</v>
      </c>
      <c r="C123" s="4" t="inlineStr">
        <is>
          <t>Instinto de Sobrevivência</t>
        </is>
      </c>
      <c r="D123" s="22" t="inlineStr">
        <is>
          <t>I</t>
        </is>
      </c>
      <c r="E123" s="22" t="n">
        <v>1</v>
      </c>
      <c r="F123" s="4" t="inlineStr">
        <is>
          <t>Com um terço dos PV ou menos: +2 em ataques e +1 Distância</t>
        </is>
      </c>
      <c r="G123" s="22" t="inlineStr">
        <is>
          <t>Sem limite declarado</t>
        </is>
      </c>
      <c r="H123" s="22" t="inlineStr">
        <is>
          <t>Não</t>
        </is>
      </c>
    </row>
    <row r="124" ht="26" customHeight="1">
      <c r="A124" s="59" t="inlineStr">
        <is>
          <t>A Destruição</t>
        </is>
      </c>
      <c r="B124" s="21" t="n">
        <v>6</v>
      </c>
      <c r="C124" s="21" t="inlineStr">
        <is>
          <t>Impacto Devastador</t>
        </is>
      </c>
      <c r="D124" s="21" t="inlineStr">
        <is>
          <t>I</t>
        </is>
      </c>
      <c r="E124" s="21" t="n">
        <v>1</v>
      </c>
      <c r="F124" s="9" t="inlineStr">
        <is>
          <t>Crítico ou abate concede Ação Extra (teto de 1 por Ciclo)</t>
        </is>
      </c>
      <c r="G124" s="21" t="inlineStr">
        <is>
          <t>Sem limite declarado</t>
        </is>
      </c>
      <c r="H124" s="21" t="inlineStr">
        <is>
          <t>Não</t>
        </is>
      </c>
    </row>
    <row r="125" ht="26" customHeight="1">
      <c r="A125" s="58" t="inlineStr">
        <is>
          <t>A Destruição</t>
        </is>
      </c>
      <c r="B125" s="22" t="n">
        <v>7</v>
      </c>
      <c r="C125" s="4" t="inlineStr">
        <is>
          <t>Cicatriz da Destruição</t>
        </is>
      </c>
      <c r="D125" s="22" t="inlineStr">
        <is>
          <t>II</t>
        </is>
      </c>
      <c r="E125" s="22" t="n">
        <v>9</v>
      </c>
      <c r="F125" s="4" t="inlineStr">
        <is>
          <t>Marcas da Ruína: +1 de dano e +1 em dois Testes, até 5, dentro do teto</t>
        </is>
      </c>
      <c r="G125" s="22" t="inlineStr">
        <is>
          <t>Sem limite declarado</t>
        </is>
      </c>
      <c r="H125" s="22" t="inlineStr">
        <is>
          <t>Não</t>
        </is>
      </c>
    </row>
    <row r="126" ht="37" customHeight="1">
      <c r="A126" s="59" t="inlineStr">
        <is>
          <t>A Destruição</t>
        </is>
      </c>
      <c r="B126" s="21" t="n">
        <v>8</v>
      </c>
      <c r="C126" s="9" t="inlineStr">
        <is>
          <t>Aniquilador de Resistências</t>
        </is>
      </c>
      <c r="D126" s="21" t="inlineStr">
        <is>
          <t>II</t>
        </is>
      </c>
      <c r="E126" s="21" t="n">
        <v>9</v>
      </c>
      <c r="F126" s="9" t="inlineStr">
        <is>
          <t>Dois acertos seguidos forçam Teste de Resistência Física; dobra a Redução de Tenacidade</t>
        </is>
      </c>
      <c r="G126" s="21" t="inlineStr">
        <is>
          <t>Sem limite declarado</t>
        </is>
      </c>
      <c r="H126" s="21" t="inlineStr">
        <is>
          <t>Não</t>
        </is>
      </c>
    </row>
    <row r="127" ht="26" customHeight="1">
      <c r="A127" s="58" t="inlineStr">
        <is>
          <t>A Destruição</t>
        </is>
      </c>
      <c r="B127" s="22" t="n">
        <v>9</v>
      </c>
      <c r="C127" s="4" t="inlineStr">
        <is>
          <t>Último Fragmento de Vida</t>
        </is>
      </c>
      <c r="D127" s="22" t="inlineStr">
        <is>
          <t>II</t>
        </is>
      </c>
      <c r="E127" s="22" t="n">
        <v>9</v>
      </c>
      <c r="F127" s="4" t="inlineStr">
        <is>
          <t>A 0 PV, 1 turno de pé com Vantagem, +1d6 e ignorando Resistência</t>
        </is>
      </c>
      <c r="G127" s="22" t="inlineStr">
        <is>
          <t>Uma vez por Descanso Longo</t>
        </is>
      </c>
      <c r="H127" s="22" t="inlineStr">
        <is>
          <t>Não</t>
        </is>
      </c>
    </row>
    <row r="128" ht="26" customHeight="1">
      <c r="A128" s="59" t="inlineStr">
        <is>
          <t>A Destruição</t>
        </is>
      </c>
      <c r="B128" s="21" t="n">
        <v>10</v>
      </c>
      <c r="C128" s="21" t="inlineStr">
        <is>
          <t>Juramento de Cinzas</t>
        </is>
      </c>
      <c r="D128" s="21" t="inlineStr">
        <is>
          <t>II</t>
        </is>
      </c>
      <c r="E128" s="21" t="n">
        <v>9</v>
      </c>
      <c r="F128" s="9" t="inlineStr">
        <is>
          <t>2 × nível PV por +1 de Tenacidade por acerto e +2 RD</t>
        </is>
      </c>
      <c r="G128" s="21" t="inlineStr">
        <is>
          <t>Uma vez por Ciclo</t>
        </is>
      </c>
      <c r="H128" s="21" t="inlineStr">
        <is>
          <t>Sim</t>
        </is>
      </c>
    </row>
    <row r="129" ht="26" customHeight="1">
      <c r="A129" s="58" t="inlineStr">
        <is>
          <t>A Destruição</t>
        </is>
      </c>
      <c r="B129" s="22" t="n">
        <v>11</v>
      </c>
      <c r="C129" s="22" t="inlineStr">
        <is>
          <t>Avatar da Destruição</t>
        </is>
      </c>
      <c r="D129" s="22" t="inlineStr">
        <is>
          <t>III</t>
        </is>
      </c>
      <c r="E129" s="22" t="n">
        <v>17</v>
      </c>
      <c r="F129" s="4" t="inlineStr">
        <is>
          <t>5 × nível PV por dado (máx. +2 por Ciclo), área ferido, dobro de Tenacidade</t>
        </is>
      </c>
      <c r="G129" s="22" t="inlineStr">
        <is>
          <t>Uma vez por combate</t>
        </is>
      </c>
      <c r="H129" s="22" t="inlineStr">
        <is>
          <t>Não</t>
        </is>
      </c>
    </row>
    <row r="130" ht="26" customHeight="1">
      <c r="A130" s="59" t="inlineStr">
        <is>
          <t>A Destruição</t>
        </is>
      </c>
      <c r="B130" s="21" t="n">
        <v>12</v>
      </c>
      <c r="C130" s="21" t="inlineStr">
        <is>
          <t>Fim de Toda Muralha</t>
        </is>
      </c>
      <c r="D130" s="21" t="inlineStr">
        <is>
          <t>III</t>
        </is>
      </c>
      <c r="E130" s="21" t="n">
        <v>17</v>
      </c>
      <c r="F130" s="9" t="inlineStr">
        <is>
          <t>1 vez por combate: Ataque Básico em 3 alvos, dados cheios por 5 × nível PV</t>
        </is>
      </c>
      <c r="G130" s="21" t="inlineStr">
        <is>
          <t>Uma vez por combate</t>
        </is>
      </c>
      <c r="H130" s="21" t="inlineStr">
        <is>
          <t>Sim</t>
        </is>
      </c>
    </row>
    <row r="131" ht="37" customHeight="1">
      <c r="A131" s="58" t="inlineStr">
        <is>
          <t>A Inexistência</t>
        </is>
      </c>
      <c r="B131" s="22" t="n">
        <v>1</v>
      </c>
      <c r="C131" s="22" t="inlineStr">
        <is>
          <t>Marca do Vazio</t>
        </is>
      </c>
      <c r="D131" s="22" t="inlineStr">
        <is>
          <t>I</t>
        </is>
      </c>
      <c r="E131" s="22" t="n">
        <v>1</v>
      </c>
      <c r="F131" s="4" t="inlineStr">
        <is>
          <t>Marcado por 3 turnos: +1 no seu ataque, -1 em Resistência, Lentidão e 1d6 + Eficiência por turno</t>
        </is>
      </c>
      <c r="G131" s="22" t="inlineStr">
        <is>
          <t>Uma vez por turno</t>
        </is>
      </c>
      <c r="H131" s="22" t="inlineStr">
        <is>
          <t>Não</t>
        </is>
      </c>
    </row>
    <row r="132" ht="26" customHeight="1">
      <c r="A132" s="59" t="inlineStr">
        <is>
          <t>A Inexistência</t>
        </is>
      </c>
      <c r="B132" s="21" t="n">
        <v>2</v>
      </c>
      <c r="C132" s="9" t="inlineStr">
        <is>
          <t>Corrupção Progressiva</t>
        </is>
      </c>
      <c r="D132" s="21" t="inlineStr">
        <is>
          <t>I</t>
        </is>
      </c>
      <c r="E132" s="21" t="n">
        <v>1</v>
      </c>
      <c r="F132" s="9" t="inlineStr">
        <is>
          <t>Acúmulos de Corrupção até 5; no quinto, Ruptura com dados e total dobrados</t>
        </is>
      </c>
      <c r="G132" s="21" t="inlineStr">
        <is>
          <t>Uma vez por combate por alvo</t>
        </is>
      </c>
      <c r="H132" s="21" t="inlineStr">
        <is>
          <t>Não</t>
        </is>
      </c>
    </row>
    <row r="133" ht="37" customHeight="1">
      <c r="A133" s="58" t="inlineStr">
        <is>
          <t>A Inexistência</t>
        </is>
      </c>
      <c r="B133" s="22" t="n">
        <v>3</v>
      </c>
      <c r="C133" s="22" t="inlineStr">
        <is>
          <t>Olhar da Ausência</t>
        </is>
      </c>
      <c r="D133" s="22" t="inlineStr">
        <is>
          <t>I</t>
        </is>
      </c>
      <c r="E133" s="22" t="n">
        <v>1</v>
      </c>
      <c r="F133" s="4" t="inlineStr">
        <is>
          <t>Um alvo por vez: -2 de Defesa, Desvantagem no primeiro ataque, metade da cura</t>
        </is>
      </c>
      <c r="G133" s="22" t="inlineStr">
        <is>
          <t>Sem limite declarado</t>
        </is>
      </c>
      <c r="H133" s="22" t="inlineStr">
        <is>
          <t>Não</t>
        </is>
      </c>
    </row>
    <row r="134" ht="26" customHeight="1">
      <c r="A134" s="59" t="inlineStr">
        <is>
          <t>A Inexistência</t>
        </is>
      </c>
      <c r="B134" s="21" t="n">
        <v>4</v>
      </c>
      <c r="C134" s="21" t="inlineStr">
        <is>
          <t>Veneno do Nada</t>
        </is>
      </c>
      <c r="D134" s="21" t="inlineStr">
        <is>
          <t>I</t>
        </is>
      </c>
      <c r="E134" s="21" t="n">
        <v>1</v>
      </c>
      <c r="F134" s="9" t="inlineStr">
        <is>
          <t>Dano Contínuo de qualquer Elemento, crescendo até +3</t>
        </is>
      </c>
      <c r="G134" s="21" t="inlineStr">
        <is>
          <t>Sem limite declarado</t>
        </is>
      </c>
      <c r="H134" s="21" t="inlineStr">
        <is>
          <t>Não</t>
        </is>
      </c>
    </row>
    <row r="135" ht="26" customHeight="1">
      <c r="A135" s="58" t="inlineStr">
        <is>
          <t>A Inexistência</t>
        </is>
      </c>
      <c r="B135" s="22" t="n">
        <v>5</v>
      </c>
      <c r="C135" s="4" t="inlineStr">
        <is>
          <t>Silêncio da Existência</t>
        </is>
      </c>
      <c r="D135" s="22" t="inlineStr">
        <is>
          <t>I</t>
        </is>
      </c>
      <c r="E135" s="22" t="n">
        <v>1</v>
      </c>
      <c r="F135" s="4" t="inlineStr">
        <is>
          <t>-1 em ataques acumulando até o teto da faixa, e Silenciado</t>
        </is>
      </c>
      <c r="G135" s="22" t="inlineStr">
        <is>
          <t>Sem limite declarado</t>
        </is>
      </c>
      <c r="H135" s="22" t="inlineStr">
        <is>
          <t>Não</t>
        </is>
      </c>
    </row>
    <row r="136" ht="26" customHeight="1">
      <c r="A136" s="59" t="inlineStr">
        <is>
          <t>A Inexistência</t>
        </is>
      </c>
      <c r="B136" s="21" t="n">
        <v>6</v>
      </c>
      <c r="C136" s="21" t="inlineStr">
        <is>
          <t>Mestre das Aflições</t>
        </is>
      </c>
      <c r="D136" s="21" t="inlineStr">
        <is>
          <t>I</t>
        </is>
      </c>
      <c r="E136" s="21" t="n">
        <v>1</v>
      </c>
      <c r="F136" s="9" t="inlineStr">
        <is>
          <t>Efeito novo sobre efeito antigo: +1 turno e +1 dado; transfere Dano Contínuo</t>
        </is>
      </c>
      <c r="G136" s="21" t="inlineStr">
        <is>
          <t>Uma vez por Ciclo</t>
        </is>
      </c>
      <c r="H136" s="21" t="inlineStr">
        <is>
          <t>Não</t>
        </is>
      </c>
    </row>
    <row r="137" ht="26" customHeight="1">
      <c r="A137" s="58" t="inlineStr">
        <is>
          <t>A Inexistência</t>
        </is>
      </c>
      <c r="B137" s="22" t="n">
        <v>7</v>
      </c>
      <c r="C137" s="22" t="inlineStr">
        <is>
          <t>Erosão Mental</t>
        </is>
      </c>
      <c r="D137" s="22" t="inlineStr">
        <is>
          <t>II</t>
        </is>
      </c>
      <c r="E137" s="22" t="n">
        <v>9</v>
      </c>
      <c r="F137" s="4" t="inlineStr">
        <is>
          <t>Teste de Força de Vontade no tique: sem Reação, -1 em ataques e Vulnerável</t>
        </is>
      </c>
      <c r="G137" s="22" t="inlineStr">
        <is>
          <t>Uma vez por turno</t>
        </is>
      </c>
      <c r="H137" s="22" t="inlineStr">
        <is>
          <t>Não</t>
        </is>
      </c>
    </row>
    <row r="138" ht="26" customHeight="1">
      <c r="A138" s="59" t="inlineStr">
        <is>
          <t>A Inexistência</t>
        </is>
      </c>
      <c r="B138" s="21" t="n">
        <v>8</v>
      </c>
      <c r="C138" s="9" t="inlineStr">
        <is>
          <t>Névoa da Inexistência</t>
        </is>
      </c>
      <c r="D138" s="21" t="inlineStr">
        <is>
          <t>II</t>
        </is>
      </c>
      <c r="E138" s="21" t="n">
        <v>9</v>
      </c>
      <c r="F138" s="9" t="inlineStr">
        <is>
          <t>Zona em 3 inimigos: Dano Contínuo, -2 de Defesa, metade da cura</t>
        </is>
      </c>
      <c r="G138" s="21" t="inlineStr">
        <is>
          <t>Uma vez por turno</t>
        </is>
      </c>
      <c r="H138" s="21" t="inlineStr">
        <is>
          <t>Não</t>
        </is>
      </c>
    </row>
    <row r="139" ht="37" customHeight="1">
      <c r="A139" s="58" t="inlineStr">
        <is>
          <t>A Inexistência</t>
        </is>
      </c>
      <c r="B139" s="22" t="n">
        <v>9</v>
      </c>
      <c r="C139" s="22" t="inlineStr">
        <is>
          <t>Colapso das Defesas</t>
        </is>
      </c>
      <c r="D139" s="22" t="inlineStr">
        <is>
          <t>II</t>
        </is>
      </c>
      <c r="E139" s="22" t="n">
        <v>9</v>
      </c>
      <c r="F139" s="4" t="inlineStr">
        <is>
          <t>Com 3 efeitos seus: ignora Defesa, +1 dado no Dano Contínuo, Desvantagem em Resistência</t>
        </is>
      </c>
      <c r="G139" s="22" t="inlineStr">
        <is>
          <t>Sem limite declarado</t>
        </is>
      </c>
      <c r="H139" s="22" t="inlineStr">
        <is>
          <t>Não</t>
        </is>
      </c>
    </row>
    <row r="140" ht="26" customHeight="1">
      <c r="A140" s="59" t="inlineStr">
        <is>
          <t>A Inexistência</t>
        </is>
      </c>
      <c r="B140" s="21" t="n">
        <v>10</v>
      </c>
      <c r="C140" s="9" t="inlineStr">
        <is>
          <t>Implante de Fraqueza</t>
        </is>
      </c>
      <c r="D140" s="21" t="inlineStr">
        <is>
          <t>II</t>
        </is>
      </c>
      <c r="E140" s="21" t="n">
        <v>9</v>
      </c>
      <c r="F140" s="9" t="inlineStr">
        <is>
          <t>Ação Complementar + 1 PH: o alvo ganha uma Fraqueza nova por 1 Ciclo</t>
        </is>
      </c>
      <c r="G140" s="21" t="inlineStr">
        <is>
          <t>Uma vez por combate</t>
        </is>
      </c>
      <c r="H140" s="21" t="inlineStr">
        <is>
          <t>Sim</t>
        </is>
      </c>
    </row>
    <row r="141" ht="26" customHeight="1">
      <c r="A141" s="58" t="inlineStr">
        <is>
          <t>A Inexistência</t>
        </is>
      </c>
      <c r="B141" s="22" t="n">
        <v>11</v>
      </c>
      <c r="C141" s="22" t="inlineStr">
        <is>
          <t>Avatar do Vazio</t>
        </is>
      </c>
      <c r="D141" s="22" t="inlineStr">
        <is>
          <t>III</t>
        </is>
      </c>
      <c r="E141" s="22" t="n">
        <v>17</v>
      </c>
      <c r="F141" s="4" t="inlineStr">
        <is>
          <t>Efeitos quase irremovíveis, contágio, -1 dado inimigo, Ruptura de 5 × nível</t>
        </is>
      </c>
      <c r="G141" s="22" t="inlineStr">
        <is>
          <t>Uma vez por combate</t>
        </is>
      </c>
      <c r="H141" s="22" t="inlineStr">
        <is>
          <t>Não</t>
        </is>
      </c>
    </row>
    <row r="142" ht="26" customHeight="1">
      <c r="A142" s="59" t="inlineStr">
        <is>
          <t>A Inexistência</t>
        </is>
      </c>
      <c r="B142" s="21" t="n">
        <v>12</v>
      </c>
      <c r="C142" s="21" t="inlineStr">
        <is>
          <t>Sentença do Vazio</t>
        </is>
      </c>
      <c r="D142" s="21" t="inlineStr">
        <is>
          <t>III</t>
        </is>
      </c>
      <c r="E142" s="21" t="n">
        <v>17</v>
      </c>
      <c r="F142" s="9" t="inlineStr">
        <is>
          <t>Com 5 de Corrupção: tique extra e Atraso de 3 casas (2 com Firmeza)</t>
        </is>
      </c>
      <c r="G142" s="21" t="inlineStr">
        <is>
          <t>Uma vez por Ciclo</t>
        </is>
      </c>
      <c r="H142" s="21" t="inlineStr">
        <is>
          <t>Sim</t>
        </is>
      </c>
    </row>
    <row r="143" ht="26" customHeight="1">
      <c r="A143" s="58" t="inlineStr">
        <is>
          <t>A Harmonia</t>
        </is>
      </c>
      <c r="B143" s="22" t="n">
        <v>1</v>
      </c>
      <c r="C143" s="22" t="inlineStr">
        <is>
          <t>Melodia da União</t>
        </is>
      </c>
      <c r="D143" s="22" t="inlineStr">
        <is>
          <t>I</t>
        </is>
      </c>
      <c r="E143" s="22" t="n">
        <v>1</v>
      </c>
      <c r="F143" s="4" t="inlineStr">
        <is>
          <t>3 aliados ganham +1 em ataque, +1 em Resistência e +1 Distância</t>
        </is>
      </c>
      <c r="G143" s="22" t="inlineStr">
        <is>
          <t>Sem limite declarado</t>
        </is>
      </c>
      <c r="H143" s="22" t="inlineStr">
        <is>
          <t>Não</t>
        </is>
      </c>
    </row>
    <row r="144" ht="26" customHeight="1">
      <c r="A144" s="59" t="inlineStr">
        <is>
          <t>A Harmonia</t>
        </is>
      </c>
      <c r="B144" s="21" t="n">
        <v>2</v>
      </c>
      <c r="C144" s="21" t="inlineStr">
        <is>
          <t>Harmonia Interior</t>
        </is>
      </c>
      <c r="D144" s="21" t="inlineStr">
        <is>
          <t>I</t>
        </is>
      </c>
      <c r="E144" s="21" t="n">
        <v>1</v>
      </c>
      <c r="F144" s="9" t="inlineStr">
        <is>
          <t>+2 em um tipo de rolagem, Vantagem mental, metade do que você concede</t>
        </is>
      </c>
      <c r="G144" s="21" t="inlineStr">
        <is>
          <t>Sem limite declarado</t>
        </is>
      </c>
      <c r="H144" s="21" t="inlineStr">
        <is>
          <t>Não</t>
        </is>
      </c>
    </row>
    <row r="145" ht="26" customHeight="1">
      <c r="A145" s="58" t="inlineStr">
        <is>
          <t>A Harmonia</t>
        </is>
      </c>
      <c r="B145" s="22" t="n">
        <v>3</v>
      </c>
      <c r="C145" s="22" t="inlineStr">
        <is>
          <t>Cântico Inspirador</t>
        </is>
      </c>
      <c r="D145" s="22" t="inlineStr">
        <is>
          <t>I</t>
        </is>
      </c>
      <c r="E145" s="22" t="n">
        <v>1</v>
      </c>
      <c r="F145" s="4" t="inlineStr">
        <is>
          <t>Ação Complementar: Vantagem, dano extra e 2 × Eficiência de PV temporários</t>
        </is>
      </c>
      <c r="G145" s="22" t="inlineStr">
        <is>
          <t>Sem limite declarado</t>
        </is>
      </c>
      <c r="H145" s="22" t="inlineStr">
        <is>
          <t>Não</t>
        </is>
      </c>
    </row>
    <row r="146" ht="26" customHeight="1">
      <c r="A146" s="59" t="inlineStr">
        <is>
          <t>A Harmonia</t>
        </is>
      </c>
      <c r="B146" s="21" t="n">
        <v>4</v>
      </c>
      <c r="C146" s="21" t="inlineStr">
        <is>
          <t>Ressonância Perfeita</t>
        </is>
      </c>
      <c r="D146" s="21" t="inlineStr">
        <is>
          <t>I</t>
        </is>
      </c>
      <c r="E146" s="21" t="n">
        <v>1</v>
      </c>
      <c r="F146" s="9" t="inlineStr">
        <is>
          <t>Bônus seu respinga metade em outro aliado; crítico vira Vantagem</t>
        </is>
      </c>
      <c r="G146" s="21" t="inlineStr">
        <is>
          <t>Uma vez por Ciclo</t>
        </is>
      </c>
      <c r="H146" s="21" t="inlineStr">
        <is>
          <t>Não</t>
        </is>
      </c>
    </row>
    <row r="147" ht="26" customHeight="1">
      <c r="A147" s="58" t="inlineStr">
        <is>
          <t>A Harmonia</t>
        </is>
      </c>
      <c r="B147" s="22" t="n">
        <v>5</v>
      </c>
      <c r="C147" s="22" t="inlineStr">
        <is>
          <t>Sinfonia de Poder</t>
        </is>
      </c>
      <c r="D147" s="22" t="inlineStr">
        <is>
          <t>I</t>
        </is>
      </c>
      <c r="E147" s="22" t="n">
        <v>1</v>
      </c>
      <c r="F147" s="4" t="inlineStr">
        <is>
          <t>Com 2+ aliados perto: +1 de dano e +1 de Defesa para todos; +2 com 4</t>
        </is>
      </c>
      <c r="G147" s="22" t="inlineStr">
        <is>
          <t>Sem limite declarado</t>
        </is>
      </c>
      <c r="H147" s="22" t="inlineStr">
        <is>
          <t>Não</t>
        </is>
      </c>
    </row>
    <row r="148" ht="26" customHeight="1">
      <c r="A148" s="59" t="inlineStr">
        <is>
          <t>A Harmonia</t>
        </is>
      </c>
      <c r="B148" s="21" t="n">
        <v>6</v>
      </c>
      <c r="C148" s="9" t="inlineStr">
        <is>
          <t>Bênção da Harmonia (Reação)</t>
        </is>
      </c>
      <c r="D148" s="21" t="inlineStr">
        <is>
          <t>I</t>
        </is>
      </c>
      <c r="E148" s="21" t="n">
        <v>1</v>
      </c>
      <c r="F148" s="9" t="inlineStr">
        <is>
          <t>Absorve metade do golpe mortal de um aliado e dá +Eficiência de Defesa</t>
        </is>
      </c>
      <c r="G148" s="21" t="inlineStr">
        <is>
          <t>Uma vez por Descanso Longo</t>
        </is>
      </c>
      <c r="H148" s="21" t="inlineStr">
        <is>
          <t>Não</t>
        </is>
      </c>
    </row>
    <row r="149" ht="26" customHeight="1">
      <c r="A149" s="58" t="inlineStr">
        <is>
          <t>A Harmonia</t>
        </is>
      </c>
      <c r="B149" s="22" t="n">
        <v>7</v>
      </c>
      <c r="C149" s="22" t="inlineStr">
        <is>
          <t>Ritmo Acelerado</t>
        </is>
      </c>
      <c r="D149" s="22" t="inlineStr">
        <is>
          <t>II</t>
        </is>
      </c>
      <c r="E149" s="22" t="n">
        <v>9</v>
      </c>
      <c r="F149" s="4" t="inlineStr">
        <is>
          <t>Concede Ação Extra a um aliado, com -1 dado no ataque seguinte dele</t>
        </is>
      </c>
      <c r="G149" s="22" t="inlineStr">
        <is>
          <t>Sem limite declarado</t>
        </is>
      </c>
      <c r="H149" s="22" t="inlineStr">
        <is>
          <t>Não</t>
        </is>
      </c>
    </row>
    <row r="150" ht="26" customHeight="1">
      <c r="A150" s="59" t="inlineStr">
        <is>
          <t>A Harmonia</t>
        </is>
      </c>
      <c r="B150" s="21" t="n">
        <v>8</v>
      </c>
      <c r="C150" s="21" t="inlineStr">
        <is>
          <t>Eco da Vitória</t>
        </is>
      </c>
      <c r="D150" s="21" t="inlineStr">
        <is>
          <t>II</t>
        </is>
      </c>
      <c r="E150" s="21" t="n">
        <v>9</v>
      </c>
      <c r="F150" s="9" t="inlineStr">
        <is>
          <t>Abate, crítico ou Quebra dão +1 de dano e +1 de ataque ao grupo, até 3 vezes</t>
        </is>
      </c>
      <c r="G150" s="21" t="inlineStr">
        <is>
          <t>Sem limite declarado</t>
        </is>
      </c>
      <c r="H150" s="21" t="inlineStr">
        <is>
          <t>Não</t>
        </is>
      </c>
    </row>
    <row r="151" ht="26" customHeight="1">
      <c r="A151" s="58" t="inlineStr">
        <is>
          <t>A Harmonia</t>
        </is>
      </c>
      <c r="B151" s="22" t="n">
        <v>9</v>
      </c>
      <c r="C151" s="4" t="inlineStr">
        <is>
          <t>Campo da Harmonia Universal</t>
        </is>
      </c>
      <c r="D151" s="22" t="inlineStr">
        <is>
          <t>II</t>
        </is>
      </c>
      <c r="E151" s="22" t="n">
        <v>9</v>
      </c>
      <c r="F151" s="4" t="inlineStr">
        <is>
          <t>Zona de 3 turnos: cura, RD = Eficiência, +1 Distância e +2 em ataques</t>
        </is>
      </c>
      <c r="G151" s="22" t="inlineStr">
        <is>
          <t>Sem limite declarado</t>
        </is>
      </c>
      <c r="H151" s="22" t="inlineStr">
        <is>
          <t>Não</t>
        </is>
      </c>
    </row>
    <row r="152" ht="26" customHeight="1">
      <c r="A152" s="59" t="inlineStr">
        <is>
          <t>A Harmonia</t>
        </is>
      </c>
      <c r="B152" s="21" t="n">
        <v>10</v>
      </c>
      <c r="C152" s="21" t="inlineStr">
        <is>
          <t>Dueto Inevitável</t>
        </is>
      </c>
      <c r="D152" s="21" t="inlineStr">
        <is>
          <t>II</t>
        </is>
      </c>
      <c r="E152" s="21" t="n">
        <v>9</v>
      </c>
      <c r="F152" s="9" t="inlineStr">
        <is>
          <t>Par escolhido: +1 no primeiro ataque e Avançar 1 casa por Ciclo</t>
        </is>
      </c>
      <c r="G152" s="21" t="inlineStr">
        <is>
          <t>Uma vez por Ciclo</t>
        </is>
      </c>
      <c r="H152" s="21" t="inlineStr">
        <is>
          <t>Sim</t>
        </is>
      </c>
    </row>
    <row r="153" ht="26" customHeight="1">
      <c r="A153" s="58" t="inlineStr">
        <is>
          <t>A Harmonia</t>
        </is>
      </c>
      <c r="B153" s="22" t="n">
        <v>11</v>
      </c>
      <c r="C153" s="22" t="inlineStr">
        <is>
          <t>Avatar da Harmonia</t>
        </is>
      </c>
      <c r="D153" s="22" t="inlineStr">
        <is>
          <t>III</t>
        </is>
      </c>
      <c r="E153" s="22" t="n">
        <v>17</v>
      </c>
      <c r="F153" s="4" t="inlineStr">
        <is>
          <t>Bônus alcançam todos e são dobrados até o teto; salva um aliado a 0 PV</t>
        </is>
      </c>
      <c r="G153" s="22" t="inlineStr">
        <is>
          <t>Uma vez por combate</t>
        </is>
      </c>
      <c r="H153" s="22" t="inlineStr">
        <is>
          <t>Não</t>
        </is>
      </c>
    </row>
    <row r="154" ht="26" customHeight="1">
      <c r="A154" s="59" t="inlineStr">
        <is>
          <t>A Harmonia</t>
        </is>
      </c>
      <c r="B154" s="21" t="n">
        <v>12</v>
      </c>
      <c r="C154" s="21" t="inlineStr">
        <is>
          <t>Coral das Mil Vozes</t>
        </is>
      </c>
      <c r="D154" s="21" t="inlineStr">
        <is>
          <t>III</t>
        </is>
      </c>
      <c r="E154" s="21" t="n">
        <v>17</v>
      </c>
      <c r="F154" s="9" t="inlineStr">
        <is>
          <t>1 vez por combate: cada aliado escolhe Avançar 2, PV temporários ou +1 dado</t>
        </is>
      </c>
      <c r="G154" s="21" t="inlineStr">
        <is>
          <t>Uma vez por combate</t>
        </is>
      </c>
      <c r="H154" s="21" t="inlineStr">
        <is>
          <t>Sim</t>
        </is>
      </c>
    </row>
    <row r="155" ht="26" customHeight="1">
      <c r="A155" s="58" t="inlineStr">
        <is>
          <t>A Abundância</t>
        </is>
      </c>
      <c r="B155" s="22" t="n">
        <v>1</v>
      </c>
      <c r="C155" s="22" t="inlineStr">
        <is>
          <t>Fonte da Vida Eterna</t>
        </is>
      </c>
      <c r="D155" s="22" t="inlineStr">
        <is>
          <t>I</t>
        </is>
      </c>
      <c r="E155" s="22" t="n">
        <v>1</v>
      </c>
      <c r="F155" s="4" t="inlineStr">
        <is>
          <t>Cura também dá 1 × Eficiência de PV temporários; você recupera Eficiência</t>
        </is>
      </c>
      <c r="G155" s="22" t="inlineStr">
        <is>
          <t>Sem limite declarado</t>
        </is>
      </c>
      <c r="H155" s="22" t="inlineStr">
        <is>
          <t>Não</t>
        </is>
      </c>
    </row>
    <row r="156" ht="26" customHeight="1">
      <c r="A156" s="59" t="inlineStr">
        <is>
          <t>A Abundância</t>
        </is>
      </c>
      <c r="B156" s="21" t="n">
        <v>2</v>
      </c>
      <c r="C156" s="9" t="inlineStr">
        <is>
          <t>Regeneração Celestial</t>
        </is>
      </c>
      <c r="D156" s="21" t="inlineStr">
        <is>
          <t>I</t>
        </is>
      </c>
      <c r="E156" s="21" t="n">
        <v>1</v>
      </c>
      <c r="F156" s="9" t="inlineStr">
        <is>
          <t>1d8 por turno, 2d8 abaixo da metade dos PV, Vantagem contra veneno</t>
        </is>
      </c>
      <c r="G156" s="21" t="inlineStr">
        <is>
          <t>Sem limite declarado</t>
        </is>
      </c>
      <c r="H156" s="21" t="inlineStr">
        <is>
          <t>Não</t>
        </is>
      </c>
    </row>
    <row r="157" ht="26" customHeight="1">
      <c r="A157" s="58" t="inlineStr">
        <is>
          <t>A Abundância</t>
        </is>
      </c>
      <c r="B157" s="22" t="n">
        <v>3</v>
      </c>
      <c r="C157" s="22" t="inlineStr">
        <is>
          <t>Bênção Revitalizante</t>
        </is>
      </c>
      <c r="D157" s="22" t="inlineStr">
        <is>
          <t>I</t>
        </is>
      </c>
      <c r="E157" s="22" t="n">
        <v>1</v>
      </c>
      <c r="F157" s="4" t="inlineStr">
        <is>
          <t>5 × nível de cura, remove 1 condição, RD = Eficiência, tira de Morrendo</t>
        </is>
      </c>
      <c r="G157" s="22" t="inlineStr">
        <is>
          <t>Sem limite declarado</t>
        </is>
      </c>
      <c r="H157" s="22" t="inlineStr">
        <is>
          <t>Não</t>
        </is>
      </c>
    </row>
    <row r="158" ht="26" customHeight="1">
      <c r="A158" s="59" t="inlineStr">
        <is>
          <t>A Abundância</t>
        </is>
      </c>
      <c r="B158" s="21" t="n">
        <v>4</v>
      </c>
      <c r="C158" s="9" t="inlineStr">
        <is>
          <t>Vitalidade Compartilhada</t>
        </is>
      </c>
      <c r="D158" s="21" t="inlineStr">
        <is>
          <t>I</t>
        </is>
      </c>
      <c r="E158" s="21" t="n">
        <v>1</v>
      </c>
      <c r="F158" s="9" t="inlineStr">
        <is>
          <t>Reação: absorve metade do dano do aliado e cura metade do absorvido</t>
        </is>
      </c>
      <c r="G158" s="21" t="inlineStr">
        <is>
          <t>Uma vez por turno</t>
        </is>
      </c>
      <c r="H158" s="21" t="inlineStr">
        <is>
          <t>Não</t>
        </is>
      </c>
    </row>
    <row r="159" ht="37" customHeight="1">
      <c r="A159" s="58" t="inlineStr">
        <is>
          <t>A Abundância</t>
        </is>
      </c>
      <c r="B159" s="22" t="n">
        <v>5</v>
      </c>
      <c r="C159" s="4" t="inlineStr">
        <is>
          <t>Florescimento da Alma</t>
        </is>
      </c>
      <c r="D159" s="22" t="inlineStr">
        <is>
          <t>I</t>
        </is>
      </c>
      <c r="E159" s="22" t="n">
        <v>1</v>
      </c>
      <c r="F159" s="4" t="inlineStr">
        <is>
          <t>Acúmulos de Florescimento: +1 em Resistência e Defesa, até 5, e 1d4 por turno</t>
        </is>
      </c>
      <c r="G159" s="22" t="inlineStr">
        <is>
          <t>Sem limite declarado</t>
        </is>
      </c>
      <c r="H159" s="22" t="inlineStr">
        <is>
          <t>Não</t>
        </is>
      </c>
    </row>
    <row r="160" ht="26" customHeight="1">
      <c r="A160" s="59" t="inlineStr">
        <is>
          <t>A Abundância</t>
        </is>
      </c>
      <c r="B160" s="21" t="n">
        <v>6</v>
      </c>
      <c r="C160" s="21" t="inlineStr">
        <is>
          <t>Excesso de Vida</t>
        </is>
      </c>
      <c r="D160" s="21" t="inlineStr">
        <is>
          <t>I</t>
        </is>
      </c>
      <c r="E160" s="21" t="n">
        <v>1</v>
      </c>
      <c r="F160" s="9" t="inlineStr">
        <is>
          <t>Cura excedente vira PV temporários; +2 RD, +1 dado de cura, +Eficiência de dano</t>
        </is>
      </c>
      <c r="G160" s="21" t="inlineStr">
        <is>
          <t>Sem limite declarado</t>
        </is>
      </c>
      <c r="H160" s="21" t="inlineStr">
        <is>
          <t>Não</t>
        </is>
      </c>
    </row>
    <row r="161" ht="26" customHeight="1">
      <c r="A161" s="58" t="inlineStr">
        <is>
          <t>A Abundância</t>
        </is>
      </c>
      <c r="B161" s="22" t="n">
        <v>7</v>
      </c>
      <c r="C161" s="22" t="inlineStr">
        <is>
          <t>Corpo Imortal</t>
        </is>
      </c>
      <c r="D161" s="22" t="inlineStr">
        <is>
          <t>II</t>
        </is>
      </c>
      <c r="E161" s="22" t="n">
        <v>9</v>
      </c>
      <c r="F161" s="4" t="inlineStr">
        <is>
          <t>+2 × nível de PV máximo, RD = Eficiência, +2 RD quando muito ferido</t>
        </is>
      </c>
      <c r="G161" s="22" t="inlineStr">
        <is>
          <t>Sem limite declarado</t>
        </is>
      </c>
      <c r="H161" s="22" t="inlineStr">
        <is>
          <t>Não</t>
        </is>
      </c>
    </row>
    <row r="162" ht="26" customHeight="1">
      <c r="A162" s="59" t="inlineStr">
        <is>
          <t>A Abundância</t>
        </is>
      </c>
      <c r="B162" s="21" t="n">
        <v>8</v>
      </c>
      <c r="C162" s="9" t="inlineStr">
        <is>
          <t>Raízes da Abundância</t>
        </is>
      </c>
      <c r="D162" s="21" t="inlineStr">
        <is>
          <t>II</t>
        </is>
      </c>
      <c r="E162" s="21" t="n">
        <v>9</v>
      </c>
      <c r="F162" s="9" t="inlineStr">
        <is>
          <t>Zona de 3 turnos: cura 1d6 + Eficiência, Vantagem e RD = Eficiência</t>
        </is>
      </c>
      <c r="G162" s="21" t="inlineStr">
        <is>
          <t>Sem limite declarado</t>
        </is>
      </c>
      <c r="H162" s="21" t="inlineStr">
        <is>
          <t>Não</t>
        </is>
      </c>
    </row>
    <row r="163" ht="26" customHeight="1">
      <c r="A163" s="58" t="inlineStr">
        <is>
          <t>A Abundância</t>
        </is>
      </c>
      <c r="B163" s="22" t="n">
        <v>9</v>
      </c>
      <c r="C163" s="4" t="inlineStr">
        <is>
          <t>Renascimento Natural</t>
        </is>
      </c>
      <c r="D163" s="22" t="inlineStr">
        <is>
          <t>II</t>
        </is>
      </c>
      <c r="E163" s="22" t="n">
        <v>9</v>
      </c>
      <c r="F163" s="4" t="inlineStr">
        <is>
          <t>Aliado a 0 PV fica com 1 PV e recupera 5 × nível</t>
        </is>
      </c>
      <c r="G163" s="22" t="inlineStr">
        <is>
          <t>Uma vez por Descanso Longo</t>
        </is>
      </c>
      <c r="H163" s="22" t="inlineStr">
        <is>
          <t>Não</t>
        </is>
      </c>
    </row>
    <row r="164" ht="26" customHeight="1">
      <c r="A164" s="59" t="inlineStr">
        <is>
          <t>A Abundância</t>
        </is>
      </c>
      <c r="B164" s="21" t="n">
        <v>10</v>
      </c>
      <c r="C164" s="21" t="inlineStr">
        <is>
          <t>Jardim de Yaoshi</t>
        </is>
      </c>
      <c r="D164" s="21" t="inlineStr">
        <is>
          <t>II</t>
        </is>
      </c>
      <c r="E164" s="21" t="n">
        <v>9</v>
      </c>
      <c r="F164" s="9" t="inlineStr">
        <is>
          <t>A primeira cura do turno pega um segundo aliado pela metade</t>
        </is>
      </c>
      <c r="G164" s="21" t="inlineStr">
        <is>
          <t>Sem limite declarado</t>
        </is>
      </c>
      <c r="H164" s="21" t="inlineStr">
        <is>
          <t>Sim</t>
        </is>
      </c>
    </row>
    <row r="165" ht="26" customHeight="1">
      <c r="A165" s="58" t="inlineStr">
        <is>
          <t>A Abundância</t>
        </is>
      </c>
      <c r="B165" s="22" t="n">
        <v>11</v>
      </c>
      <c r="C165" s="4" t="inlineStr">
        <is>
          <t>Avatar da Abundância</t>
        </is>
      </c>
      <c r="D165" s="22" t="inlineStr">
        <is>
          <t>III</t>
        </is>
      </c>
      <c r="E165" s="22" t="n">
        <v>17</v>
      </c>
      <c r="F165" s="4" t="inlineStr">
        <is>
          <t>Toda cura pega +1 alvo; explosão de cura e limpeza quando alguém cai</t>
        </is>
      </c>
      <c r="G165" s="22" t="inlineStr">
        <is>
          <t>Uma vez por combate</t>
        </is>
      </c>
      <c r="H165" s="22" t="inlineStr">
        <is>
          <t>Não</t>
        </is>
      </c>
    </row>
    <row r="166" ht="26" customHeight="1">
      <c r="A166" s="59" t="inlineStr">
        <is>
          <t>A Abundância</t>
        </is>
      </c>
      <c r="B166" s="21" t="n">
        <v>12</v>
      </c>
      <c r="C166" s="21" t="inlineStr">
        <is>
          <t>Ciclo Interminável</t>
        </is>
      </c>
      <c r="D166" s="21" t="inlineStr">
        <is>
          <t>III</t>
        </is>
      </c>
      <c r="E166" s="21" t="n">
        <v>17</v>
      </c>
      <c r="F166" s="9" t="inlineStr">
        <is>
          <t>Cura excedente vira PV temporários no aliado; Reação remove condição</t>
        </is>
      </c>
      <c r="G166" s="21" t="inlineStr">
        <is>
          <t>Uma vez por Ciclo</t>
        </is>
      </c>
      <c r="H166" s="21" t="inlineStr">
        <is>
          <t>Sim</t>
        </is>
      </c>
    </row>
    <row r="167" ht="37" customHeight="1">
      <c r="A167" s="58" t="inlineStr">
        <is>
          <t>A Recordação</t>
        </is>
      </c>
      <c r="B167" s="22" t="n">
        <v>1</v>
      </c>
      <c r="C167" s="22" t="inlineStr">
        <is>
          <t>Ecos do Passado</t>
        </is>
      </c>
      <c r="D167" s="22" t="inlineStr">
        <is>
          <t>I</t>
        </is>
      </c>
      <c r="E167" s="22" t="n">
        <v>1</v>
      </c>
      <c r="F167" s="4" t="inlineStr">
        <is>
          <t>+4 × nível de PV ao Memoespírito, seu atributo no dano dele, Vantagem em Resistência</t>
        </is>
      </c>
      <c r="G167" s="22" t="inlineStr">
        <is>
          <t>Sem limite declarado</t>
        </is>
      </c>
      <c r="H167" s="22" t="inlineStr">
        <is>
          <t>Não</t>
        </is>
      </c>
    </row>
    <row r="168" ht="37" customHeight="1">
      <c r="A168" s="59" t="inlineStr">
        <is>
          <t>A Recordação</t>
        </is>
      </c>
      <c r="B168" s="21" t="n">
        <v>2</v>
      </c>
      <c r="C168" s="21" t="inlineStr">
        <is>
          <t>Laço Inquebrável</t>
        </is>
      </c>
      <c r="D168" s="21" t="inlineStr">
        <is>
          <t>I</t>
        </is>
      </c>
      <c r="E168" s="21" t="n">
        <v>1</v>
      </c>
      <c r="F168" s="9" t="inlineStr">
        <is>
          <t>Passa metade do seu dano a ele; Vantagem quando ele é ferido; Vantagem mental</t>
        </is>
      </c>
      <c r="G168" s="21" t="inlineStr">
        <is>
          <t>Sem limite declarado</t>
        </is>
      </c>
      <c r="H168" s="21" t="inlineStr">
        <is>
          <t>Não</t>
        </is>
      </c>
    </row>
    <row r="169" ht="26" customHeight="1">
      <c r="A169" s="58" t="inlineStr">
        <is>
          <t>A Recordação</t>
        </is>
      </c>
      <c r="B169" s="22" t="n">
        <v>3</v>
      </c>
      <c r="C169" s="4" t="inlineStr">
        <is>
          <t>Memória Devastadora</t>
        </is>
      </c>
      <c r="D169" s="22" t="inlineStr">
        <is>
          <t>I</t>
        </is>
      </c>
      <c r="E169" s="22" t="n">
        <v>1</v>
      </c>
      <c r="F169" s="4" t="inlineStr">
        <is>
          <t>Fragmentos de Memória até 5; no quinto, ataque em 3 alvos</t>
        </is>
      </c>
      <c r="G169" s="22" t="inlineStr">
        <is>
          <t>Uma vez por turno</t>
        </is>
      </c>
      <c r="H169" s="22" t="inlineStr">
        <is>
          <t>Não</t>
        </is>
      </c>
    </row>
    <row r="170" ht="26" customHeight="1">
      <c r="A170" s="59" t="inlineStr">
        <is>
          <t>A Recordação</t>
        </is>
      </c>
      <c r="B170" s="21" t="n">
        <v>4</v>
      </c>
      <c r="C170" s="9" t="inlineStr">
        <is>
          <t>Sincronia de Memórias</t>
        </is>
      </c>
      <c r="D170" s="21" t="inlineStr">
        <is>
          <t>I</t>
        </is>
      </c>
      <c r="E170" s="21" t="n">
        <v>1</v>
      </c>
      <c r="F170" s="9" t="inlineStr">
        <is>
          <t>Ele ataca de Reação quando você acerta; dois acertos dão +2 dados e +1</t>
        </is>
      </c>
      <c r="G170" s="21" t="inlineStr">
        <is>
          <t>Sem limite declarado</t>
        </is>
      </c>
      <c r="H170" s="21" t="inlineStr">
        <is>
          <t>Não</t>
        </is>
      </c>
    </row>
    <row r="171" ht="26" customHeight="1">
      <c r="A171" s="58" t="inlineStr">
        <is>
          <t>A Recordação</t>
        </is>
      </c>
      <c r="B171" s="22" t="n">
        <v>5</v>
      </c>
      <c r="C171" s="4" t="inlineStr">
        <is>
          <t>Fragmentos do Eu Perdido</t>
        </is>
      </c>
      <c r="D171" s="22" t="inlineStr">
        <is>
          <t>I</t>
        </is>
      </c>
      <c r="E171" s="22" t="n">
        <v>1</v>
      </c>
      <c r="F171" s="4" t="inlineStr">
        <is>
          <t>Fúria (+1d8 nos dois), Guarda (+Eficiência de Defesa e RD) ou Sabedoria (+Eficácia)</t>
        </is>
      </c>
      <c r="G171" s="22" t="inlineStr">
        <is>
          <t>Duas vezes por dia</t>
        </is>
      </c>
      <c r="H171" s="22" t="inlineStr">
        <is>
          <t>Não</t>
        </is>
      </c>
    </row>
    <row r="172" ht="26" customHeight="1">
      <c r="A172" s="59" t="inlineStr">
        <is>
          <t>A Recordação</t>
        </is>
      </c>
      <c r="B172" s="21" t="n">
        <v>6</v>
      </c>
      <c r="C172" s="9" t="inlineStr">
        <is>
          <t>Memória Compartilhada</t>
        </is>
      </c>
      <c r="D172" s="21" t="inlineStr">
        <is>
          <t>I</t>
        </is>
      </c>
      <c r="E172" s="21" t="n">
        <v>1</v>
      </c>
      <c r="F172" s="9" t="inlineStr">
        <is>
          <t>Com ele em campo: +1 em ataques, +1d6 de dano, +1 Distância</t>
        </is>
      </c>
      <c r="G172" s="21" t="inlineStr">
        <is>
          <t>Sem limite declarado</t>
        </is>
      </c>
      <c r="H172" s="21" t="inlineStr">
        <is>
          <t>Não</t>
        </is>
      </c>
    </row>
    <row r="173" ht="26" customHeight="1">
      <c r="A173" s="58" t="inlineStr">
        <is>
          <t>A Recordação</t>
        </is>
      </c>
      <c r="B173" s="22" t="n">
        <v>7</v>
      </c>
      <c r="C173" s="4" t="inlineStr">
        <is>
          <t>Persistência da Memória</t>
        </is>
      </c>
      <c r="D173" s="22" t="inlineStr">
        <is>
          <t>II</t>
        </is>
      </c>
      <c r="E173" s="22" t="n">
        <v>9</v>
      </c>
      <c r="F173" s="4" t="inlineStr">
        <is>
          <t>A 0 PV ele fica mais um turno, com +2 dados e imune a controle</t>
        </is>
      </c>
      <c r="G173" s="22" t="inlineStr">
        <is>
          <t>Sem limite declarado</t>
        </is>
      </c>
      <c r="H173" s="22" t="inlineStr">
        <is>
          <t>Não</t>
        </is>
      </c>
    </row>
    <row r="174" ht="26" customHeight="1">
      <c r="A174" s="59" t="inlineStr">
        <is>
          <t>A Recordação</t>
        </is>
      </c>
      <c r="B174" s="21" t="n">
        <v>8</v>
      </c>
      <c r="C174" s="21" t="inlineStr">
        <is>
          <t>Ataque Espiritual</t>
        </is>
      </c>
      <c r="D174" s="21" t="inlineStr">
        <is>
          <t>II</t>
        </is>
      </c>
      <c r="E174" s="21" t="n">
        <v>9</v>
      </c>
      <c r="F174" s="9" t="inlineStr">
        <is>
          <t>Ignora Defesa, alcança incorpóreos e aplica Lembranças Passadas</t>
        </is>
      </c>
      <c r="G174" s="21" t="inlineStr">
        <is>
          <t>Uma vez por turno</t>
        </is>
      </c>
      <c r="H174" s="21" t="inlineStr">
        <is>
          <t>Não</t>
        </is>
      </c>
    </row>
    <row r="175" ht="26" customHeight="1">
      <c r="A175" s="58" t="inlineStr">
        <is>
          <t>A Recordação</t>
        </is>
      </c>
      <c r="B175" s="22" t="n">
        <v>9</v>
      </c>
      <c r="C175" s="22" t="inlineStr">
        <is>
          <t>Recordação Absoluta</t>
        </is>
      </c>
      <c r="D175" s="22" t="inlineStr">
        <is>
          <t>II</t>
        </is>
      </c>
      <c r="E175" s="22" t="n">
        <v>9</v>
      </c>
      <c r="F175" s="4" t="inlineStr">
        <is>
          <t>3 turnos de +1 dado, +1 Distância e Vulnerável; depois, 1 turno enfraquecido</t>
        </is>
      </c>
      <c r="G175" s="22" t="inlineStr">
        <is>
          <t>Sem limite declarado</t>
        </is>
      </c>
      <c r="H175" s="22" t="inlineStr">
        <is>
          <t>Não</t>
        </is>
      </c>
    </row>
    <row r="176" ht="26" customHeight="1">
      <c r="A176" s="59" t="inlineStr">
        <is>
          <t>A Recordação</t>
        </is>
      </c>
      <c r="B176" s="21" t="n">
        <v>10</v>
      </c>
      <c r="C176" s="9" t="inlineStr">
        <is>
          <t>Elo de Duas Memórias</t>
        </is>
      </c>
      <c r="D176" s="21" t="inlineStr">
        <is>
          <t>II</t>
        </is>
      </c>
      <c r="E176" s="21" t="n">
        <v>9</v>
      </c>
      <c r="F176" s="9" t="inlineStr">
        <is>
          <t>Atraso em um vira Avanço no outro; 1 invocação sem PH por combate</t>
        </is>
      </c>
      <c r="G176" s="21" t="inlineStr">
        <is>
          <t>Uma vez por combate</t>
        </is>
      </c>
      <c r="H176" s="21" t="inlineStr">
        <is>
          <t>Sim</t>
        </is>
      </c>
    </row>
    <row r="177" ht="37" customHeight="1">
      <c r="A177" s="58" t="inlineStr">
        <is>
          <t>A Recordação</t>
        </is>
      </c>
      <c r="B177" s="22" t="n">
        <v>11</v>
      </c>
      <c r="C177" s="4" t="inlineStr">
        <is>
          <t>Avatar da Recordação</t>
        </is>
      </c>
      <c r="D177" s="22" t="inlineStr">
        <is>
          <t>III</t>
        </is>
      </c>
      <c r="E177" s="22" t="n">
        <v>17</v>
      </c>
      <c r="F177" s="4" t="inlineStr">
        <is>
          <t>Forma Manifestada (+2 dados, +1 Distância) ou Sincronizada (PV, Defesa, dado, Ação Extra)</t>
        </is>
      </c>
      <c r="G177" s="22" t="inlineStr">
        <is>
          <t>Uma vez por combate</t>
        </is>
      </c>
      <c r="H177" s="22" t="inlineStr">
        <is>
          <t>Não</t>
        </is>
      </c>
    </row>
    <row r="178" ht="26" customHeight="1">
      <c r="A178" s="59" t="inlineStr">
        <is>
          <t>A Recordação</t>
        </is>
      </c>
      <c r="B178" s="21" t="n">
        <v>12</v>
      </c>
      <c r="C178" s="9" t="inlineStr">
        <is>
          <t>Eternidade Recordada</t>
        </is>
      </c>
      <c r="D178" s="21" t="inlineStr">
        <is>
          <t>III</t>
        </is>
      </c>
      <c r="E178" s="21" t="n">
        <v>17</v>
      </c>
      <c r="F178" s="9" t="inlineStr">
        <is>
          <t>Reinvocação imediata com 4 × nível de PV; +1 de Redução de Tenacidade</t>
        </is>
      </c>
      <c r="G178" s="21" t="inlineStr">
        <is>
          <t>Uma vez por combate</t>
        </is>
      </c>
      <c r="H178" s="21" t="inlineStr">
        <is>
          <t>Sim</t>
        </is>
      </c>
    </row>
    <row r="179" ht="26" customHeight="1">
      <c r="A179" s="58" t="inlineStr">
        <is>
          <t>A Erudição</t>
        </is>
      </c>
      <c r="B179" s="22" t="n">
        <v>1</v>
      </c>
      <c r="C179" s="4" t="inlineStr">
        <is>
          <t>Teorema da Dispersão</t>
        </is>
      </c>
      <c r="D179" s="22" t="inlineStr">
        <is>
          <t>I</t>
        </is>
      </c>
      <c r="E179" s="22" t="n">
        <v>1</v>
      </c>
      <c r="F179" s="4" t="inlineStr">
        <is>
          <t>Ataque de alvo único pega um segundo inimigo com metade dos dados</t>
        </is>
      </c>
      <c r="G179" s="22" t="inlineStr">
        <is>
          <t>Sem limite declarado</t>
        </is>
      </c>
      <c r="H179" s="22" t="inlineStr">
        <is>
          <t>Não</t>
        </is>
      </c>
    </row>
    <row r="180" ht="26" customHeight="1">
      <c r="A180" s="59" t="inlineStr">
        <is>
          <t>A Erudição</t>
        </is>
      </c>
      <c r="B180" s="21" t="n">
        <v>2</v>
      </c>
      <c r="C180" s="21" t="inlineStr">
        <is>
          <t>Leitura Rápida</t>
        </is>
      </c>
      <c r="D180" s="21" t="inlineStr">
        <is>
          <t>I</t>
        </is>
      </c>
      <c r="E180" s="21" t="n">
        <v>1</v>
      </c>
      <c r="F180" s="9" t="inlineStr">
        <is>
          <t>Descobrir Fraqueza sem gastar ação, 1 vez por Ciclo, e +1 para o aliado</t>
        </is>
      </c>
      <c r="G180" s="21" t="inlineStr">
        <is>
          <t>Uma vez por Ciclo</t>
        </is>
      </c>
      <c r="H180" s="21" t="inlineStr">
        <is>
          <t>Não</t>
        </is>
      </c>
    </row>
    <row r="181" ht="26" customHeight="1">
      <c r="A181" s="58" t="inlineStr">
        <is>
          <t>A Erudição</t>
        </is>
      </c>
      <c r="B181" s="22" t="n">
        <v>3</v>
      </c>
      <c r="C181" s="4" t="inlineStr">
        <is>
          <t>Equação Compartilhada</t>
        </is>
      </c>
      <c r="D181" s="22" t="inlineStr">
        <is>
          <t>I</t>
        </is>
      </c>
      <c r="E181" s="22" t="n">
        <v>1</v>
      </c>
      <c r="F181" s="22" t="inlineStr">
        <is>
          <t>Atingir 2+ inimigos dá 1 acúmulo extra</t>
        </is>
      </c>
      <c r="G181" s="22" t="inlineStr">
        <is>
          <t>Sem limite declarado</t>
        </is>
      </c>
      <c r="H181" s="22" t="inlineStr">
        <is>
          <t>Não</t>
        </is>
      </c>
    </row>
    <row r="182" ht="26" customHeight="1">
      <c r="A182" s="59" t="inlineStr">
        <is>
          <t>A Erudição</t>
        </is>
      </c>
      <c r="B182" s="21" t="n">
        <v>4</v>
      </c>
      <c r="C182" s="21" t="inlineStr">
        <is>
          <t>Vetor Corrigido</t>
        </is>
      </c>
      <c r="D182" s="21" t="inlineStr">
        <is>
          <t>I</t>
        </is>
      </c>
      <c r="E182" s="21" t="n">
        <v>1</v>
      </c>
      <c r="F182" s="9" t="inlineStr">
        <is>
          <t>1 acúmulo rerrola um dado de dano, 1 vez por turno</t>
        </is>
      </c>
      <c r="G182" s="21" t="inlineStr">
        <is>
          <t>Uma vez por turno</t>
        </is>
      </c>
      <c r="H182" s="21" t="inlineStr">
        <is>
          <t>Não</t>
        </is>
      </c>
    </row>
    <row r="183" ht="26" customHeight="1">
      <c r="A183" s="58" t="inlineStr">
        <is>
          <t>A Erudição</t>
        </is>
      </c>
      <c r="B183" s="22" t="n">
        <v>5</v>
      </c>
      <c r="C183" s="22" t="inlineStr">
        <is>
          <t>Memória de Trabalho</t>
        </is>
      </c>
      <c r="D183" s="22" t="inlineStr">
        <is>
          <t>I</t>
        </is>
      </c>
      <c r="E183" s="22" t="n">
        <v>1</v>
      </c>
      <c r="F183" s="4" t="inlineStr">
        <is>
          <t>Alvos de área não precisam estar agrupados</t>
        </is>
      </c>
      <c r="G183" s="22" t="inlineStr">
        <is>
          <t>Sem limite declarado</t>
        </is>
      </c>
      <c r="H183" s="22" t="inlineStr">
        <is>
          <t>Não</t>
        </is>
      </c>
    </row>
    <row r="184" ht="26" customHeight="1">
      <c r="A184" s="59" t="inlineStr">
        <is>
          <t>A Erudição</t>
        </is>
      </c>
      <c r="B184" s="21" t="n">
        <v>6</v>
      </c>
      <c r="C184" s="21" t="inlineStr">
        <is>
          <t>Princípio de Nous</t>
        </is>
      </c>
      <c r="D184" s="21" t="inlineStr">
        <is>
          <t>I</t>
        </is>
      </c>
      <c r="E184" s="21" t="n">
        <v>1</v>
      </c>
      <c r="F184" s="9" t="inlineStr">
        <is>
          <t>Eficácia grátis em Ciência, Pesquisa ou Tecnologia; 1 informação por sessão</t>
        </is>
      </c>
      <c r="G184" s="21" t="inlineStr">
        <is>
          <t>Uma vez por sessão</t>
        </is>
      </c>
      <c r="H184" s="21" t="inlineStr">
        <is>
          <t>Não</t>
        </is>
      </c>
    </row>
    <row r="185" ht="26" customHeight="1">
      <c r="A185" s="58" t="inlineStr">
        <is>
          <t>A Erudição</t>
        </is>
      </c>
      <c r="B185" s="22" t="n">
        <v>7</v>
      </c>
      <c r="C185" s="22" t="inlineStr">
        <is>
          <t>Cadeia de Inferência</t>
        </is>
      </c>
      <c r="D185" s="22" t="inlineStr">
        <is>
          <t>II</t>
        </is>
      </c>
      <c r="E185" s="22" t="n">
        <v>9</v>
      </c>
      <c r="F185" s="4" t="inlineStr">
        <is>
          <t>Atingir 3+ inimigos deixa todos Vulnerável para o grupo</t>
        </is>
      </c>
      <c r="G185" s="22" t="inlineStr">
        <is>
          <t>Sem limite declarado</t>
        </is>
      </c>
      <c r="H185" s="22" t="inlineStr">
        <is>
          <t>Não</t>
        </is>
      </c>
    </row>
    <row r="186" ht="26" customHeight="1">
      <c r="A186" s="59" t="inlineStr">
        <is>
          <t>A Erudição</t>
        </is>
      </c>
      <c r="B186" s="21" t="n">
        <v>8</v>
      </c>
      <c r="C186" s="21" t="inlineStr">
        <is>
          <t>Cálculo Preditivo</t>
        </is>
      </c>
      <c r="D186" s="21" t="inlineStr">
        <is>
          <t>II</t>
        </is>
      </c>
      <c r="E186" s="21" t="n">
        <v>9</v>
      </c>
      <c r="F186" s="9" t="inlineStr">
        <is>
          <t>Você vê a Fila inteira e Avança 1 casa antes do Ciclo 1</t>
        </is>
      </c>
      <c r="G186" s="21" t="inlineStr">
        <is>
          <t>Sem limite declarado</t>
        </is>
      </c>
      <c r="H186" s="21" t="inlineStr">
        <is>
          <t>Não</t>
        </is>
      </c>
    </row>
    <row r="187" ht="26" customHeight="1">
      <c r="A187" s="58" t="inlineStr">
        <is>
          <t>A Erudição</t>
        </is>
      </c>
      <c r="B187" s="22" t="n">
        <v>9</v>
      </c>
      <c r="C187" s="22" t="inlineStr">
        <is>
          <t>Teto Rompido</t>
        </is>
      </c>
      <c r="D187" s="22" t="inlineStr">
        <is>
          <t>II</t>
        </is>
      </c>
      <c r="E187" s="22" t="n">
        <v>9</v>
      </c>
      <c r="F187" s="4" t="inlineStr">
        <is>
          <t>Máximo de 7 acúmulos; 2 acúmulos compram 2 alvos no Nível 4+</t>
        </is>
      </c>
      <c r="G187" s="22" t="inlineStr">
        <is>
          <t>Sem limite declarado</t>
        </is>
      </c>
      <c r="H187" s="22" t="inlineStr">
        <is>
          <t>Não</t>
        </is>
      </c>
    </row>
    <row r="188" ht="26" customHeight="1">
      <c r="A188" s="59" t="inlineStr">
        <is>
          <t>A Erudição</t>
        </is>
      </c>
      <c r="B188" s="21" t="n">
        <v>10</v>
      </c>
      <c r="C188" s="21" t="inlineStr">
        <is>
          <t>Dissertação Armada</t>
        </is>
      </c>
      <c r="D188" s="21" t="inlineStr">
        <is>
          <t>II</t>
        </is>
      </c>
      <c r="E188" s="21" t="n">
        <v>9</v>
      </c>
      <c r="F188" s="9" t="inlineStr">
        <is>
          <t>1 vez por combate: +1 alvo em área, de graça</t>
        </is>
      </c>
      <c r="G188" s="21" t="inlineStr">
        <is>
          <t>Uma vez por combate</t>
        </is>
      </c>
      <c r="H188" s="21" t="inlineStr">
        <is>
          <t>Não</t>
        </is>
      </c>
    </row>
    <row r="189" ht="26" customHeight="1">
      <c r="A189" s="58" t="inlineStr">
        <is>
          <t>A Erudição</t>
        </is>
      </c>
      <c r="B189" s="22" t="n">
        <v>11</v>
      </c>
      <c r="C189" s="22" t="inlineStr">
        <is>
          <t>Avatar da Erudição</t>
        </is>
      </c>
      <c r="D189" s="22" t="inlineStr">
        <is>
          <t>III</t>
        </is>
      </c>
      <c r="E189" s="22" t="n">
        <v>17</v>
      </c>
      <c r="F189" s="4" t="inlineStr">
        <is>
          <t>Acúmulos persistem, 1 gasto grátis por Ciclo, base de 5 alvos</t>
        </is>
      </c>
      <c r="G189" s="22" t="inlineStr">
        <is>
          <t>Uma vez por Ciclo</t>
        </is>
      </c>
      <c r="H189" s="22" t="inlineStr">
        <is>
          <t>Não</t>
        </is>
      </c>
    </row>
    <row r="190" ht="26" customHeight="1">
      <c r="A190" s="59" t="inlineStr">
        <is>
          <t>A Erudição</t>
        </is>
      </c>
      <c r="B190" s="21" t="n">
        <v>12</v>
      </c>
      <c r="C190" s="9" t="inlineStr">
        <is>
          <t>Horizonte de Eventos</t>
        </is>
      </c>
      <c r="D190" s="21" t="inlineStr">
        <is>
          <t>III</t>
        </is>
      </c>
      <c r="E190" s="21" t="n">
        <v>17</v>
      </c>
      <c r="F190" s="9" t="inlineStr">
        <is>
          <t>1 vez por combate: 6d6 + atributo em até 6 inimigos, com Teste de Reflexos</t>
        </is>
      </c>
      <c r="G190" s="21" t="inlineStr">
        <is>
          <t>Uma vez por combate</t>
        </is>
      </c>
      <c r="H190" s="21" t="inlineStr">
        <is>
          <t>Não</t>
        </is>
      </c>
    </row>
    <row r="191" ht="26" customHeight="1">
      <c r="A191" s="58" t="inlineStr">
        <is>
          <t>A Euforia</t>
        </is>
      </c>
      <c r="B191" s="22" t="n">
        <v>1</v>
      </c>
      <c r="C191" s="22" t="inlineStr">
        <is>
          <t>Piada de Entrada</t>
        </is>
      </c>
      <c r="D191" s="22" t="inlineStr">
        <is>
          <t>I</t>
        </is>
      </c>
      <c r="E191" s="22" t="n">
        <v>1</v>
      </c>
      <c r="F191" s="4" t="inlineStr">
        <is>
          <t>Role a Tabela do Riso 1 vez por Ciclo, de graça</t>
        </is>
      </c>
      <c r="G191" s="22" t="inlineStr">
        <is>
          <t>Uma vez por Ciclo</t>
        </is>
      </c>
      <c r="H191" s="22" t="inlineStr">
        <is>
          <t>Não</t>
        </is>
      </c>
    </row>
    <row r="192" ht="26" customHeight="1">
      <c r="A192" s="59" t="inlineStr">
        <is>
          <t>A Euforia</t>
        </is>
      </c>
      <c r="B192" s="21" t="n">
        <v>2</v>
      </c>
      <c r="C192" s="21" t="inlineStr">
        <is>
          <t>Timing Impecável</t>
        </is>
      </c>
      <c r="D192" s="21" t="inlineStr">
        <is>
          <t>I</t>
        </is>
      </c>
      <c r="E192" s="21" t="n">
        <v>1</v>
      </c>
      <c r="F192" s="9" t="inlineStr">
        <is>
          <t>Troque o resultado da tabela pelo vizinho, 1 vez por Ciclo</t>
        </is>
      </c>
      <c r="G192" s="21" t="inlineStr">
        <is>
          <t>Uma vez por Ciclo</t>
        </is>
      </c>
      <c r="H192" s="21" t="inlineStr">
        <is>
          <t>Não</t>
        </is>
      </c>
    </row>
    <row r="193" ht="26" customHeight="1">
      <c r="A193" s="58" t="inlineStr">
        <is>
          <t>A Euforia</t>
        </is>
      </c>
      <c r="B193" s="22" t="n">
        <v>3</v>
      </c>
      <c r="C193" s="22" t="inlineStr">
        <is>
          <t>Troca de Papéis</t>
        </is>
      </c>
      <c r="D193" s="22" t="inlineStr">
        <is>
          <t>I</t>
        </is>
      </c>
      <c r="E193" s="22" t="n">
        <v>1</v>
      </c>
      <c r="F193" s="4" t="inlineStr">
        <is>
          <t>Ação Complementar: troca de casa na Fila com um aliado</t>
        </is>
      </c>
      <c r="G193" s="22" t="inlineStr">
        <is>
          <t>Sem limite declarado</t>
        </is>
      </c>
      <c r="H193" s="22" t="inlineStr">
        <is>
          <t>Não</t>
        </is>
      </c>
    </row>
    <row r="194">
      <c r="A194" s="59" t="inlineStr">
        <is>
          <t>A Euforia</t>
        </is>
      </c>
      <c r="B194" s="21" t="n">
        <v>4</v>
      </c>
      <c r="C194" s="21" t="inlineStr">
        <is>
          <t>Risada Contagiante</t>
        </is>
      </c>
      <c r="D194" s="21" t="inlineStr">
        <is>
          <t>I</t>
        </is>
      </c>
      <c r="E194" s="21" t="n">
        <v>1</v>
      </c>
      <c r="F194" s="21" t="inlineStr">
        <is>
          <t>Crítico ou 1 natural rolam a Tabela do Riso</t>
        </is>
      </c>
      <c r="G194" s="21" t="inlineStr">
        <is>
          <t>Sem limite declarado</t>
        </is>
      </c>
      <c r="H194" s="21" t="inlineStr">
        <is>
          <t>Não</t>
        </is>
      </c>
    </row>
    <row r="195" ht="26" customHeight="1">
      <c r="A195" s="58" t="inlineStr">
        <is>
          <t>A Euforia</t>
        </is>
      </c>
      <c r="B195" s="22" t="n">
        <v>5</v>
      </c>
      <c r="C195" s="22" t="inlineStr">
        <is>
          <t>Acrobata do Caos</t>
        </is>
      </c>
      <c r="D195" s="22" t="inlineStr">
        <is>
          <t>I</t>
        </is>
      </c>
      <c r="E195" s="22" t="n">
        <v>1</v>
      </c>
      <c r="F195" s="4" t="inlineStr">
        <is>
          <t>Vantagem em Reflexos; Esquiva bem-sucedida Atrasa o atacante</t>
        </is>
      </c>
      <c r="G195" s="22" t="inlineStr">
        <is>
          <t>Sem limite declarado</t>
        </is>
      </c>
      <c r="H195" s="22" t="inlineStr">
        <is>
          <t>Não</t>
        </is>
      </c>
    </row>
    <row r="196" ht="26" customHeight="1">
      <c r="A196" s="59" t="inlineStr">
        <is>
          <t>A Euforia</t>
        </is>
      </c>
      <c r="B196" s="21" t="n">
        <v>6</v>
      </c>
      <c r="C196" s="21" t="inlineStr">
        <is>
          <t>Sorte Escandalosa</t>
        </is>
      </c>
      <c r="D196" s="21" t="inlineStr">
        <is>
          <t>I</t>
        </is>
      </c>
      <c r="E196" s="21" t="n">
        <v>1</v>
      </c>
      <c r="F196" s="9" t="inlineStr">
        <is>
          <t>Reação: +2 na falha de um aliado, declarado depois do dado</t>
        </is>
      </c>
      <c r="G196" s="21" t="inlineStr">
        <is>
          <t>Uma vez por Ciclo</t>
        </is>
      </c>
      <c r="H196" s="21" t="inlineStr">
        <is>
          <t>Não</t>
        </is>
      </c>
    </row>
    <row r="197" ht="26" customHeight="1">
      <c r="A197" s="58" t="inlineStr">
        <is>
          <t>A Euforia</t>
        </is>
      </c>
      <c r="B197" s="22" t="n">
        <v>7</v>
      </c>
      <c r="C197" s="22" t="inlineStr">
        <is>
          <t>Comédia de Erros</t>
        </is>
      </c>
      <c r="D197" s="22" t="inlineStr">
        <is>
          <t>II</t>
        </is>
      </c>
      <c r="E197" s="22" t="n">
        <v>9</v>
      </c>
      <c r="F197" s="4" t="inlineStr">
        <is>
          <t>Inimigo que erra em você faz você rolar a tabela</t>
        </is>
      </c>
      <c r="G197" s="22" t="inlineStr">
        <is>
          <t>Uma vez por Ciclo</t>
        </is>
      </c>
      <c r="H197" s="22" t="inlineStr">
        <is>
          <t>Não</t>
        </is>
      </c>
    </row>
    <row r="198" ht="26" customHeight="1">
      <c r="A198" s="59" t="inlineStr">
        <is>
          <t>A Euforia</t>
        </is>
      </c>
      <c r="B198" s="21" t="n">
        <v>8</v>
      </c>
      <c r="C198" s="21" t="inlineStr">
        <is>
          <t>Maestro do Riso</t>
        </is>
      </c>
      <c r="D198" s="21" t="inlineStr">
        <is>
          <t>II</t>
        </is>
      </c>
      <c r="E198" s="21" t="n">
        <v>9</v>
      </c>
      <c r="F198" s="9" t="inlineStr">
        <is>
          <t>Ataque Básico: dois resultados da tabela de uma vez</t>
        </is>
      </c>
      <c r="G198" s="21" t="inlineStr">
        <is>
          <t>Sem limite declarado</t>
        </is>
      </c>
      <c r="H198" s="21" t="inlineStr">
        <is>
          <t>Não</t>
        </is>
      </c>
    </row>
    <row r="199" ht="26" customHeight="1">
      <c r="A199" s="58" t="inlineStr">
        <is>
          <t>A Euforia</t>
        </is>
      </c>
      <c r="B199" s="22" t="n">
        <v>9</v>
      </c>
      <c r="C199" s="22" t="inlineStr">
        <is>
          <t>Palhaçada Letal</t>
        </is>
      </c>
      <c r="D199" s="22" t="inlineStr">
        <is>
          <t>II</t>
        </is>
      </c>
      <c r="E199" s="22" t="n">
        <v>9</v>
      </c>
      <c r="F199" s="4" t="inlineStr">
        <is>
          <t>+1 dado base contra quem a tabela já pegou neste Ciclo</t>
        </is>
      </c>
      <c r="G199" s="22" t="inlineStr">
        <is>
          <t>Sem limite declarado</t>
        </is>
      </c>
      <c r="H199" s="22" t="inlineStr">
        <is>
          <t>Não</t>
        </is>
      </c>
    </row>
    <row r="200" ht="26" customHeight="1">
      <c r="A200" s="59" t="inlineStr">
        <is>
          <t>A Euforia</t>
        </is>
      </c>
      <c r="B200" s="21" t="n">
        <v>10</v>
      </c>
      <c r="C200" s="21" t="inlineStr">
        <is>
          <t>Entra em Cena</t>
        </is>
      </c>
      <c r="D200" s="21" t="inlineStr">
        <is>
          <t>II</t>
        </is>
      </c>
      <c r="E200" s="21" t="n">
        <v>9</v>
      </c>
      <c r="F200" s="9" t="inlineStr">
        <is>
          <t>Ação Complementar + 1 PH: um aliado Avança 2 casas</t>
        </is>
      </c>
      <c r="G200" s="21" t="inlineStr">
        <is>
          <t>Uma vez por Ciclo</t>
        </is>
      </c>
      <c r="H200" s="21" t="inlineStr">
        <is>
          <t>Não</t>
        </is>
      </c>
    </row>
    <row r="201" ht="26" customHeight="1">
      <c r="A201" s="58" t="inlineStr">
        <is>
          <t>A Euforia</t>
        </is>
      </c>
      <c r="B201" s="22" t="n">
        <v>11</v>
      </c>
      <c r="C201" s="22" t="inlineStr">
        <is>
          <t>Avatar da Euforia</t>
        </is>
      </c>
      <c r="D201" s="22" t="inlineStr">
        <is>
          <t>III</t>
        </is>
      </c>
      <c r="E201" s="22" t="n">
        <v>17</v>
      </c>
      <c r="F201" s="4" t="inlineStr">
        <is>
          <t>Tabela no início de todo turno; escolhe o resultado 1 vez por Ciclo</t>
        </is>
      </c>
      <c r="G201" s="22" t="inlineStr">
        <is>
          <t>Uma vez por Ciclo</t>
        </is>
      </c>
      <c r="H201" s="22" t="inlineStr">
        <is>
          <t>Não</t>
        </is>
      </c>
    </row>
    <row r="202" ht="26" customHeight="1">
      <c r="A202" s="59" t="inlineStr">
        <is>
          <t>A Euforia</t>
        </is>
      </c>
      <c r="B202" s="21" t="n">
        <v>12</v>
      </c>
      <c r="C202" s="21" t="inlineStr">
        <is>
          <t>A Piada Final</t>
        </is>
      </c>
      <c r="D202" s="21" t="inlineStr">
        <is>
          <t>III</t>
        </is>
      </c>
      <c r="E202" s="21" t="n">
        <v>17</v>
      </c>
      <c r="F202" s="9" t="inlineStr">
        <is>
          <t>1 vez por combate: até 3 inimigos Atrasados e Vulnerável</t>
        </is>
      </c>
      <c r="G202" s="21" t="inlineStr">
        <is>
          <t>Uma vez por combate</t>
        </is>
      </c>
      <c r="H202" s="21" t="inlineStr">
        <is>
          <t>Não</t>
        </is>
      </c>
    </row>
    <row r="203">
      <c r="A203" s="58" t="inlineStr">
        <is>
          <t>A Caça</t>
        </is>
      </c>
      <c r="B203" s="22" t="n">
        <v>1</v>
      </c>
      <c r="C203" s="22" t="inlineStr">
        <is>
          <t>Olho de Lan</t>
        </is>
      </c>
      <c r="D203" s="22" t="inlineStr">
        <is>
          <t>I</t>
        </is>
      </c>
      <c r="E203" s="22" t="n">
        <v>1</v>
      </c>
      <c r="F203" s="22" t="inlineStr">
        <is>
          <t>Faixa de crítico 19-20, o teto do jogo</t>
        </is>
      </c>
      <c r="G203" s="22" t="inlineStr">
        <is>
          <t>Sem limite declarado</t>
        </is>
      </c>
      <c r="H203" s="22" t="inlineStr">
        <is>
          <t>Não</t>
        </is>
      </c>
    </row>
    <row r="204">
      <c r="A204" s="59" t="inlineStr">
        <is>
          <t>A Caça</t>
        </is>
      </c>
      <c r="B204" s="21" t="n">
        <v>2</v>
      </c>
      <c r="C204" s="21" t="inlineStr">
        <is>
          <t>Presa Escolhida</t>
        </is>
      </c>
      <c r="D204" s="21" t="inlineStr">
        <is>
          <t>I</t>
        </is>
      </c>
      <c r="E204" s="21" t="n">
        <v>1</v>
      </c>
      <c r="F204" s="21" t="inlineStr">
        <is>
          <t>Marcar não gasta ação nenhuma</t>
        </is>
      </c>
      <c r="G204" s="21" t="inlineStr">
        <is>
          <t>Uma vez por turno</t>
        </is>
      </c>
      <c r="H204" s="21" t="inlineStr">
        <is>
          <t>Não</t>
        </is>
      </c>
    </row>
    <row r="205" ht="26" customHeight="1">
      <c r="A205" s="58" t="inlineStr">
        <is>
          <t>A Caça</t>
        </is>
      </c>
      <c r="B205" s="22" t="n">
        <v>3</v>
      </c>
      <c r="C205" s="22" t="inlineStr">
        <is>
          <t>Tiro Certeiro</t>
        </is>
      </c>
      <c r="D205" s="22" t="inlineStr">
        <is>
          <t>I</t>
        </is>
      </c>
      <c r="E205" s="22" t="n">
        <v>1</v>
      </c>
      <c r="F205" s="4" t="inlineStr">
        <is>
          <t>Ignora Eficiência pontos de Defesa do alvo marcado</t>
        </is>
      </c>
      <c r="G205" s="22" t="inlineStr">
        <is>
          <t>Sem limite declarado</t>
        </is>
      </c>
      <c r="H205" s="22" t="inlineStr">
        <is>
          <t>Não</t>
        </is>
      </c>
    </row>
    <row r="206" ht="26" customHeight="1">
      <c r="A206" s="59" t="inlineStr">
        <is>
          <t>A Caça</t>
        </is>
      </c>
      <c r="B206" s="21" t="n">
        <v>4</v>
      </c>
      <c r="C206" s="21" t="inlineStr">
        <is>
          <t>Caçador Incansável</t>
        </is>
      </c>
      <c r="D206" s="21" t="inlineStr">
        <is>
          <t>I</t>
        </is>
      </c>
      <c r="E206" s="21" t="n">
        <v>1</v>
      </c>
      <c r="F206" s="9" t="inlineStr">
        <is>
          <t>Abate do marcado dá +1 no próximo ataque e Avança 1 casa</t>
        </is>
      </c>
      <c r="G206" s="21" t="inlineStr">
        <is>
          <t>Sem limite declarado</t>
        </is>
      </c>
      <c r="H206" s="21" t="inlineStr">
        <is>
          <t>Não</t>
        </is>
      </c>
    </row>
    <row r="207" ht="26" customHeight="1">
      <c r="A207" s="58" t="inlineStr">
        <is>
          <t>A Caça</t>
        </is>
      </c>
      <c r="B207" s="22" t="n">
        <v>5</v>
      </c>
      <c r="C207" s="22" t="inlineStr">
        <is>
          <t>Passos de Sombra</t>
        </is>
      </c>
      <c r="D207" s="22" t="inlineStr">
        <is>
          <t>I</t>
        </is>
      </c>
      <c r="E207" s="22" t="n">
        <v>1</v>
      </c>
      <c r="F207" s="4" t="inlineStr">
        <is>
          <t>Vantagem em Furtividade e no primeiro ataque sem ser notado</t>
        </is>
      </c>
      <c r="G207" s="22" t="inlineStr">
        <is>
          <t>Sem limite declarado</t>
        </is>
      </c>
      <c r="H207" s="22" t="inlineStr">
        <is>
          <t>Não</t>
        </is>
      </c>
    </row>
    <row r="208" ht="26" customHeight="1">
      <c r="A208" s="59" t="inlineStr">
        <is>
          <t>A Caça</t>
        </is>
      </c>
      <c r="B208" s="21" t="n">
        <v>6</v>
      </c>
      <c r="C208" s="21" t="inlineStr">
        <is>
          <t>Reflexo de Presa</t>
        </is>
      </c>
      <c r="D208" s="21" t="inlineStr">
        <is>
          <t>I</t>
        </is>
      </c>
      <c r="E208" s="21" t="n">
        <v>1</v>
      </c>
      <c r="F208" s="9" t="inlineStr">
        <is>
          <t>Ganha todo empate de Velocidade; sofre 1 casa menos de Atraso</t>
        </is>
      </c>
      <c r="G208" s="21" t="inlineStr">
        <is>
          <t>Sem limite declarado</t>
        </is>
      </c>
      <c r="H208" s="21" t="inlineStr">
        <is>
          <t>Não</t>
        </is>
      </c>
    </row>
    <row r="209" ht="26" customHeight="1">
      <c r="A209" s="58" t="inlineStr">
        <is>
          <t>A Caça</t>
        </is>
      </c>
      <c r="B209" s="22" t="n">
        <v>7</v>
      </c>
      <c r="C209" s="4" t="inlineStr">
        <is>
          <t>Dois Alvos, Uma Flecha</t>
        </is>
      </c>
      <c r="D209" s="22" t="inlineStr">
        <is>
          <t>II</t>
        </is>
      </c>
      <c r="E209" s="22" t="n">
        <v>9</v>
      </c>
      <c r="F209" s="4" t="inlineStr">
        <is>
          <t>Dois marcados; o dado vale no primeiro que você atacar no turno</t>
        </is>
      </c>
      <c r="G209" s="22" t="inlineStr">
        <is>
          <t>Sem limite declarado</t>
        </is>
      </c>
      <c r="H209" s="22" t="inlineStr">
        <is>
          <t>Não</t>
        </is>
      </c>
    </row>
    <row r="210" ht="26" customHeight="1">
      <c r="A210" s="59" t="inlineStr">
        <is>
          <t>A Caça</t>
        </is>
      </c>
      <c r="B210" s="21" t="n">
        <v>8</v>
      </c>
      <c r="C210" s="21" t="inlineStr">
        <is>
          <t>Golpe no Ponto Cego</t>
        </is>
      </c>
      <c r="D210" s="21" t="inlineStr">
        <is>
          <t>II</t>
        </is>
      </c>
      <c r="E210" s="21" t="n">
        <v>9</v>
      </c>
      <c r="F210" s="9" t="inlineStr">
        <is>
          <t>Segundo acerto no marcado no mesmo Ciclo: +1 dado base</t>
        </is>
      </c>
      <c r="G210" s="21" t="inlineStr">
        <is>
          <t>Sem limite declarado</t>
        </is>
      </c>
      <c r="H210" s="21" t="inlineStr">
        <is>
          <t>Não</t>
        </is>
      </c>
    </row>
    <row r="211" ht="26" customHeight="1">
      <c r="A211" s="58" t="inlineStr">
        <is>
          <t>A Caça</t>
        </is>
      </c>
      <c r="B211" s="22" t="n">
        <v>9</v>
      </c>
      <c r="C211" s="22" t="inlineStr">
        <is>
          <t>Perseguição</t>
        </is>
      </c>
      <c r="D211" s="22" t="inlineStr">
        <is>
          <t>II</t>
        </is>
      </c>
      <c r="E211" s="22" t="n">
        <v>9</v>
      </c>
      <c r="F211" s="4" t="inlineStr">
        <is>
          <t>Marcado Atrasado, Congelado ou Quebrado faz você Avançar 1 casa</t>
        </is>
      </c>
      <c r="G211" s="22" t="inlineStr">
        <is>
          <t>Uma vez por Ciclo</t>
        </is>
      </c>
      <c r="H211" s="22" t="inlineStr">
        <is>
          <t>Não</t>
        </is>
      </c>
    </row>
    <row r="212" ht="26" customHeight="1">
      <c r="A212" s="59" t="inlineStr">
        <is>
          <t>A Caça</t>
        </is>
      </c>
      <c r="B212" s="21" t="n">
        <v>10</v>
      </c>
      <c r="C212" s="21" t="inlineStr">
        <is>
          <t>Instinto de Predador</t>
        </is>
      </c>
      <c r="D212" s="21" t="inlineStr">
        <is>
          <t>II</t>
        </is>
      </c>
      <c r="E212" s="21" t="n">
        <v>9</v>
      </c>
      <c r="F212" s="9" t="inlineStr">
        <is>
          <t>Reação: contra-ataque quando o marcado erra em você</t>
        </is>
      </c>
      <c r="G212" s="21" t="inlineStr">
        <is>
          <t>Uma vez por Ciclo</t>
        </is>
      </c>
      <c r="H212" s="21" t="inlineStr">
        <is>
          <t>Não</t>
        </is>
      </c>
    </row>
    <row r="213" ht="26" customHeight="1">
      <c r="A213" s="58" t="inlineStr">
        <is>
          <t>A Caça</t>
        </is>
      </c>
      <c r="B213" s="22" t="n">
        <v>11</v>
      </c>
      <c r="C213" s="22" t="inlineStr">
        <is>
          <t>Avatar da Caça</t>
        </is>
      </c>
      <c r="D213" s="22" t="inlineStr">
        <is>
          <t>III</t>
        </is>
      </c>
      <c r="E213" s="22" t="n">
        <v>17</v>
      </c>
      <c r="F213" s="4" t="inlineStr">
        <is>
          <t>Crítico no marcado ganha +1 dado base; +2 de Velocidade; Ação Extra no abate</t>
        </is>
      </c>
      <c r="G213" s="22" t="inlineStr">
        <is>
          <t>Uma vez por combate</t>
        </is>
      </c>
      <c r="H213" s="22" t="inlineStr">
        <is>
          <t>Não</t>
        </is>
      </c>
    </row>
    <row r="214" ht="26" customHeight="1">
      <c r="A214" s="59" t="inlineStr">
        <is>
          <t>A Caça</t>
        </is>
      </c>
      <c r="B214" s="21" t="n">
        <v>12</v>
      </c>
      <c r="C214" s="21" t="inlineStr">
        <is>
          <t>A Última Flecha</t>
        </is>
      </c>
      <c r="D214" s="21" t="inlineStr">
        <is>
          <t>III</t>
        </is>
      </c>
      <c r="E214" s="21" t="n">
        <v>17</v>
      </c>
      <c r="F214" s="9" t="inlineStr">
        <is>
          <t>1 vez por combate: Vantagem, +2 dados base e +30 de Energia no abate</t>
        </is>
      </c>
      <c r="G214" s="21" t="inlineStr">
        <is>
          <t>Uma vez por combate</t>
        </is>
      </c>
      <c r="H214" s="21" t="inlineStr">
        <is>
          <t>Não</t>
        </is>
      </c>
    </row>
    <row r="215" ht="26" customHeight="1">
      <c r="A215" s="58" t="inlineStr">
        <is>
          <t>A Preservação</t>
        </is>
      </c>
      <c r="B215" s="22" t="n">
        <v>1</v>
      </c>
      <c r="C215" s="22" t="inlineStr">
        <is>
          <t>Muralha de Qlipoth</t>
        </is>
      </c>
      <c r="D215" s="22" t="inlineStr">
        <is>
          <t>I</t>
        </is>
      </c>
      <c r="E215" s="22" t="n">
        <v>1</v>
      </c>
      <c r="F215" s="4" t="inlineStr">
        <is>
          <t>Ação Complementar: 2 × Eficiência de Barreira em você ou num aliado</t>
        </is>
      </c>
      <c r="G215" s="22" t="inlineStr">
        <is>
          <t>Sem limite declarado</t>
        </is>
      </c>
      <c r="H215" s="22" t="inlineStr">
        <is>
          <t>Não</t>
        </is>
      </c>
    </row>
    <row r="216" ht="26" customHeight="1">
      <c r="A216" s="59" t="inlineStr">
        <is>
          <t>A Preservação</t>
        </is>
      </c>
      <c r="B216" s="21" t="n">
        <v>2</v>
      </c>
      <c r="C216" s="21" t="inlineStr">
        <is>
          <t>Chamado da Muralha</t>
        </is>
      </c>
      <c r="D216" s="21" t="inlineStr">
        <is>
          <t>I</t>
        </is>
      </c>
      <c r="E216" s="21" t="n">
        <v>1</v>
      </c>
      <c r="F216" s="9" t="inlineStr">
        <is>
          <t>Teste de Força de Vontade: o inimigo só pode atacar você</t>
        </is>
      </c>
      <c r="G216" s="21" t="inlineStr">
        <is>
          <t>Sem limite declarado</t>
        </is>
      </c>
      <c r="H216" s="21" t="inlineStr">
        <is>
          <t>Não</t>
        </is>
      </c>
    </row>
    <row r="217">
      <c r="A217" s="58" t="inlineStr">
        <is>
          <t>A Preservação</t>
        </is>
      </c>
      <c r="B217" s="22" t="n">
        <v>3</v>
      </c>
      <c r="C217" s="22" t="inlineStr">
        <is>
          <t>Escudo Vivo</t>
        </is>
      </c>
      <c r="D217" s="22" t="inlineStr">
        <is>
          <t>I</t>
        </is>
      </c>
      <c r="E217" s="22" t="n">
        <v>1</v>
      </c>
      <c r="F217" s="22" t="inlineStr">
        <is>
          <t>Intervir de graça, 1 vez por Ciclo</t>
        </is>
      </c>
      <c r="G217" s="22" t="inlineStr">
        <is>
          <t>Uma vez por Ciclo</t>
        </is>
      </c>
      <c r="H217" s="22" t="inlineStr">
        <is>
          <t>Não</t>
        </is>
      </c>
    </row>
    <row r="218" ht="26" customHeight="1">
      <c r="A218" s="59" t="inlineStr">
        <is>
          <t>A Preservação</t>
        </is>
      </c>
      <c r="B218" s="21" t="n">
        <v>4</v>
      </c>
      <c r="C218" s="21" t="inlineStr">
        <is>
          <t>Pele de Pedra</t>
        </is>
      </c>
      <c r="D218" s="21" t="inlineStr">
        <is>
          <t>I</t>
        </is>
      </c>
      <c r="E218" s="21" t="n">
        <v>1</v>
      </c>
      <c r="F218" s="9" t="inlineStr">
        <is>
          <t>+2 RD, e +2 RD a mais enquanto tiver Barreira</t>
        </is>
      </c>
      <c r="G218" s="21" t="inlineStr">
        <is>
          <t>Sem limite declarado</t>
        </is>
      </c>
      <c r="H218" s="21" t="inlineStr">
        <is>
          <t>Não</t>
        </is>
      </c>
    </row>
    <row r="219" ht="26" customHeight="1">
      <c r="A219" s="58" t="inlineStr">
        <is>
          <t>A Preservação</t>
        </is>
      </c>
      <c r="B219" s="22" t="n">
        <v>5</v>
      </c>
      <c r="C219" s="4" t="inlineStr">
        <is>
          <t>Firmeza de Fundação</t>
        </is>
      </c>
      <c r="D219" s="22" t="inlineStr">
        <is>
          <t>I</t>
        </is>
      </c>
      <c r="E219" s="22" t="n">
        <v>1</v>
      </c>
      <c r="F219" s="4" t="inlineStr">
        <is>
          <t>No máximo 1 casa de Atraso por Ciclo; ignora Lentidão</t>
        </is>
      </c>
      <c r="G219" s="22" t="inlineStr">
        <is>
          <t>Sem limite declarado</t>
        </is>
      </c>
      <c r="H219" s="22" t="inlineStr">
        <is>
          <t>Não</t>
        </is>
      </c>
    </row>
    <row r="220" ht="26" customHeight="1">
      <c r="A220" s="59" t="inlineStr">
        <is>
          <t>A Preservação</t>
        </is>
      </c>
      <c r="B220" s="21" t="n">
        <v>6</v>
      </c>
      <c r="C220" s="21" t="inlineStr">
        <is>
          <t>Peso do Juramento</t>
        </is>
      </c>
      <c r="D220" s="21" t="inlineStr">
        <is>
          <t>I</t>
        </is>
      </c>
      <c r="E220" s="21" t="n">
        <v>1</v>
      </c>
      <c r="F220" s="9" t="inlineStr">
        <is>
          <t>Vantagem em Potência e Resistência Física; +2 Espaços de carga</t>
        </is>
      </c>
      <c r="G220" s="21" t="inlineStr">
        <is>
          <t>Sem limite declarado</t>
        </is>
      </c>
      <c r="H220" s="21" t="inlineStr">
        <is>
          <t>Não</t>
        </is>
      </c>
    </row>
    <row r="221" ht="26" customHeight="1">
      <c r="A221" s="58" t="inlineStr">
        <is>
          <t>A Preservação</t>
        </is>
      </c>
      <c r="B221" s="22" t="n">
        <v>7</v>
      </c>
      <c r="C221" s="4" t="inlineStr">
        <is>
          <t>Barreira Compartilhada</t>
        </is>
      </c>
      <c r="D221" s="22" t="inlineStr">
        <is>
          <t>II</t>
        </is>
      </c>
      <c r="E221" s="22" t="n">
        <v>9</v>
      </c>
      <c r="F221" s="4" t="inlineStr">
        <is>
          <t>A Barreira pega um segundo aliado pela metade</t>
        </is>
      </c>
      <c r="G221" s="22" t="inlineStr">
        <is>
          <t>Sem limite declarado</t>
        </is>
      </c>
      <c r="H221" s="22" t="inlineStr">
        <is>
          <t>Não</t>
        </is>
      </c>
    </row>
    <row r="222" ht="26" customHeight="1">
      <c r="A222" s="59" t="inlineStr">
        <is>
          <t>A Preservação</t>
        </is>
      </c>
      <c r="B222" s="21" t="n">
        <v>8</v>
      </c>
      <c r="C222" s="21" t="inlineStr">
        <is>
          <t>Contragolpe</t>
        </is>
      </c>
      <c r="D222" s="21" t="inlineStr">
        <is>
          <t>II</t>
        </is>
      </c>
      <c r="E222" s="21" t="n">
        <v>9</v>
      </c>
      <c r="F222" s="9" t="inlineStr">
        <is>
          <t>Dano absorvido devolve 1d6 + Eficiência ao atacante</t>
        </is>
      </c>
      <c r="G222" s="21" t="inlineStr">
        <is>
          <t>Uma vez por turno</t>
        </is>
      </c>
      <c r="H222" s="21" t="inlineStr">
        <is>
          <t>Não</t>
        </is>
      </c>
    </row>
    <row r="223" ht="26" customHeight="1">
      <c r="A223" s="58" t="inlineStr">
        <is>
          <t>A Preservação</t>
        </is>
      </c>
      <c r="B223" s="22" t="n">
        <v>9</v>
      </c>
      <c r="C223" s="22" t="inlineStr">
        <is>
          <t>Sentinela</t>
        </is>
      </c>
      <c r="D223" s="22" t="inlineStr">
        <is>
          <t>II</t>
        </is>
      </c>
      <c r="E223" s="22" t="n">
        <v>9</v>
      </c>
      <c r="F223" s="4" t="inlineStr">
        <is>
          <t>1 vez por Ciclo: Esquiva ou Intervir mesmo com a Reação gasta</t>
        </is>
      </c>
      <c r="G223" s="22" t="inlineStr">
        <is>
          <t>Uma vez por Ciclo</t>
        </is>
      </c>
      <c r="H223" s="22" t="inlineStr">
        <is>
          <t>Não</t>
        </is>
      </c>
    </row>
    <row r="224" ht="26" customHeight="1">
      <c r="A224" s="59" t="inlineStr">
        <is>
          <t>A Preservação</t>
        </is>
      </c>
      <c r="B224" s="21" t="n">
        <v>10</v>
      </c>
      <c r="C224" s="21" t="inlineStr">
        <is>
          <t>Último Bastião</t>
        </is>
      </c>
      <c r="D224" s="21" t="inlineStr">
        <is>
          <t>II</t>
        </is>
      </c>
      <c r="E224" s="21" t="n">
        <v>9</v>
      </c>
      <c r="F224" s="9" t="inlineStr">
        <is>
          <t>Barreira destruída dá RD = Eficiência ao grupo perto</t>
        </is>
      </c>
      <c r="G224" s="21" t="inlineStr">
        <is>
          <t>Uma vez por combate</t>
        </is>
      </c>
      <c r="H224" s="21" t="inlineStr">
        <is>
          <t>Não</t>
        </is>
      </c>
    </row>
    <row r="225" ht="26" customHeight="1">
      <c r="A225" s="58" t="inlineStr">
        <is>
          <t>A Preservação</t>
        </is>
      </c>
      <c r="B225" s="22" t="n">
        <v>11</v>
      </c>
      <c r="C225" s="4" t="inlineStr">
        <is>
          <t>Avatar da Preservação</t>
        </is>
      </c>
      <c r="D225" s="22" t="inlineStr">
        <is>
          <t>III</t>
        </is>
      </c>
      <c r="E225" s="22" t="n">
        <v>17</v>
      </c>
      <c r="F225" s="4" t="inlineStr">
        <is>
          <t>Barreira no teto, +1 de Defesa e +2 RD aos aliados, salva um a 0 PV</t>
        </is>
      </c>
      <c r="G225" s="22" t="inlineStr">
        <is>
          <t>Uma vez por combate</t>
        </is>
      </c>
      <c r="H225" s="22" t="inlineStr">
        <is>
          <t>Não</t>
        </is>
      </c>
    </row>
    <row r="226" ht="26" customHeight="1">
      <c r="A226" s="59" t="inlineStr">
        <is>
          <t>A Preservação</t>
        </is>
      </c>
      <c r="B226" s="21" t="n">
        <v>12</v>
      </c>
      <c r="C226" s="21" t="inlineStr">
        <is>
          <t>A Muralha Não Cai</t>
        </is>
      </c>
      <c r="D226" s="21" t="inlineStr">
        <is>
          <t>III</t>
        </is>
      </c>
      <c r="E226" s="21" t="n">
        <v>17</v>
      </c>
      <c r="F226" s="9" t="inlineStr">
        <is>
          <t>1 vez por combate: ninguém perto cai abaixo de 1 PV por um turno</t>
        </is>
      </c>
      <c r="G226" s="21" t="inlineStr">
        <is>
          <t>Uma vez por combate</t>
        </is>
      </c>
      <c r="H226" s="21" t="inlineStr">
        <is>
          <t>Não</t>
        </is>
      </c>
    </row>
    <row r="227"/>
    <row r="228">
      <c r="A228" s="14" t="inlineStr">
        <is>
          <t>Acúmulos das Bênçãos — capítulos 07 a 15 (transcrito)</t>
        </is>
      </c>
    </row>
    <row r="229">
      <c r="A229" s="7" t="inlineStr">
        <is>
          <t>Caminho</t>
        </is>
      </c>
      <c r="B229" s="7" t="inlineStr">
        <is>
          <t>Bênção</t>
        </is>
      </c>
      <c r="C229" s="7" t="inlineStr">
        <is>
          <t>Acúmulo</t>
        </is>
      </c>
      <c r="D229" s="7" t="inlineStr">
        <is>
          <t>Máximo</t>
        </is>
      </c>
    </row>
    <row r="230" ht="26" customHeight="1">
      <c r="A230" s="58" t="inlineStr">
        <is>
          <t>A Destruição</t>
        </is>
      </c>
      <c r="B230" s="4" t="inlineStr">
        <is>
          <t>Sacrifício Desesperado</t>
        </is>
      </c>
      <c r="C230" s="22" t="inlineStr">
        <is>
          <t>Fúria</t>
        </is>
      </c>
      <c r="D230" s="22" t="n">
        <v>2</v>
      </c>
    </row>
    <row r="231" ht="26" customHeight="1">
      <c r="A231" s="59" t="inlineStr">
        <is>
          <t>A Destruição</t>
        </is>
      </c>
      <c r="B231" s="9" t="inlineStr">
        <is>
          <t>Cicatriz da Destruição</t>
        </is>
      </c>
      <c r="C231" s="21" t="inlineStr">
        <is>
          <t>Marcas da Ruína</t>
        </is>
      </c>
      <c r="D231" s="21" t="n">
        <v>5</v>
      </c>
    </row>
    <row r="232">
      <c r="A232" s="58" t="inlineStr">
        <is>
          <t>A Inexistência</t>
        </is>
      </c>
      <c r="B232" s="22" t="inlineStr">
        <is>
          <t>Marca do Vazio</t>
        </is>
      </c>
      <c r="C232" s="22" t="inlineStr">
        <is>
          <t>Marca do Vazio</t>
        </is>
      </c>
      <c r="D232" s="22" t="n">
        <v>3</v>
      </c>
    </row>
    <row r="233" ht="26" customHeight="1">
      <c r="A233" s="59" t="inlineStr">
        <is>
          <t>A Inexistência</t>
        </is>
      </c>
      <c r="B233" s="9" t="inlineStr">
        <is>
          <t>Corrupção Progressiva</t>
        </is>
      </c>
      <c r="C233" s="21" t="inlineStr">
        <is>
          <t>Corrupção</t>
        </is>
      </c>
      <c r="D233" s="21" t="n">
        <v>5</v>
      </c>
    </row>
    <row r="234" ht="26" customHeight="1">
      <c r="A234" s="58" t="inlineStr">
        <is>
          <t>A Abundância</t>
        </is>
      </c>
      <c r="B234" s="4" t="inlineStr">
        <is>
          <t>Florescimento da Alma</t>
        </is>
      </c>
      <c r="C234" s="22" t="inlineStr">
        <is>
          <t>Florescimento</t>
        </is>
      </c>
      <c r="D234" s="22" t="n">
        <v>5</v>
      </c>
    </row>
    <row r="235" ht="26" customHeight="1">
      <c r="A235" s="59" t="inlineStr">
        <is>
          <t>A Recordação</t>
        </is>
      </c>
      <c r="B235" s="9" t="inlineStr">
        <is>
          <t>Memória Devastadora</t>
        </is>
      </c>
      <c r="C235" s="9" t="inlineStr">
        <is>
          <t>Fragmentos de Memória</t>
        </is>
      </c>
      <c r="D235" s="21" t="n">
        <v>5</v>
      </c>
    </row>
    <row r="236" ht="26" customHeight="1">
      <c r="A236" s="58" t="inlineStr">
        <is>
          <t>A Recordação</t>
        </is>
      </c>
      <c r="B236" s="22" t="inlineStr">
        <is>
          <t>Ataque Espiritual</t>
        </is>
      </c>
      <c r="C236" s="4" t="inlineStr">
        <is>
          <t>Lembranças Passadas</t>
        </is>
      </c>
      <c r="D236" s="22" t="n">
        <v>3</v>
      </c>
    </row>
    <row r="237"/>
    <row r="238">
      <c r="A238" s="14" t="inlineStr">
        <is>
          <t>Efeitos aplicados nos números — decisão 2 do plano (transcrito)</t>
        </is>
      </c>
    </row>
    <row r="239">
      <c r="A239" s="7" t="inlineStr">
        <is>
          <t>Caminho</t>
        </is>
      </c>
      <c r="B239" s="7" t="inlineStr">
        <is>
          <t>Bênção ou escolha</t>
        </is>
      </c>
      <c r="C239" s="7" t="inlineStr">
        <is>
          <t>Efeito</t>
        </is>
      </c>
    </row>
    <row r="240" ht="26" customHeight="1">
      <c r="A240" s="58" t="inlineStr">
        <is>
          <t>A Abundância</t>
        </is>
      </c>
      <c r="B240" s="22" t="inlineStr">
        <is>
          <t>Corpo Imortal</t>
        </is>
      </c>
      <c r="C240" s="4" t="inlineStr">
        <is>
          <t>PV máximo +2 × nível</t>
        </is>
      </c>
    </row>
    <row r="241" ht="26" customHeight="1">
      <c r="A241" s="59" t="inlineStr">
        <is>
          <t>A Abundância</t>
        </is>
      </c>
      <c r="B241" s="21" t="inlineStr">
        <is>
          <t>Corpo Imortal</t>
        </is>
      </c>
      <c r="C241" s="9" t="inlineStr">
        <is>
          <t>RD = Eficiência (teto de RD)</t>
        </is>
      </c>
    </row>
    <row r="242">
      <c r="A242" s="58" t="inlineStr">
        <is>
          <t>A Preservação</t>
        </is>
      </c>
      <c r="B242" s="22" t="inlineStr">
        <is>
          <t>Pele de Pedra</t>
        </is>
      </c>
      <c r="C242" s="22" t="inlineStr">
        <is>
          <t>RD +2 permanente</t>
        </is>
      </c>
    </row>
    <row r="243">
      <c r="A243" s="59" t="inlineStr">
        <is>
          <t>A Caça</t>
        </is>
      </c>
      <c r="B243" s="21" t="inlineStr">
        <is>
          <t>Olho de Lan</t>
        </is>
      </c>
      <c r="C243" s="21" t="inlineStr">
        <is>
          <t>faixa de crítico 19-20</t>
        </is>
      </c>
    </row>
    <row r="244" ht="26" customHeight="1">
      <c r="A244" s="58" t="inlineStr">
        <is>
          <t>A Caça</t>
        </is>
      </c>
      <c r="B244" s="22" t="inlineStr">
        <is>
          <t>Avatar da Caça</t>
        </is>
      </c>
      <c r="C244" s="4" t="inlineStr">
        <is>
          <t>Velocidade +2 permanente</t>
        </is>
      </c>
    </row>
    <row r="245" ht="48" customHeight="1">
      <c r="A245" s="59" t="inlineStr">
        <is>
          <t>A Recordação</t>
        </is>
      </c>
      <c r="B245" s="9" t="inlineStr">
        <is>
          <t>Avatar da Recordação</t>
        </is>
      </c>
      <c r="C245" s="9" t="inlineStr">
        <is>
          <t>Forma Sincronizada: PV máximo +2 × nível, Defesa +1, +1 dado base</t>
        </is>
      </c>
    </row>
    <row r="246" ht="48" customHeight="1">
      <c r="A246" s="58" t="inlineStr">
        <is>
          <t>A Destruição</t>
        </is>
      </c>
      <c r="B246" s="4" t="inlineStr">
        <is>
          <t>Instinto de Sobrevivência</t>
        </is>
      </c>
      <c r="C246" s="4" t="inlineStr">
        <is>
          <t>+2 em Testes de Ataque com PV ≤ 1/3 do máximo (teto de bônus)</t>
        </is>
      </c>
    </row>
    <row r="247" ht="48" customHeight="1">
      <c r="A247" s="59" t="inlineStr">
        <is>
          <t>A Destruição</t>
        </is>
      </c>
      <c r="B247" s="9" t="inlineStr">
        <is>
          <t>Sacrifício Desesperado</t>
        </is>
      </c>
      <c r="C247" s="9" t="inlineStr">
        <is>
          <t>+1d6 de dano por acúmulo de Fúria (teto de dados adicionais)</t>
        </is>
      </c>
    </row>
    <row r="248" ht="59" customHeight="1">
      <c r="A248" s="58" t="inlineStr">
        <is>
          <t>A Destruição</t>
        </is>
      </c>
      <c r="B248" s="4" t="inlineStr">
        <is>
          <t>Cicatriz da Destruição</t>
        </is>
      </c>
      <c r="C248" s="4" t="inlineStr">
        <is>
          <t>+1 dano, +1 Força de Vontade e Resistência Mental por Marca (teto de bônus)</t>
        </is>
      </c>
    </row>
    <row r="249" ht="48" customHeight="1">
      <c r="A249" s="59" t="inlineStr">
        <is>
          <t>A Abundância</t>
        </is>
      </c>
      <c r="B249" s="9" t="inlineStr">
        <is>
          <t>Florescimento da Alma</t>
        </is>
      </c>
      <c r="C249" s="9" t="inlineStr">
        <is>
          <t>+1 em Testes de Resistência e +1 de Defesa por acúmulo (teto de bônus)</t>
        </is>
      </c>
    </row>
    <row r="250" ht="37" customHeight="1">
      <c r="A250" s="58" t="inlineStr">
        <is>
          <t>A Recordação</t>
        </is>
      </c>
      <c r="B250" s="4" t="inlineStr">
        <is>
          <t>Memória Compartilhada</t>
        </is>
      </c>
      <c r="C250" s="4" t="inlineStr">
        <is>
          <t>com o Memoespírito ativo: +1 em ataques e +1d6 de dano</t>
        </is>
      </c>
    </row>
    <row r="251" ht="48" customHeight="1">
      <c r="A251" s="59" t="inlineStr">
        <is>
          <t>A Recordação</t>
        </is>
      </c>
      <c r="B251" s="9" t="inlineStr">
        <is>
          <t>Fragmentos do Eu Perdido</t>
        </is>
      </c>
      <c r="C251" s="9" t="inlineStr">
        <is>
          <t>Memória da Guarda: +Eficiência de Defesa com o Memoespírito ativo</t>
        </is>
      </c>
    </row>
    <row r="252" ht="60" customHeight="1">
      <c r="A252" s="58" t="inlineStr">
        <is>
          <t>A Recordação</t>
        </is>
      </c>
      <c r="B252" s="22" t="inlineStr">
        <is>
          <t>Ecos do Passado</t>
        </is>
      </c>
      <c r="C252" s="4" t="inlineStr">
        <is>
          <t>Memoespírito: PV máximo +4 × nível e +Bônus do Atributo de Habilidade no dano</t>
        </is>
      </c>
    </row>
    <row r="253" ht="48" customHeight="1">
      <c r="A253" s="59" t="inlineStr">
        <is>
          <t>A Recordação</t>
        </is>
      </c>
      <c r="B253" s="21" t="inlineStr">
        <is>
          <t>Função Catalisador</t>
        </is>
      </c>
      <c r="C253" s="9" t="inlineStr">
        <is>
          <t>você ganha +1 em Testes de Ataque com o Memoespírito ativo</t>
        </is>
      </c>
    </row>
    <row r="254" ht="48" customHeight="1">
      <c r="A254" s="58" t="inlineStr">
        <is>
          <t>A Recordação</t>
        </is>
      </c>
      <c r="B254" s="4" t="inlineStr">
        <is>
          <t>Evolução Fusão de Memórias</t>
        </is>
      </c>
      <c r="C254" s="4" t="inlineStr">
        <is>
          <t>você ganha +1 em Testes de Ataque com o Memoespírito ativo</t>
        </is>
      </c>
    </row>
    <row r="255"/>
    <row r="256">
      <c r="A256" s="14" t="inlineStr">
        <is>
          <t>Tabela mestra, nível 1 a 20 — 26.2</t>
        </is>
      </c>
    </row>
    <row r="257" ht="37" customHeight="1">
      <c r="A257" s="7" t="inlineStr">
        <is>
          <t>Nível</t>
        </is>
      </c>
      <c r="B257" s="7" t="inlineStr">
        <is>
          <t>Eficiência</t>
        </is>
      </c>
      <c r="C257" s="7" t="inlineStr">
        <is>
          <t>Eficácia: Perícias</t>
        </is>
      </c>
      <c r="D257" s="7" t="inlineStr">
        <is>
          <t>Eficácia: Testes de Resistência</t>
        </is>
      </c>
      <c r="E257" s="7" t="inlineStr">
        <is>
          <t>Bênçãos</t>
        </is>
      </c>
      <c r="F257" s="7" t="inlineStr">
        <is>
          <t>Habilidades conhecidas</t>
        </is>
      </c>
      <c r="G257" s="7" t="inlineStr">
        <is>
          <t>Reescreve 1 por nível</t>
        </is>
      </c>
      <c r="H257" s="7" t="inlineStr">
        <is>
          <t>Nível máx. de Habilidade</t>
        </is>
      </c>
      <c r="I257" s="7" t="inlineStr">
        <is>
          <t>Aumento de Atributo</t>
        </is>
      </c>
      <c r="J257" s="7" t="inlineStr">
        <is>
          <t>Dados de Ataque Básico</t>
        </is>
      </c>
      <c r="K257" s="7" t="inlineStr">
        <is>
          <t>Especialização</t>
        </is>
      </c>
      <c r="L257" s="7" t="inlineStr">
        <is>
          <t>Teto de RD</t>
        </is>
      </c>
    </row>
    <row r="258">
      <c r="A258" s="58" t="n">
        <v>1</v>
      </c>
      <c r="B258" s="22" t="n">
        <v>2</v>
      </c>
      <c r="C258" s="22" t="n">
        <v>0</v>
      </c>
      <c r="D258" s="22" t="n">
        <v>0</v>
      </c>
      <c r="E258" s="22" t="n">
        <v>1</v>
      </c>
      <c r="F258" s="22" t="n">
        <v>1</v>
      </c>
      <c r="G258" s="22" t="inlineStr">
        <is>
          <t>Não</t>
        </is>
      </c>
      <c r="H258" s="22" t="n">
        <v>1</v>
      </c>
      <c r="I258" s="22" t="inlineStr">
        <is>
          <t>Não</t>
        </is>
      </c>
      <c r="J258" s="22" t="n">
        <v>1</v>
      </c>
      <c r="K258" s="22" t="n">
        <v>0</v>
      </c>
      <c r="L258" s="22" t="n">
        <v>6</v>
      </c>
    </row>
    <row r="259">
      <c r="A259" s="59" t="n">
        <v>2</v>
      </c>
      <c r="B259" s="21" t="n">
        <v>2</v>
      </c>
      <c r="C259" s="21" t="n">
        <v>0</v>
      </c>
      <c r="D259" s="21" t="n">
        <v>0</v>
      </c>
      <c r="E259" s="21" t="n">
        <v>1</v>
      </c>
      <c r="F259" s="21" t="n">
        <v>1</v>
      </c>
      <c r="G259" s="21" t="inlineStr">
        <is>
          <t>Não</t>
        </is>
      </c>
      <c r="H259" s="21" t="n">
        <v>2</v>
      </c>
      <c r="I259" s="21" t="inlineStr">
        <is>
          <t>Não</t>
        </is>
      </c>
      <c r="J259" s="21" t="n">
        <v>1</v>
      </c>
      <c r="K259" s="21" t="n">
        <v>0</v>
      </c>
      <c r="L259" s="21" t="n">
        <v>6</v>
      </c>
    </row>
    <row r="260">
      <c r="A260" s="58" t="n">
        <v>3</v>
      </c>
      <c r="B260" s="22" t="n">
        <v>2</v>
      </c>
      <c r="C260" s="22" t="n">
        <v>0</v>
      </c>
      <c r="D260" s="22" t="n">
        <v>0</v>
      </c>
      <c r="E260" s="22" t="n">
        <v>2</v>
      </c>
      <c r="F260" s="22" t="n">
        <v>2</v>
      </c>
      <c r="G260" s="22" t="inlineStr">
        <is>
          <t>Não</t>
        </is>
      </c>
      <c r="H260" s="22" t="n">
        <v>2</v>
      </c>
      <c r="I260" s="22" t="inlineStr">
        <is>
          <t>Sim</t>
        </is>
      </c>
      <c r="J260" s="22" t="n">
        <v>1</v>
      </c>
      <c r="K260" s="22" t="n">
        <v>0</v>
      </c>
      <c r="L260" s="22" t="n">
        <v>6</v>
      </c>
    </row>
    <row r="261">
      <c r="A261" s="59" t="n">
        <v>4</v>
      </c>
      <c r="B261" s="21" t="n">
        <v>3</v>
      </c>
      <c r="C261" s="21" t="n">
        <v>0</v>
      </c>
      <c r="D261" s="21" t="n">
        <v>0</v>
      </c>
      <c r="E261" s="21" t="n">
        <v>2</v>
      </c>
      <c r="F261" s="21" t="n">
        <v>2</v>
      </c>
      <c r="G261" s="21" t="inlineStr">
        <is>
          <t>Não</t>
        </is>
      </c>
      <c r="H261" s="21" t="n">
        <v>2</v>
      </c>
      <c r="I261" s="21" t="inlineStr">
        <is>
          <t>Não</t>
        </is>
      </c>
      <c r="J261" s="21" t="n">
        <v>1</v>
      </c>
      <c r="K261" s="21" t="n">
        <v>0</v>
      </c>
      <c r="L261" s="21" t="n">
        <v>8</v>
      </c>
    </row>
    <row r="262">
      <c r="A262" s="58" t="n">
        <v>5</v>
      </c>
      <c r="B262" s="22" t="n">
        <v>3</v>
      </c>
      <c r="C262" s="22" t="n">
        <v>1</v>
      </c>
      <c r="D262" s="22" t="n">
        <v>1</v>
      </c>
      <c r="E262" s="22" t="n">
        <v>3</v>
      </c>
      <c r="F262" s="22" t="n">
        <v>3</v>
      </c>
      <c r="G262" s="22" t="inlineStr">
        <is>
          <t>Não</t>
        </is>
      </c>
      <c r="H262" s="22" t="n">
        <v>2</v>
      </c>
      <c r="I262" s="22" t="inlineStr">
        <is>
          <t>Não</t>
        </is>
      </c>
      <c r="J262" s="22" t="n">
        <v>2</v>
      </c>
      <c r="K262" s="22" t="n">
        <v>1</v>
      </c>
      <c r="L262" s="22" t="n">
        <v>8</v>
      </c>
    </row>
    <row r="263">
      <c r="A263" s="59" t="n">
        <v>6</v>
      </c>
      <c r="B263" s="21" t="n">
        <v>3</v>
      </c>
      <c r="C263" s="21" t="n">
        <v>1</v>
      </c>
      <c r="D263" s="21" t="n">
        <v>1</v>
      </c>
      <c r="E263" s="21" t="n">
        <v>3</v>
      </c>
      <c r="F263" s="21" t="n">
        <v>3</v>
      </c>
      <c r="G263" s="21" t="inlineStr">
        <is>
          <t>Não</t>
        </is>
      </c>
      <c r="H263" s="21" t="n">
        <v>3</v>
      </c>
      <c r="I263" s="21" t="inlineStr">
        <is>
          <t>Sim</t>
        </is>
      </c>
      <c r="J263" s="21" t="n">
        <v>2</v>
      </c>
      <c r="K263" s="21" t="n">
        <v>1</v>
      </c>
      <c r="L263" s="21" t="n">
        <v>8</v>
      </c>
    </row>
    <row r="264">
      <c r="A264" s="58" t="n">
        <v>7</v>
      </c>
      <c r="B264" s="22" t="n">
        <v>4</v>
      </c>
      <c r="C264" s="22" t="n">
        <v>1</v>
      </c>
      <c r="D264" s="22" t="n">
        <v>1</v>
      </c>
      <c r="E264" s="22" t="n">
        <v>4</v>
      </c>
      <c r="F264" s="22" t="n">
        <v>4</v>
      </c>
      <c r="G264" s="22" t="inlineStr">
        <is>
          <t>Não</t>
        </is>
      </c>
      <c r="H264" s="22" t="n">
        <v>3</v>
      </c>
      <c r="I264" s="22" t="inlineStr">
        <is>
          <t>Não</t>
        </is>
      </c>
      <c r="J264" s="22" t="n">
        <v>2</v>
      </c>
      <c r="K264" s="22" t="n">
        <v>1</v>
      </c>
      <c r="L264" s="22" t="n">
        <v>10</v>
      </c>
    </row>
    <row r="265">
      <c r="A265" s="59" t="n">
        <v>8</v>
      </c>
      <c r="B265" s="21" t="n">
        <v>4</v>
      </c>
      <c r="C265" s="21" t="n">
        <v>2</v>
      </c>
      <c r="D265" s="21" t="n">
        <v>1</v>
      </c>
      <c r="E265" s="21" t="n">
        <v>4</v>
      </c>
      <c r="F265" s="21" t="n">
        <v>4</v>
      </c>
      <c r="G265" s="21" t="inlineStr">
        <is>
          <t>Não</t>
        </is>
      </c>
      <c r="H265" s="21" t="n">
        <v>3</v>
      </c>
      <c r="I265" s="21" t="inlineStr">
        <is>
          <t>Não</t>
        </is>
      </c>
      <c r="J265" s="21" t="n">
        <v>2</v>
      </c>
      <c r="K265" s="21" t="n">
        <v>1</v>
      </c>
      <c r="L265" s="21" t="n">
        <v>10</v>
      </c>
    </row>
    <row r="266">
      <c r="A266" s="58" t="n">
        <v>9</v>
      </c>
      <c r="B266" s="22" t="n">
        <v>4</v>
      </c>
      <c r="C266" s="22" t="n">
        <v>2</v>
      </c>
      <c r="D266" s="22" t="n">
        <v>1</v>
      </c>
      <c r="E266" s="22" t="n">
        <v>5</v>
      </c>
      <c r="F266" s="22" t="n">
        <v>5</v>
      </c>
      <c r="G266" s="22" t="inlineStr">
        <is>
          <t>Não</t>
        </is>
      </c>
      <c r="H266" s="22" t="n">
        <v>4</v>
      </c>
      <c r="I266" s="22" t="inlineStr">
        <is>
          <t>Sim</t>
        </is>
      </c>
      <c r="J266" s="22" t="n">
        <v>3</v>
      </c>
      <c r="K266" s="22" t="n">
        <v>1</v>
      </c>
      <c r="L266" s="22" t="n">
        <v>10</v>
      </c>
    </row>
    <row r="267">
      <c r="A267" s="59" t="n">
        <v>10</v>
      </c>
      <c r="B267" s="21" t="n">
        <v>5</v>
      </c>
      <c r="C267" s="21" t="n">
        <v>2</v>
      </c>
      <c r="D267" s="21" t="n">
        <v>1</v>
      </c>
      <c r="E267" s="21" t="n">
        <v>5</v>
      </c>
      <c r="F267" s="21" t="n">
        <v>5</v>
      </c>
      <c r="G267" s="21" t="inlineStr">
        <is>
          <t>Não</t>
        </is>
      </c>
      <c r="H267" s="21" t="n">
        <v>4</v>
      </c>
      <c r="I267" s="21" t="inlineStr">
        <is>
          <t>Não</t>
        </is>
      </c>
      <c r="J267" s="21" t="n">
        <v>3</v>
      </c>
      <c r="K267" s="21" t="n">
        <v>1</v>
      </c>
      <c r="L267" s="21" t="n">
        <v>12</v>
      </c>
    </row>
    <row r="268">
      <c r="A268" s="58" t="n">
        <v>11</v>
      </c>
      <c r="B268" s="22" t="n">
        <v>5</v>
      </c>
      <c r="C268" s="22" t="n">
        <v>2</v>
      </c>
      <c r="D268" s="22" t="n">
        <v>2</v>
      </c>
      <c r="E268" s="22" t="n">
        <v>6</v>
      </c>
      <c r="F268" s="22" t="n">
        <v>6</v>
      </c>
      <c r="G268" s="22" t="inlineStr">
        <is>
          <t>Não</t>
        </is>
      </c>
      <c r="H268" s="22" t="n">
        <v>4</v>
      </c>
      <c r="I268" s="22" t="inlineStr">
        <is>
          <t>Não</t>
        </is>
      </c>
      <c r="J268" s="22" t="n">
        <v>3</v>
      </c>
      <c r="K268" s="22" t="n">
        <v>2</v>
      </c>
      <c r="L268" s="22" t="n">
        <v>12</v>
      </c>
    </row>
    <row r="269">
      <c r="A269" s="59" t="n">
        <v>12</v>
      </c>
      <c r="B269" s="21" t="n">
        <v>5</v>
      </c>
      <c r="C269" s="21" t="n">
        <v>2</v>
      </c>
      <c r="D269" s="21" t="n">
        <v>2</v>
      </c>
      <c r="E269" s="21" t="n">
        <v>6</v>
      </c>
      <c r="F269" s="21" t="n">
        <v>6</v>
      </c>
      <c r="G269" s="21" t="inlineStr">
        <is>
          <t>Não</t>
        </is>
      </c>
      <c r="H269" s="21" t="n">
        <v>5</v>
      </c>
      <c r="I269" s="21" t="inlineStr">
        <is>
          <t>Sim</t>
        </is>
      </c>
      <c r="J269" s="21" t="n">
        <v>3</v>
      </c>
      <c r="K269" s="21" t="n">
        <v>2</v>
      </c>
      <c r="L269" s="21" t="n">
        <v>12</v>
      </c>
    </row>
    <row r="270">
      <c r="A270" s="58" t="n">
        <v>13</v>
      </c>
      <c r="B270" s="22" t="n">
        <v>6</v>
      </c>
      <c r="C270" s="22" t="n">
        <v>2</v>
      </c>
      <c r="D270" s="22" t="n">
        <v>2</v>
      </c>
      <c r="E270" s="22" t="n">
        <v>7</v>
      </c>
      <c r="F270" s="22" t="n">
        <v>7</v>
      </c>
      <c r="G270" s="22" t="inlineStr">
        <is>
          <t>Não</t>
        </is>
      </c>
      <c r="H270" s="22" t="n">
        <v>5</v>
      </c>
      <c r="I270" s="22" t="inlineStr">
        <is>
          <t>Não</t>
        </is>
      </c>
      <c r="J270" s="22" t="n">
        <v>4</v>
      </c>
      <c r="K270" s="22" t="n">
        <v>2</v>
      </c>
      <c r="L270" s="22" t="n">
        <v>14</v>
      </c>
    </row>
    <row r="271">
      <c r="A271" s="59" t="n">
        <v>14</v>
      </c>
      <c r="B271" s="21" t="n">
        <v>6</v>
      </c>
      <c r="C271" s="21" t="n">
        <v>3</v>
      </c>
      <c r="D271" s="21" t="n">
        <v>2</v>
      </c>
      <c r="E271" s="21" t="n">
        <v>7</v>
      </c>
      <c r="F271" s="21" t="n">
        <v>7</v>
      </c>
      <c r="G271" s="21" t="inlineStr">
        <is>
          <t>Não</t>
        </is>
      </c>
      <c r="H271" s="21" t="n">
        <v>5</v>
      </c>
      <c r="I271" s="21" t="inlineStr">
        <is>
          <t>Não</t>
        </is>
      </c>
      <c r="J271" s="21" t="n">
        <v>4</v>
      </c>
      <c r="K271" s="21" t="n">
        <v>2</v>
      </c>
      <c r="L271" s="21" t="n">
        <v>14</v>
      </c>
    </row>
    <row r="272">
      <c r="A272" s="58" t="n">
        <v>15</v>
      </c>
      <c r="B272" s="22" t="n">
        <v>6</v>
      </c>
      <c r="C272" s="22" t="n">
        <v>3</v>
      </c>
      <c r="D272" s="22" t="n">
        <v>2</v>
      </c>
      <c r="E272" s="22" t="n">
        <v>8</v>
      </c>
      <c r="F272" s="22" t="n">
        <v>8</v>
      </c>
      <c r="G272" s="22" t="inlineStr">
        <is>
          <t>Não</t>
        </is>
      </c>
      <c r="H272" s="22" t="n">
        <v>6</v>
      </c>
      <c r="I272" s="22" t="inlineStr">
        <is>
          <t>Sim</t>
        </is>
      </c>
      <c r="J272" s="22" t="n">
        <v>4</v>
      </c>
      <c r="K272" s="22" t="n">
        <v>2</v>
      </c>
      <c r="L272" s="22" t="n">
        <v>14</v>
      </c>
    </row>
    <row r="273">
      <c r="A273" s="59" t="n">
        <v>16</v>
      </c>
      <c r="B273" s="21" t="n">
        <v>7</v>
      </c>
      <c r="C273" s="21" t="n">
        <v>3</v>
      </c>
      <c r="D273" s="21" t="n">
        <v>2</v>
      </c>
      <c r="E273" s="21" t="n">
        <v>8</v>
      </c>
      <c r="F273" s="21" t="n">
        <v>8</v>
      </c>
      <c r="G273" s="21" t="inlineStr">
        <is>
          <t>Sim</t>
        </is>
      </c>
      <c r="H273" s="21" t="n">
        <v>6</v>
      </c>
      <c r="I273" s="21" t="inlineStr">
        <is>
          <t>Não</t>
        </is>
      </c>
      <c r="J273" s="21" t="n">
        <v>4</v>
      </c>
      <c r="K273" s="21" t="n">
        <v>2</v>
      </c>
      <c r="L273" s="21" t="n">
        <v>16</v>
      </c>
    </row>
    <row r="274">
      <c r="A274" s="58" t="n">
        <v>17</v>
      </c>
      <c r="B274" s="22" t="n">
        <v>7</v>
      </c>
      <c r="C274" s="22" t="n">
        <v>4</v>
      </c>
      <c r="D274" s="22" t="n">
        <v>2</v>
      </c>
      <c r="E274" s="22" t="n">
        <v>9</v>
      </c>
      <c r="F274" s="22" t="n">
        <v>8</v>
      </c>
      <c r="G274" s="22" t="inlineStr">
        <is>
          <t>Sim</t>
        </is>
      </c>
      <c r="H274" s="22" t="n">
        <v>6</v>
      </c>
      <c r="I274" s="22" t="inlineStr">
        <is>
          <t>Não</t>
        </is>
      </c>
      <c r="J274" s="22" t="n">
        <v>5</v>
      </c>
      <c r="K274" s="22" t="n">
        <v>3</v>
      </c>
      <c r="L274" s="22" t="n">
        <v>16</v>
      </c>
    </row>
    <row r="275">
      <c r="A275" s="59" t="n">
        <v>18</v>
      </c>
      <c r="B275" s="21" t="n">
        <v>7</v>
      </c>
      <c r="C275" s="21" t="n">
        <v>4</v>
      </c>
      <c r="D275" s="21" t="n">
        <v>2</v>
      </c>
      <c r="E275" s="21" t="n">
        <v>9</v>
      </c>
      <c r="F275" s="21" t="n">
        <v>8</v>
      </c>
      <c r="G275" s="21" t="inlineStr">
        <is>
          <t>Sim</t>
        </is>
      </c>
      <c r="H275" s="21" t="n">
        <v>7</v>
      </c>
      <c r="I275" s="21" t="inlineStr">
        <is>
          <t>Sim</t>
        </is>
      </c>
      <c r="J275" s="21" t="n">
        <v>5</v>
      </c>
      <c r="K275" s="21" t="n">
        <v>3</v>
      </c>
      <c r="L275" s="21" t="n">
        <v>16</v>
      </c>
    </row>
    <row r="276">
      <c r="A276" s="58" t="n">
        <v>19</v>
      </c>
      <c r="B276" s="22" t="n">
        <v>8</v>
      </c>
      <c r="C276" s="22" t="n">
        <v>4</v>
      </c>
      <c r="D276" s="22" t="n">
        <v>2</v>
      </c>
      <c r="E276" s="22" t="n">
        <v>10</v>
      </c>
      <c r="F276" s="22" t="n">
        <v>8</v>
      </c>
      <c r="G276" s="22" t="inlineStr">
        <is>
          <t>Sim</t>
        </is>
      </c>
      <c r="H276" s="22" t="n">
        <v>7</v>
      </c>
      <c r="I276" s="22" t="inlineStr">
        <is>
          <t>Não</t>
        </is>
      </c>
      <c r="J276" s="22" t="n">
        <v>5</v>
      </c>
      <c r="K276" s="22" t="n">
        <v>3</v>
      </c>
      <c r="L276" s="22" t="n">
        <v>18</v>
      </c>
    </row>
    <row r="277">
      <c r="A277" s="59" t="n">
        <v>20</v>
      </c>
      <c r="B277" s="21" t="n">
        <v>8</v>
      </c>
      <c r="C277" s="21" t="n">
        <v>5</v>
      </c>
      <c r="D277" s="21" t="n">
        <v>3</v>
      </c>
      <c r="E277" s="21" t="n">
        <v>10</v>
      </c>
      <c r="F277" s="21" t="n">
        <v>8</v>
      </c>
      <c r="G277" s="21" t="inlineStr">
        <is>
          <t>Sim</t>
        </is>
      </c>
      <c r="H277" s="21" t="n">
        <v>7</v>
      </c>
      <c r="I277" s="21" t="inlineStr">
        <is>
          <t>Não</t>
        </is>
      </c>
      <c r="J277" s="21" t="n">
        <v>5</v>
      </c>
      <c r="K277" s="21" t="n">
        <v>3</v>
      </c>
      <c r="L277" s="21" t="n">
        <v>18</v>
      </c>
    </row>
    <row r="278"/>
    <row r="279">
      <c r="A279" s="14" t="inlineStr">
        <is>
          <t>Recursos do grupo e equipamento por faixa (mesa de 4) — 26.3</t>
        </is>
      </c>
    </row>
    <row r="280" ht="26" customHeight="1">
      <c r="A280" s="7" t="inlineStr">
        <is>
          <t>Faixa</t>
        </is>
      </c>
      <c r="B280" s="7" t="inlineStr">
        <is>
          <t>PH (máx. / início / geração)</t>
        </is>
      </c>
      <c r="C280" s="7" t="inlineStr">
        <is>
          <t>Ultimate (Nível equiv. / média)</t>
        </is>
      </c>
      <c r="D280" s="7" t="inlineStr">
        <is>
          <t>Cone de Luz máx.</t>
        </is>
      </c>
      <c r="E280" s="7" t="inlineStr">
        <is>
          <t>Relíquias</t>
        </is>
      </c>
      <c r="F280" s="7" t="inlineStr">
        <is>
          <t>Ressonância</t>
        </is>
      </c>
      <c r="G280" s="7" t="inlineStr">
        <is>
          <t>Pontos do Memoespírito</t>
        </is>
      </c>
      <c r="H280" s="7" t="inlineStr">
        <is>
          <t>Teto de bônus somado</t>
        </is>
      </c>
    </row>
    <row r="281">
      <c r="A281" s="58" t="inlineStr">
        <is>
          <t>1-4</t>
        </is>
      </c>
      <c r="B281" s="22" t="inlineStr">
        <is>
          <t>5 / 3 / +1</t>
        </is>
      </c>
      <c r="C281" s="22" t="inlineStr">
        <is>
          <t>2 / 27</t>
        </is>
      </c>
      <c r="D281" s="22" t="inlineStr">
        <is>
          <t>Nível 1</t>
        </is>
      </c>
      <c r="E281" s="22" t="inlineStr">
        <is>
          <t>Tier I</t>
        </is>
      </c>
      <c r="F281" s="22" t="inlineStr">
        <is>
          <t>—</t>
        </is>
      </c>
      <c r="G281" s="22" t="inlineStr">
        <is>
          <t>12-14</t>
        </is>
      </c>
      <c r="H281" s="22" t="inlineStr">
        <is>
          <t>+3</t>
        </is>
      </c>
    </row>
    <row r="282">
      <c r="A282" s="59" t="inlineStr">
        <is>
          <t>5-8</t>
        </is>
      </c>
      <c r="B282" s="21" t="inlineStr">
        <is>
          <t>5 / 3 / +1</t>
        </is>
      </c>
      <c r="C282" s="21" t="inlineStr">
        <is>
          <t>3 / 39</t>
        </is>
      </c>
      <c r="D282" s="21" t="inlineStr">
        <is>
          <t>Nível 2</t>
        </is>
      </c>
      <c r="E282" s="21" t="inlineStr">
        <is>
          <t>Tier I → II (7)</t>
        </is>
      </c>
      <c r="F282" s="21" t="inlineStr">
        <is>
          <t>I (nível 5)</t>
        </is>
      </c>
      <c r="G282" s="21" t="inlineStr">
        <is>
          <t>14-16</t>
        </is>
      </c>
      <c r="H282" s="21" t="inlineStr">
        <is>
          <t>+3</t>
        </is>
      </c>
    </row>
    <row r="283">
      <c r="A283" s="58" t="inlineStr">
        <is>
          <t>9-12</t>
        </is>
      </c>
      <c r="B283" s="22" t="inlineStr">
        <is>
          <t>6 / 4 / +2</t>
        </is>
      </c>
      <c r="C283" s="22" t="inlineStr">
        <is>
          <t>4 / 63</t>
        </is>
      </c>
      <c r="D283" s="22" t="inlineStr">
        <is>
          <t>Nível 3</t>
        </is>
      </c>
      <c r="E283" s="22" t="inlineStr">
        <is>
          <t>Tier II</t>
        </is>
      </c>
      <c r="F283" s="22" t="inlineStr">
        <is>
          <t>II (nível 10)</t>
        </is>
      </c>
      <c r="G283" s="22" t="inlineStr">
        <is>
          <t>16-18</t>
        </is>
      </c>
      <c r="H283" s="22" t="inlineStr">
        <is>
          <t>+3 → +4 (10)</t>
        </is>
      </c>
    </row>
    <row r="284">
      <c r="A284" s="59" t="inlineStr">
        <is>
          <t>13-16</t>
        </is>
      </c>
      <c r="B284" s="21" t="inlineStr">
        <is>
          <t>6 / 4 / +2</t>
        </is>
      </c>
      <c r="C284" s="21" t="inlineStr">
        <is>
          <t>5 / 105</t>
        </is>
      </c>
      <c r="D284" s="21" t="inlineStr">
        <is>
          <t>Nível 4</t>
        </is>
      </c>
      <c r="E284" s="21" t="inlineStr">
        <is>
          <t>Tier III</t>
        </is>
      </c>
      <c r="F284" s="21" t="inlineStr">
        <is>
          <t>III (nível 15)</t>
        </is>
      </c>
      <c r="G284" s="21" t="inlineStr">
        <is>
          <t>18-20</t>
        </is>
      </c>
      <c r="H284" s="21" t="inlineStr">
        <is>
          <t>+4 → +5 (16)</t>
        </is>
      </c>
    </row>
    <row r="285">
      <c r="A285" s="58" t="inlineStr">
        <is>
          <t>17-20</t>
        </is>
      </c>
      <c r="B285" s="22" t="inlineStr">
        <is>
          <t>7 / 5 / +2</t>
        </is>
      </c>
      <c r="C285" s="22" t="inlineStr">
        <is>
          <t>6 / 147</t>
        </is>
      </c>
      <c r="D285" s="22" t="inlineStr">
        <is>
          <t>Nível 5</t>
        </is>
      </c>
      <c r="E285" s="22" t="inlineStr">
        <is>
          <t>Tier III → IV (18)</t>
        </is>
      </c>
      <c r="F285" s="22" t="inlineStr">
        <is>
          <t>IV (nível 20)</t>
        </is>
      </c>
      <c r="G285" s="22" t="inlineStr">
        <is>
          <t>20-22</t>
        </is>
      </c>
      <c r="H285" s="22" t="inlineStr">
        <is>
          <t>+5</t>
        </is>
      </c>
    </row>
    <row r="286"/>
    <row r="287">
      <c r="A287" s="14" t="inlineStr">
        <is>
          <t>Ressonâncias — 26.7</t>
        </is>
      </c>
    </row>
    <row r="288">
      <c r="A288" s="7" t="inlineStr">
        <is>
          <t>Ressonância</t>
        </is>
      </c>
      <c r="B288" s="7" t="inlineStr">
        <is>
          <t>Nível</t>
        </is>
      </c>
      <c r="C288" s="7" t="inlineStr">
        <is>
          <t>Escolha uma opção</t>
        </is>
      </c>
    </row>
    <row r="289" ht="71" customHeight="1">
      <c r="A289" s="58" t="inlineStr">
        <is>
          <t>I</t>
        </is>
      </c>
      <c r="B289" s="22" t="n">
        <v>5</v>
      </c>
      <c r="C289" s="4" t="inlineStr">
        <is>
          <t>1 uso por combate de uma Habilidade de Nível 3 ou menor sem custo de PH; ou +1 de Velocidade permanente</t>
        </is>
      </c>
    </row>
    <row r="290" ht="82" customHeight="1">
      <c r="A290" s="59" t="inlineStr">
        <is>
          <t>II</t>
        </is>
      </c>
      <c r="B290" s="21" t="n">
        <v>10</v>
      </c>
      <c r="C290" s="9" t="inlineStr">
        <is>
          <t>Sua Ultimate ganha um efeito extra, dentro dos limites de buff e debuff lidos no Nível equivalente da sua faixa (capítulo 17)</t>
        </is>
      </c>
    </row>
    <row r="291" ht="71" customHeight="1">
      <c r="A291" s="58" t="inlineStr">
        <is>
          <t>III</t>
        </is>
      </c>
      <c r="B291" s="22" t="n">
        <v>15</v>
      </c>
      <c r="C291" s="4" t="inlineStr">
        <is>
          <t>Uma Habilidade sua sobe 1 Nível de efeito e passa a custar o PH do Nível novo, sem passar do seu Nível máximo</t>
        </is>
      </c>
    </row>
    <row r="292" ht="82" customHeight="1">
      <c r="A292" s="59" t="inlineStr">
        <is>
          <t>IV</t>
        </is>
      </c>
      <c r="B292" s="21" t="n">
        <v>20</v>
      </c>
      <c r="C292" s="9" t="inlineStr">
        <is>
          <t>Sua Ultimate ativa com 80 de Energia e consome 80 (o teto do medidor continua 100); ou sua Bênção Avatar afeta um alvo adicional</t>
        </is>
      </c>
    </row>
    <row r="293"/>
    <row r="294">
      <c r="A294" s="14" t="inlineStr">
        <is>
          <t>Níveis de Habilidade — 16.3</t>
        </is>
      </c>
    </row>
    <row r="295" ht="26" customHeight="1">
      <c r="A295" s="7" t="inlineStr">
        <is>
          <t>Nível</t>
        </is>
      </c>
      <c r="B295" s="7" t="inlineStr">
        <is>
          <t>Dano</t>
        </is>
      </c>
      <c r="C295" s="7" t="inlineStr">
        <is>
          <t>Dados de dano</t>
        </is>
      </c>
      <c r="D295" s="7" t="inlineStr">
        <is>
          <t>Face do dano</t>
        </is>
      </c>
      <c r="E295" s="7" t="inlineStr">
        <is>
          <t>Média do dano</t>
        </is>
      </c>
      <c r="F295" s="7" t="inlineStr">
        <is>
          <t>Cura</t>
        </is>
      </c>
      <c r="G295" s="7" t="inlineStr">
        <is>
          <t>Dados de cura</t>
        </is>
      </c>
      <c r="H295" s="7" t="inlineStr">
        <is>
          <t>Face da cura</t>
        </is>
      </c>
      <c r="I295" s="7" t="inlineStr">
        <is>
          <t>Média da cura</t>
        </is>
      </c>
      <c r="J295" s="7" t="inlineStr">
        <is>
          <t>Custo (PH)</t>
        </is>
      </c>
      <c r="K295" s="7" t="inlineStr">
        <is>
          <t>Redução de Tenacidade</t>
        </is>
      </c>
      <c r="L295" s="7" t="inlineStr">
        <is>
          <t>Alcance (cumulativo)</t>
        </is>
      </c>
    </row>
    <row r="296">
      <c r="A296" s="58" t="n">
        <v>1</v>
      </c>
      <c r="B296" s="22" t="inlineStr">
        <is>
          <t>6d6</t>
        </is>
      </c>
      <c r="C296" s="22" t="n">
        <v>6</v>
      </c>
      <c r="D296" s="22" t="n">
        <v>6</v>
      </c>
      <c r="E296" s="22" t="n">
        <v>21</v>
      </c>
      <c r="F296" s="22" t="inlineStr">
        <is>
          <t>5d8</t>
        </is>
      </c>
      <c r="G296" s="22" t="n">
        <v>5</v>
      </c>
      <c r="H296" s="22" t="n">
        <v>8</v>
      </c>
      <c r="I296" s="22" t="n">
        <v>22</v>
      </c>
      <c r="J296" s="22" t="n">
        <v>1</v>
      </c>
      <c r="K296" s="22" t="n">
        <v>2</v>
      </c>
      <c r="L296" s="22" t="inlineStr">
        <is>
          <t>Pessoal, Curta</t>
        </is>
      </c>
    </row>
    <row r="297">
      <c r="A297" s="59" t="n">
        <v>2</v>
      </c>
      <c r="B297" s="21" t="inlineStr">
        <is>
          <t>5d10</t>
        </is>
      </c>
      <c r="C297" s="21" t="n">
        <v>5</v>
      </c>
      <c r="D297" s="21" t="n">
        <v>10</v>
      </c>
      <c r="E297" s="21" t="n">
        <v>27</v>
      </c>
      <c r="F297" s="21" t="inlineStr">
        <is>
          <t>6d10</t>
        </is>
      </c>
      <c r="G297" s="21" t="n">
        <v>6</v>
      </c>
      <c r="H297" s="21" t="n">
        <v>10</v>
      </c>
      <c r="I297" s="21" t="n">
        <v>33</v>
      </c>
      <c r="J297" s="21" t="n">
        <v>1</v>
      </c>
      <c r="K297" s="21" t="n">
        <v>2</v>
      </c>
      <c r="L297" s="21" t="inlineStr">
        <is>
          <t>+ Média</t>
        </is>
      </c>
    </row>
    <row r="298">
      <c r="A298" s="58" t="n">
        <v>3</v>
      </c>
      <c r="B298" s="22" t="inlineStr">
        <is>
          <t>6d12</t>
        </is>
      </c>
      <c r="C298" s="22" t="n">
        <v>6</v>
      </c>
      <c r="D298" s="22" t="n">
        <v>12</v>
      </c>
      <c r="E298" s="22" t="n">
        <v>39</v>
      </c>
      <c r="F298" s="22" t="inlineStr">
        <is>
          <t>8d12</t>
        </is>
      </c>
      <c r="G298" s="22" t="n">
        <v>8</v>
      </c>
      <c r="H298" s="22" t="n">
        <v>12</v>
      </c>
      <c r="I298" s="22" t="n">
        <v>52</v>
      </c>
      <c r="J298" s="22" t="n">
        <v>2</v>
      </c>
      <c r="K298" s="22" t="n">
        <v>3</v>
      </c>
      <c r="L298" s="22" t="inlineStr">
        <is>
          <t>+ Longa</t>
        </is>
      </c>
    </row>
    <row r="299">
      <c r="A299" s="59" t="n">
        <v>4</v>
      </c>
      <c r="B299" s="21" t="inlineStr">
        <is>
          <t>6d20</t>
        </is>
      </c>
      <c r="C299" s="21" t="n">
        <v>6</v>
      </c>
      <c r="D299" s="21" t="n">
        <v>20</v>
      </c>
      <c r="E299" s="21" t="n">
        <v>63</v>
      </c>
      <c r="F299" s="21" t="inlineStr">
        <is>
          <t>7d20</t>
        </is>
      </c>
      <c r="G299" s="21" t="n">
        <v>7</v>
      </c>
      <c r="H299" s="21" t="n">
        <v>20</v>
      </c>
      <c r="I299" s="21" t="n">
        <v>73</v>
      </c>
      <c r="J299" s="21" t="n">
        <v>3</v>
      </c>
      <c r="K299" s="21" t="n">
        <v>4</v>
      </c>
      <c r="L299" s="21" t="inlineStr">
        <is>
          <t>+ Extrema</t>
        </is>
      </c>
    </row>
    <row r="300">
      <c r="A300" s="58" t="n">
        <v>5</v>
      </c>
      <c r="B300" s="22" t="inlineStr">
        <is>
          <t>10d20</t>
        </is>
      </c>
      <c r="C300" s="22" t="n">
        <v>10</v>
      </c>
      <c r="D300" s="22" t="n">
        <v>20</v>
      </c>
      <c r="E300" s="22" t="n">
        <v>105</v>
      </c>
      <c r="F300" s="22" t="inlineStr">
        <is>
          <t>10d20</t>
        </is>
      </c>
      <c r="G300" s="22" t="n">
        <v>10</v>
      </c>
      <c r="H300" s="22" t="n">
        <v>20</v>
      </c>
      <c r="I300" s="22" t="n">
        <v>105</v>
      </c>
      <c r="J300" s="22" t="n">
        <v>4</v>
      </c>
      <c r="K300" s="22" t="n">
        <v>5</v>
      </c>
      <c r="L300" s="22" t="inlineStr">
        <is>
          <t>Extrema</t>
        </is>
      </c>
    </row>
    <row r="301">
      <c r="A301" s="59" t="n">
        <v>6</v>
      </c>
      <c r="B301" s="21" t="inlineStr">
        <is>
          <t>14d20</t>
        </is>
      </c>
      <c r="C301" s="21" t="n">
        <v>14</v>
      </c>
      <c r="D301" s="21" t="n">
        <v>20</v>
      </c>
      <c r="E301" s="21" t="n">
        <v>147</v>
      </c>
      <c r="F301" s="21" t="inlineStr">
        <is>
          <t>14d20</t>
        </is>
      </c>
      <c r="G301" s="21" t="n">
        <v>14</v>
      </c>
      <c r="H301" s="21" t="n">
        <v>20</v>
      </c>
      <c r="I301" s="21" t="n">
        <v>147</v>
      </c>
      <c r="J301" s="21" t="n">
        <v>5</v>
      </c>
      <c r="K301" s="21" t="n">
        <v>6</v>
      </c>
      <c r="L301" s="21" t="inlineStr">
        <is>
          <t>Extrema</t>
        </is>
      </c>
    </row>
    <row r="302">
      <c r="A302" s="58" t="n">
        <v>7</v>
      </c>
      <c r="B302" s="22" t="inlineStr">
        <is>
          <t>18d20</t>
        </is>
      </c>
      <c r="C302" s="22" t="n">
        <v>18</v>
      </c>
      <c r="D302" s="22" t="n">
        <v>20</v>
      </c>
      <c r="E302" s="22" t="n">
        <v>189</v>
      </c>
      <c r="F302" s="22" t="inlineStr">
        <is>
          <t>18d20</t>
        </is>
      </c>
      <c r="G302" s="22" t="n">
        <v>18</v>
      </c>
      <c r="H302" s="22" t="n">
        <v>20</v>
      </c>
      <c r="I302" s="22" t="n">
        <v>189</v>
      </c>
      <c r="J302" s="22" t="n">
        <v>6</v>
      </c>
      <c r="K302" s="22" t="n">
        <v>7</v>
      </c>
      <c r="L302" s="22" t="inlineStr">
        <is>
          <t>Extrema</t>
        </is>
      </c>
    </row>
    <row r="303"/>
    <row r="304">
      <c r="A304" s="14" t="inlineStr">
        <is>
          <t>Buff e Debuff — 16.5</t>
        </is>
      </c>
    </row>
    <row r="305" ht="26" customHeight="1">
      <c r="A305" s="7" t="inlineStr">
        <is>
          <t>Nível</t>
        </is>
      </c>
      <c r="B305" s="7" t="inlineStr">
        <is>
          <t>O que você pode escrever</t>
        </is>
      </c>
      <c r="C305" s="7" t="inlineStr">
        <is>
          <t>Duração</t>
        </is>
      </c>
      <c r="D305" s="7" t="inlineStr">
        <is>
          <t>Alvos</t>
        </is>
      </c>
    </row>
    <row r="306" ht="48" customHeight="1">
      <c r="A306" s="58" t="n">
        <v>1</v>
      </c>
      <c r="B306" s="4" t="inlineStr">
        <is>
          <t>+1 ou -1 em um tipo de rolagem, ou PV temporários = 1 × Eficiência</t>
        </is>
      </c>
      <c r="C306" s="22" t="inlineStr">
        <is>
          <t>1 turno</t>
        </is>
      </c>
      <c r="D306" s="22" t="inlineStr">
        <is>
          <t>1</t>
        </is>
      </c>
    </row>
    <row r="307" ht="37" customHeight="1">
      <c r="A307" s="59" t="n">
        <v>2</v>
      </c>
      <c r="B307" s="9" t="inlineStr">
        <is>
          <t>+1/-1 e um efeito menor, ou +2/-2 em um tipo</t>
        </is>
      </c>
      <c r="C307" s="21" t="inlineStr">
        <is>
          <t>2 turnos</t>
        </is>
      </c>
      <c r="D307" s="21" t="inlineStr">
        <is>
          <t>1</t>
        </is>
      </c>
    </row>
    <row r="308" ht="71" customHeight="1">
      <c r="A308" s="58" t="n">
        <v>3</v>
      </c>
      <c r="B308" s="4" t="inlineStr">
        <is>
          <t>+2/-2, ou +1/-1 em dois tipos; PV temporários = 2 × Eficiência; aplica 1 condição da lista do capítulo 21</t>
        </is>
      </c>
      <c r="C308" s="22" t="inlineStr">
        <is>
          <t>2 turnos</t>
        </is>
      </c>
      <c r="D308" s="22" t="inlineStr">
        <is>
          <t>2</t>
        </is>
      </c>
    </row>
    <row r="309" ht="71" customHeight="1">
      <c r="A309" s="59" t="n">
        <v>4</v>
      </c>
      <c r="B309" s="9" t="inlineStr">
        <is>
          <t>+3/-3; aplica ou remove 1 condição; PV temporários = 3 × Eficiência; Implante de Fraqueza</t>
        </is>
      </c>
      <c r="C309" s="21" t="inlineStr">
        <is>
          <t>2 turnos</t>
        </is>
      </c>
      <c r="D309" s="21" t="inlineStr">
        <is>
          <t>3 ou área</t>
        </is>
      </c>
    </row>
    <row r="310" ht="60" customHeight="1">
      <c r="A310" s="58" t="n">
        <v>5</v>
      </c>
      <c r="B310" s="4" t="inlineStr">
        <is>
          <t>+3/-3 e um efeito maior (Avanço Total, Ação Extra, imunidade a 1 condição)</t>
        </is>
      </c>
      <c r="C310" s="22" t="inlineStr">
        <is>
          <t>3 turnos</t>
        </is>
      </c>
      <c r="D310" s="4" t="inlineStr">
        <is>
          <t>Buff: todos os aliados (até 6) · Debuff: 3 alvos</t>
        </is>
      </c>
    </row>
    <row r="311" ht="37" customHeight="1">
      <c r="A311" s="59" t="n">
        <v>6</v>
      </c>
      <c r="B311" s="9" t="inlineStr">
        <is>
          <t>+4/-4 e um efeito maior</t>
        </is>
      </c>
      <c r="C311" s="21" t="inlineStr">
        <is>
          <t>3 turnos</t>
        </is>
      </c>
      <c r="D311" s="9" t="inlineStr">
        <is>
          <t>Buff: todos os aliados (até 6) · Debuff: 4 alvos</t>
        </is>
      </c>
    </row>
    <row r="312" ht="37" customHeight="1">
      <c r="A312" s="58" t="n">
        <v>7</v>
      </c>
      <c r="B312" s="4" t="inlineStr">
        <is>
          <t>+5/-5 e dois efeitos maiores</t>
        </is>
      </c>
      <c r="C312" s="22" t="inlineStr">
        <is>
          <t>3 turnos</t>
        </is>
      </c>
      <c r="D312" s="4" t="inlineStr">
        <is>
          <t>Buff: todos os aliados (até 6) · Debuff: 4 alvos</t>
        </is>
      </c>
    </row>
    <row r="313"/>
    <row r="314">
      <c r="A314" s="14" t="inlineStr">
        <is>
          <t>Passivas — 16.5</t>
        </is>
      </c>
    </row>
    <row r="315" ht="26" customHeight="1">
      <c r="A315" s="7" t="inlineStr">
        <is>
          <t>Nível</t>
        </is>
      </c>
      <c r="B315" s="7" t="inlineStr">
        <is>
          <t>O que você pode escrever</t>
        </is>
      </c>
    </row>
    <row r="316" ht="60" customHeight="1">
      <c r="A316" s="58" t="n">
        <v>1</v>
      </c>
      <c r="B316" s="4" t="inlineStr">
        <is>
          <t>+1 fixo pequeno, ou um gatilho de +1 dado do seu Elemento 1 vez por turno</t>
        </is>
      </c>
    </row>
    <row r="317" ht="48" customHeight="1">
      <c r="A317" s="59" t="n">
        <v>2</v>
      </c>
      <c r="B317" s="9" t="inlineStr">
        <is>
          <t>+1 fixo e uma condição de gatilho (ex.: "quando você Quebra um inimigo")</t>
        </is>
      </c>
    </row>
    <row r="318" ht="26" customHeight="1">
      <c r="A318" s="58" t="n">
        <v>3</v>
      </c>
      <c r="B318" s="4" t="inlineStr">
        <is>
          <t>+2 fixo, ou 1 RD, ou +1 de Velocidade</t>
        </is>
      </c>
    </row>
    <row r="319" ht="37" customHeight="1">
      <c r="A319" s="59" t="n">
        <v>4</v>
      </c>
      <c r="B319" s="9" t="inlineStr">
        <is>
          <t>+2 e um gatilho que concede dado extra; ou 2 RD</t>
        </is>
      </c>
    </row>
    <row r="320" ht="48" customHeight="1">
      <c r="A320" s="58" t="n">
        <v>5</v>
      </c>
      <c r="B320" s="4" t="inlineStr">
        <is>
          <t>Um gatilho forte 1 vez por combate (ex.: "ao cair a 0 PV, fique com 1 PV")</t>
        </is>
      </c>
    </row>
    <row r="321" ht="26" customHeight="1">
      <c r="A321" s="59" t="n">
        <v>6</v>
      </c>
      <c r="B321" s="9" t="inlineStr">
        <is>
          <t>+3 fixo e um gatilho forte</t>
        </is>
      </c>
    </row>
    <row r="322" ht="82" customHeight="1">
      <c r="A322" s="58" t="n">
        <v>7</v>
      </c>
      <c r="B322" s="4" t="inlineStr">
        <is>
          <t>Um gatilho que altera uma regra sua, 1 vez por Ciclo (ex.: "seus Ataques Básicos reduzem 2 de Tenacidade em vez de 1")</t>
        </is>
      </c>
    </row>
    <row r="323"/>
    <row r="324">
      <c r="A324" s="14" t="inlineStr">
        <is>
          <t>Ultimate: Nível equivalente por faixa — 17.3</t>
        </is>
      </c>
    </row>
    <row r="325" ht="26" customHeight="1">
      <c r="A325" s="7" t="inlineStr">
        <is>
          <t>Faixa de nível</t>
        </is>
      </c>
      <c r="B325" s="7" t="inlineStr">
        <is>
          <t>Nível equivalente</t>
        </is>
      </c>
      <c r="C325" s="7" t="inlineStr">
        <is>
          <t>Dano</t>
        </is>
      </c>
      <c r="D325" s="7" t="inlineStr">
        <is>
          <t>Dados de dano</t>
        </is>
      </c>
      <c r="E325" s="7" t="inlineStr">
        <is>
          <t>Face do dano</t>
        </is>
      </c>
      <c r="F325" s="7" t="inlineStr">
        <is>
          <t>Média do dano</t>
        </is>
      </c>
      <c r="G325" s="7" t="inlineStr">
        <is>
          <t>Cura</t>
        </is>
      </c>
      <c r="H325" s="7" t="inlineStr">
        <is>
          <t>Dados de cura</t>
        </is>
      </c>
      <c r="I325" s="7" t="inlineStr">
        <is>
          <t>Face da cura</t>
        </is>
      </c>
      <c r="J325" s="7" t="inlineStr">
        <is>
          <t>Média da cura</t>
        </is>
      </c>
      <c r="K325" s="7" t="inlineStr">
        <is>
          <t>Redução de Tenacidade</t>
        </is>
      </c>
    </row>
    <row r="326">
      <c r="A326" s="58" t="inlineStr">
        <is>
          <t>1-4</t>
        </is>
      </c>
      <c r="B326" s="22" t="n">
        <v>2</v>
      </c>
      <c r="C326" s="22" t="inlineStr">
        <is>
          <t>5d10</t>
        </is>
      </c>
      <c r="D326" s="22" t="n">
        <v>5</v>
      </c>
      <c r="E326" s="22" t="n">
        <v>10</v>
      </c>
      <c r="F326" s="22" t="n">
        <v>27</v>
      </c>
      <c r="G326" s="22" t="inlineStr">
        <is>
          <t>6d10</t>
        </is>
      </c>
      <c r="H326" s="22" t="n">
        <v>6</v>
      </c>
      <c r="I326" s="22" t="n">
        <v>10</v>
      </c>
      <c r="J326" s="22" t="n">
        <v>33</v>
      </c>
      <c r="K326" s="22" t="n">
        <v>5</v>
      </c>
    </row>
    <row r="327">
      <c r="A327" s="59" t="inlineStr">
        <is>
          <t>5-8</t>
        </is>
      </c>
      <c r="B327" s="21" t="n">
        <v>3</v>
      </c>
      <c r="C327" s="21" t="inlineStr">
        <is>
          <t>6d12</t>
        </is>
      </c>
      <c r="D327" s="21" t="n">
        <v>6</v>
      </c>
      <c r="E327" s="21" t="n">
        <v>12</v>
      </c>
      <c r="F327" s="21" t="n">
        <v>39</v>
      </c>
      <c r="G327" s="21" t="inlineStr">
        <is>
          <t>8d12</t>
        </is>
      </c>
      <c r="H327" s="21" t="n">
        <v>8</v>
      </c>
      <c r="I327" s="21" t="n">
        <v>12</v>
      </c>
      <c r="J327" s="21" t="n">
        <v>52</v>
      </c>
      <c r="K327" s="21" t="n">
        <v>5</v>
      </c>
    </row>
    <row r="328">
      <c r="A328" s="58" t="inlineStr">
        <is>
          <t>9-12</t>
        </is>
      </c>
      <c r="B328" s="22" t="n">
        <v>4</v>
      </c>
      <c r="C328" s="22" t="inlineStr">
        <is>
          <t>6d20</t>
        </is>
      </c>
      <c r="D328" s="22" t="n">
        <v>6</v>
      </c>
      <c r="E328" s="22" t="n">
        <v>20</v>
      </c>
      <c r="F328" s="22" t="n">
        <v>63</v>
      </c>
      <c r="G328" s="22" t="inlineStr">
        <is>
          <t>7d20</t>
        </is>
      </c>
      <c r="H328" s="22" t="n">
        <v>7</v>
      </c>
      <c r="I328" s="22" t="n">
        <v>20</v>
      </c>
      <c r="J328" s="22" t="n">
        <v>73</v>
      </c>
      <c r="K328" s="22" t="n">
        <v>5</v>
      </c>
    </row>
    <row r="329">
      <c r="A329" s="59" t="inlineStr">
        <is>
          <t>13-16</t>
        </is>
      </c>
      <c r="B329" s="21" t="n">
        <v>5</v>
      </c>
      <c r="C329" s="21" t="inlineStr">
        <is>
          <t>10d20</t>
        </is>
      </c>
      <c r="D329" s="21" t="n">
        <v>10</v>
      </c>
      <c r="E329" s="21" t="n">
        <v>20</v>
      </c>
      <c r="F329" s="21" t="n">
        <v>105</v>
      </c>
      <c r="G329" s="21" t="inlineStr">
        <is>
          <t>10d20</t>
        </is>
      </c>
      <c r="H329" s="21" t="n">
        <v>10</v>
      </c>
      <c r="I329" s="21" t="n">
        <v>20</v>
      </c>
      <c r="J329" s="21" t="n">
        <v>105</v>
      </c>
      <c r="K329" s="21" t="n">
        <v>5</v>
      </c>
    </row>
    <row r="330">
      <c r="A330" s="58" t="inlineStr">
        <is>
          <t>17-20</t>
        </is>
      </c>
      <c r="B330" s="22" t="n">
        <v>6</v>
      </c>
      <c r="C330" s="22" t="inlineStr">
        <is>
          <t>14d20</t>
        </is>
      </c>
      <c r="D330" s="22" t="n">
        <v>14</v>
      </c>
      <c r="E330" s="22" t="n">
        <v>20</v>
      </c>
      <c r="F330" s="22" t="n">
        <v>147</v>
      </c>
      <c r="G330" s="22" t="inlineStr">
        <is>
          <t>14d20</t>
        </is>
      </c>
      <c r="H330" s="22" t="n">
        <v>14</v>
      </c>
      <c r="I330" s="22" t="n">
        <v>20</v>
      </c>
      <c r="J330" s="22" t="n">
        <v>147</v>
      </c>
      <c r="K330" s="22" t="n">
        <v>5</v>
      </c>
    </row>
    <row r="331"/>
    <row r="332">
      <c r="A332" s="14" t="inlineStr">
        <is>
          <t>Pontos de Habilidade do grupo — 16.2</t>
        </is>
      </c>
    </row>
    <row r="333">
      <c r="A333" s="7" t="inlineStr">
        <is>
          <t>Nº de jogadores</t>
        </is>
      </c>
      <c r="B333" s="7" t="inlineStr">
        <is>
          <t>Máximo 1-8</t>
        </is>
      </c>
      <c r="C333" s="7" t="inlineStr">
        <is>
          <t>Máximo 9-16</t>
        </is>
      </c>
      <c r="D333" s="7" t="inlineStr">
        <is>
          <t>Máximo 17-20</t>
        </is>
      </c>
      <c r="E333" s="7" t="inlineStr">
        <is>
          <t>Início 1-8</t>
        </is>
      </c>
      <c r="F333" s="7" t="inlineStr">
        <is>
          <t>Início 9-16</t>
        </is>
      </c>
      <c r="G333" s="7" t="inlineStr">
        <is>
          <t>Início 17-20</t>
        </is>
      </c>
    </row>
    <row r="334">
      <c r="A334" s="58" t="n">
        <v>3</v>
      </c>
      <c r="B334" s="22" t="n">
        <v>4</v>
      </c>
      <c r="C334" s="22" t="n">
        <v>5</v>
      </c>
      <c r="D334" s="22" t="n">
        <v>6</v>
      </c>
      <c r="E334" s="22" t="n">
        <v>2</v>
      </c>
      <c r="F334" s="22" t="n">
        <v>3</v>
      </c>
      <c r="G334" s="22" t="n">
        <v>4</v>
      </c>
    </row>
    <row r="335">
      <c r="A335" s="59" t="n">
        <v>4</v>
      </c>
      <c r="B335" s="21" t="n">
        <v>5</v>
      </c>
      <c r="C335" s="21" t="n">
        <v>6</v>
      </c>
      <c r="D335" s="21" t="n">
        <v>7</v>
      </c>
      <c r="E335" s="21" t="n">
        <v>3</v>
      </c>
      <c r="F335" s="21" t="n">
        <v>4</v>
      </c>
      <c r="G335" s="21" t="n">
        <v>5</v>
      </c>
    </row>
    <row r="336">
      <c r="A336" s="58" t="n">
        <v>5</v>
      </c>
      <c r="B336" s="22" t="n">
        <v>6</v>
      </c>
      <c r="C336" s="22" t="n">
        <v>7</v>
      </c>
      <c r="D336" s="22" t="n">
        <v>8</v>
      </c>
      <c r="E336" s="22" t="n">
        <v>4</v>
      </c>
      <c r="F336" s="22" t="n">
        <v>5</v>
      </c>
      <c r="G336" s="22" t="n">
        <v>6</v>
      </c>
    </row>
    <row r="337">
      <c r="A337" s="59" t="n">
        <v>6</v>
      </c>
      <c r="B337" s="21" t="n">
        <v>7</v>
      </c>
      <c r="C337" s="21" t="n">
        <v>8</v>
      </c>
      <c r="D337" s="21" t="n">
        <v>9</v>
      </c>
      <c r="E337" s="21" t="n">
        <v>5</v>
      </c>
      <c r="F337" s="21" t="n">
        <v>6</v>
      </c>
      <c r="G337" s="21" t="n">
        <v>7</v>
      </c>
    </row>
    <row r="338"/>
    <row r="339">
      <c r="A339" s="14" t="inlineStr">
        <is>
          <t>Custo em PH por Nível de Habilidade — 16.2</t>
        </is>
      </c>
    </row>
    <row r="340">
      <c r="A340" s="7" t="inlineStr">
        <is>
          <t>Nível da Habilidade</t>
        </is>
      </c>
      <c r="B340" s="7" t="inlineStr">
        <is>
          <t>Custo (PH)</t>
        </is>
      </c>
    </row>
    <row r="341">
      <c r="A341" s="58" t="n">
        <v>1</v>
      </c>
      <c r="B341" s="22" t="n">
        <v>1</v>
      </c>
    </row>
    <row r="342">
      <c r="A342" s="59" t="n">
        <v>2</v>
      </c>
      <c r="B342" s="21" t="n">
        <v>1</v>
      </c>
    </row>
    <row r="343">
      <c r="A343" s="58" t="n">
        <v>3</v>
      </c>
      <c r="B343" s="22" t="n">
        <v>2</v>
      </c>
    </row>
    <row r="344">
      <c r="A344" s="59" t="n">
        <v>4</v>
      </c>
      <c r="B344" s="21" t="n">
        <v>3</v>
      </c>
    </row>
    <row r="345">
      <c r="A345" s="58" t="n">
        <v>5</v>
      </c>
      <c r="B345" s="22" t="n">
        <v>4</v>
      </c>
    </row>
    <row r="346">
      <c r="A346" s="59" t="n">
        <v>6</v>
      </c>
      <c r="B346" s="21" t="n">
        <v>5</v>
      </c>
    </row>
    <row r="347">
      <c r="A347" s="58" t="n">
        <v>7</v>
      </c>
      <c r="B347" s="22" t="n">
        <v>6</v>
      </c>
    </row>
    <row r="348"/>
    <row r="349">
      <c r="A349" s="14" t="inlineStr">
        <is>
          <t>Energia — 17.2</t>
        </is>
      </c>
    </row>
    <row r="350">
      <c r="A350" s="7" t="inlineStr">
        <is>
          <t>Fonte</t>
        </is>
      </c>
      <c r="B350" s="7" t="inlineStr">
        <is>
          <t>Energia</t>
        </is>
      </c>
      <c r="C350" s="7" t="inlineStr">
        <is>
          <t>Limite</t>
        </is>
      </c>
    </row>
    <row r="351" ht="26" customHeight="1">
      <c r="A351" s="72" t="inlineStr">
        <is>
          <t>Ataque Básico (acerte ou não)</t>
        </is>
      </c>
      <c r="B351" s="22" t="inlineStr">
        <is>
          <t>+20</t>
        </is>
      </c>
      <c r="C351" s="4" t="inlineStr">
        <is>
          <t>nenhum, salvo o 1 natural</t>
        </is>
      </c>
    </row>
    <row r="352" ht="26" customHeight="1">
      <c r="A352" s="59" t="inlineStr">
        <is>
          <t>Habilidade (acerte ou não)</t>
        </is>
      </c>
      <c r="B352" s="21" t="inlineStr">
        <is>
          <t>+30</t>
        </is>
      </c>
      <c r="C352" s="9" t="inlineStr">
        <is>
          <t>nenhum, salvo o 1 natural</t>
        </is>
      </c>
    </row>
    <row r="353">
      <c r="A353" s="58" t="inlineStr">
        <is>
          <t>Sofrer dano</t>
        </is>
      </c>
      <c r="B353" s="22" t="inlineStr">
        <is>
          <t>+10</t>
        </is>
      </c>
      <c r="C353" s="22" t="inlineStr">
        <is>
          <t>1 vez por Ciclo</t>
        </is>
      </c>
    </row>
    <row r="354" ht="26" customHeight="1">
      <c r="A354" s="59" t="inlineStr">
        <is>
          <t>Derrotar um inimigo</t>
        </is>
      </c>
      <c r="B354" s="21" t="inlineStr">
        <is>
          <t>+10</t>
        </is>
      </c>
      <c r="C354" s="9" t="inlineStr">
        <is>
          <t>para quem desferiu o golpe</t>
        </is>
      </c>
    </row>
    <row r="355" ht="26" customHeight="1">
      <c r="A355" s="72" t="inlineStr">
        <is>
          <t>Quebrar a Tenacidade de um inimigo</t>
        </is>
      </c>
      <c r="B355" s="22" t="inlineStr">
        <is>
          <t>+10</t>
        </is>
      </c>
      <c r="C355" s="22" t="inlineStr">
        <is>
          <t>1 vez por Ciclo</t>
        </is>
      </c>
    </row>
    <row r="356">
      <c r="A356" s="59" t="inlineStr">
        <is>
          <t>Ativar a Ultimate</t>
        </is>
      </c>
      <c r="B356" s="21" t="inlineStr">
        <is>
          <t>-100</t>
        </is>
      </c>
      <c r="C356" s="21" t="inlineStr">
        <is>
          <t>—</t>
        </is>
      </c>
    </row>
    <row r="357" ht="48" customHeight="1">
      <c r="A357" s="58" t="inlineStr">
        <is>
          <t>Ação do Memoespírito</t>
        </is>
      </c>
      <c r="B357" s="4" t="inlineStr">
        <is>
          <t>metade do valor da ação, arredondando para baixo, para o dono</t>
        </is>
      </c>
      <c r="C357" s="22" t="inlineStr">
        <is>
          <t>—</t>
        </is>
      </c>
    </row>
    <row r="358" ht="82" customHeight="1">
      <c r="A358" s="59" t="inlineStr">
        <is>
          <t>Equipamento</t>
        </is>
      </c>
      <c r="B358" s="9" t="inlineStr">
        <is>
          <t>Corda de Ligação: +10 a +25 pelo tier, ao entrar na Fila · Cone de Luz de Nível 3 ou maior: +5 pelo Efeito Condicional</t>
        </is>
      </c>
      <c r="C358" s="9" t="inlineStr">
        <is>
          <t>1 vez por combate · 1 vez por Ciclo</t>
        </is>
      </c>
    </row>
    <row r="359"/>
    <row r="360">
      <c r="A360" s="14" t="inlineStr">
        <is>
          <t>Redução de Tenacidade — 20.3</t>
        </is>
      </c>
    </row>
    <row r="361" ht="26" customHeight="1">
      <c r="A361" s="7" t="inlineStr">
        <is>
          <t>Fonte</t>
        </is>
      </c>
      <c r="B361" s="7" t="inlineStr">
        <is>
          <t>Redução de Tenacidade</t>
        </is>
      </c>
    </row>
    <row r="362">
      <c r="A362" s="58" t="inlineStr">
        <is>
          <t>Ataque Básico</t>
        </is>
      </c>
      <c r="B362" s="22" t="inlineStr">
        <is>
          <t>1</t>
        </is>
      </c>
    </row>
    <row r="363">
      <c r="A363" s="59" t="inlineStr">
        <is>
          <t>Habilidade de Nível 1-2</t>
        </is>
      </c>
      <c r="B363" s="21" t="inlineStr">
        <is>
          <t>2</t>
        </is>
      </c>
    </row>
    <row r="364">
      <c r="A364" s="58" t="inlineStr">
        <is>
          <t>Habilidade de Nível 3</t>
        </is>
      </c>
      <c r="B364" s="22" t="inlineStr">
        <is>
          <t>3</t>
        </is>
      </c>
    </row>
    <row r="365">
      <c r="A365" s="59" t="inlineStr">
        <is>
          <t>Habilidade de Nível 4</t>
        </is>
      </c>
      <c r="B365" s="21" t="inlineStr">
        <is>
          <t>4</t>
        </is>
      </c>
    </row>
    <row r="366">
      <c r="A366" s="58" t="inlineStr">
        <is>
          <t>Habilidade de Nível 5</t>
        </is>
      </c>
      <c r="B366" s="22" t="inlineStr">
        <is>
          <t>5</t>
        </is>
      </c>
    </row>
    <row r="367">
      <c r="A367" s="59" t="inlineStr">
        <is>
          <t>Habilidade de Nível 6</t>
        </is>
      </c>
      <c r="B367" s="21" t="inlineStr">
        <is>
          <t>6</t>
        </is>
      </c>
    </row>
    <row r="368">
      <c r="A368" s="58" t="inlineStr">
        <is>
          <t>Habilidade de Nível 7</t>
        </is>
      </c>
      <c r="B368" s="22" t="inlineStr">
        <is>
          <t>7</t>
        </is>
      </c>
    </row>
    <row r="369" ht="26" customHeight="1">
      <c r="A369" s="59" t="inlineStr">
        <is>
          <t>Ultimate</t>
        </is>
      </c>
      <c r="B369" s="9" t="inlineStr">
        <is>
          <t>5, em todas as faixas</t>
        </is>
      </c>
    </row>
    <row r="370" ht="26" customHeight="1">
      <c r="A370" s="58" t="inlineStr">
        <is>
          <t>Dano Contínuo</t>
        </is>
      </c>
      <c r="B370" s="4" t="inlineStr">
        <is>
          <t>0 — só ataque reduz Tenacidade</t>
        </is>
      </c>
    </row>
    <row r="371"/>
    <row r="372">
      <c r="A372" s="14" t="inlineStr">
        <is>
          <t>Elementos e Dano de Quebra — 20.1 e 20.5</t>
        </is>
      </c>
    </row>
    <row r="373" ht="26" customHeight="1">
      <c r="A373" s="7" t="inlineStr">
        <is>
          <t>Elemento</t>
        </is>
      </c>
      <c r="B373" s="7" t="inlineStr">
        <is>
          <t>Temática</t>
        </is>
      </c>
      <c r="C373" s="7" t="inlineStr">
        <is>
          <t>O que ele entrega na Quebra</t>
        </is>
      </c>
      <c r="D373" s="7" t="inlineStr">
        <is>
          <t>Dano de Quebra</t>
        </is>
      </c>
      <c r="E373" s="7" t="inlineStr">
        <is>
          <t>Dados do Dano de Quebra</t>
        </is>
      </c>
      <c r="F373" s="7" t="inlineStr">
        <is>
          <t>Face</t>
        </is>
      </c>
      <c r="G373" s="7" t="inlineStr">
        <is>
          <t>Multiplicador da Eficiência</t>
        </is>
      </c>
      <c r="H373" s="7" t="inlineStr">
        <is>
          <t>Efeito de Quebra</t>
        </is>
      </c>
    </row>
    <row r="374" ht="37" customHeight="1">
      <c r="A374" s="58" t="inlineStr">
        <is>
          <t>Físico</t>
        </is>
      </c>
      <c r="B374" s="4" t="inlineStr">
        <is>
          <t>Impacto, lâmina, calibre, pancada</t>
        </is>
      </c>
      <c r="C374" s="4" t="inlineStr">
        <is>
          <t>Sangramento — o maior Dano de Quebra do jogo</t>
        </is>
      </c>
      <c r="D374" s="4" t="inlineStr">
        <is>
          <t>2d6 + (2 × Eficiência)</t>
        </is>
      </c>
      <c r="E374" s="22" t="n">
        <v>2</v>
      </c>
      <c r="F374" s="22" t="n">
        <v>6</v>
      </c>
      <c r="G374" s="22" t="n">
        <v>2</v>
      </c>
      <c r="H374" s="22" t="inlineStr">
        <is>
          <t>Sangramento</t>
        </is>
      </c>
    </row>
    <row r="375" ht="48" customHeight="1">
      <c r="A375" s="59" t="inlineStr">
        <is>
          <t>Fogo</t>
        </is>
      </c>
      <c r="B375" s="9" t="inlineStr">
        <is>
          <t>Combustão, forja, fúria</t>
        </is>
      </c>
      <c r="C375" s="9" t="inlineStr">
        <is>
          <t>Queimadura — empatado como maior Dano de Quebra</t>
        </is>
      </c>
      <c r="D375" s="9" t="inlineStr">
        <is>
          <t>2d6 + (2 × Eficiência)</t>
        </is>
      </c>
      <c r="E375" s="21" t="n">
        <v>2</v>
      </c>
      <c r="F375" s="21" t="n">
        <v>6</v>
      </c>
      <c r="G375" s="21" t="n">
        <v>2</v>
      </c>
      <c r="H375" s="21" t="inlineStr">
        <is>
          <t>Queimadura</t>
        </is>
      </c>
    </row>
    <row r="376" ht="37" customHeight="1">
      <c r="A376" s="58" t="inlineStr">
        <is>
          <t>Gelo</t>
        </is>
      </c>
      <c r="B376" s="4" t="inlineStr">
        <is>
          <t>Frio, paralisia, silêncio branco</t>
        </is>
      </c>
      <c r="C376" s="4" t="inlineStr">
        <is>
          <t>Congelamento — tira o turno de um Comum</t>
        </is>
      </c>
      <c r="D376" s="22" t="inlineStr">
        <is>
          <t>Eficiência</t>
        </is>
      </c>
      <c r="E376" s="22" t="n">
        <v>0</v>
      </c>
      <c r="F376" s="22" t="n">
        <v>0</v>
      </c>
      <c r="G376" s="22" t="n">
        <v>1</v>
      </c>
      <c r="H376" s="22" t="inlineStr">
        <is>
          <t>Congelamento</t>
        </is>
      </c>
    </row>
    <row r="377" ht="26" customHeight="1">
      <c r="A377" s="59" t="inlineStr">
        <is>
          <t>Raio</t>
        </is>
      </c>
      <c r="B377" s="9" t="inlineStr">
        <is>
          <t>Descarga, sobrecarga, nervo</t>
        </is>
      </c>
      <c r="C377" s="9" t="inlineStr">
        <is>
          <t>Choque — dano contínuo confiável</t>
        </is>
      </c>
      <c r="D377" s="21" t="inlineStr">
        <is>
          <t>1d6 + Eficiência</t>
        </is>
      </c>
      <c r="E377" s="21" t="n">
        <v>1</v>
      </c>
      <c r="F377" s="21" t="n">
        <v>6</v>
      </c>
      <c r="G377" s="21" t="n">
        <v>1</v>
      </c>
      <c r="H377" s="21" t="inlineStr">
        <is>
          <t>Choque</t>
        </is>
      </c>
    </row>
    <row r="378" ht="37" customHeight="1">
      <c r="A378" s="58" t="inlineStr">
        <is>
          <t>Vento</t>
        </is>
      </c>
      <c r="B378" s="4" t="inlineStr">
        <is>
          <t>Corte, pressão, erosão</t>
        </is>
      </c>
      <c r="C378" s="4" t="inlineStr">
        <is>
          <t>Cisalhamento de Vento — acumula até 5 vezes</t>
        </is>
      </c>
      <c r="D378" s="22" t="inlineStr">
        <is>
          <t>1d6 + Eficiência</t>
        </is>
      </c>
      <c r="E378" s="22" t="n">
        <v>1</v>
      </c>
      <c r="F378" s="22" t="n">
        <v>6</v>
      </c>
      <c r="G378" s="22" t="n">
        <v>1</v>
      </c>
      <c r="H378" s="4" t="inlineStr">
        <is>
          <t>Cisalhamento de Vento</t>
        </is>
      </c>
    </row>
    <row r="379" ht="37" customHeight="1">
      <c r="A379" s="59" t="inlineStr">
        <is>
          <t>Quântico</t>
        </is>
      </c>
      <c r="B379" s="9" t="inlineStr">
        <is>
          <t>Probabilidade, emaranhado, peso</t>
        </is>
      </c>
      <c r="C379" s="9" t="inlineStr">
        <is>
          <t>Embaraço — dano acumulável e Atrasa 1 casa</t>
        </is>
      </c>
      <c r="D379" s="21" t="inlineStr">
        <is>
          <t>Eficiência</t>
        </is>
      </c>
      <c r="E379" s="21" t="n">
        <v>0</v>
      </c>
      <c r="F379" s="21" t="n">
        <v>0</v>
      </c>
      <c r="G379" s="21" t="n">
        <v>1</v>
      </c>
      <c r="H379" s="21" t="inlineStr">
        <is>
          <t>Embaraço</t>
        </is>
      </c>
    </row>
    <row r="380" ht="26" customHeight="1">
      <c r="A380" s="58" t="inlineStr">
        <is>
          <t>Imaginário</t>
        </is>
      </c>
      <c r="B380" s="4" t="inlineStr">
        <is>
          <t>Significado, selo, prisão de ideias</t>
        </is>
      </c>
      <c r="C380" s="4" t="inlineStr">
        <is>
          <t>Aprisionamento — Atrasa 2 casas</t>
        </is>
      </c>
      <c r="D380" s="22" t="inlineStr">
        <is>
          <t>Eficiência</t>
        </is>
      </c>
      <c r="E380" s="22" t="n">
        <v>0</v>
      </c>
      <c r="F380" s="22" t="n">
        <v>0</v>
      </c>
      <c r="G380" s="22" t="n">
        <v>1</v>
      </c>
      <c r="H380" s="22" t="inlineStr">
        <is>
          <t>Aprisionamento</t>
        </is>
      </c>
    </row>
    <row r="381"/>
    <row r="382">
      <c r="A382" s="14" t="inlineStr">
        <is>
          <t>Fraqueza e Resistência — 20.2</t>
        </is>
      </c>
    </row>
    <row r="383" ht="26" customHeight="1">
      <c r="A383" s="7" t="inlineStr">
        <is>
          <t>Situação</t>
        </is>
      </c>
      <c r="B383" s="7" t="inlineStr">
        <is>
          <t>Dano</t>
        </is>
      </c>
      <c r="C383" s="7" t="inlineStr">
        <is>
          <t>Redução de Tenacidade</t>
        </is>
      </c>
    </row>
    <row r="384" ht="26" customHeight="1">
      <c r="A384" s="58" t="inlineStr">
        <is>
          <t>É Fraqueza do alvo</t>
        </is>
      </c>
      <c r="B384" s="4" t="inlineStr">
        <is>
          <t>+2 dados do mesmo tipo do ataque</t>
        </is>
      </c>
      <c r="C384" s="22" t="inlineStr">
        <is>
          <t>total</t>
        </is>
      </c>
    </row>
    <row r="385" ht="37" customHeight="1">
      <c r="A385" s="75" t="inlineStr">
        <is>
          <t>Neutro (nem Fraqueza, nem Resistência)</t>
        </is>
      </c>
      <c r="B385" s="21" t="inlineStr">
        <is>
          <t>dano normal</t>
        </is>
      </c>
      <c r="C385" s="9" t="inlineStr">
        <is>
          <t>metade (arredonda para baixo, mínimo 1)</t>
        </is>
      </c>
    </row>
    <row r="386" ht="37" customHeight="1">
      <c r="A386" s="58" t="inlineStr">
        <is>
          <t>O alvo tem Resistência</t>
        </is>
      </c>
      <c r="B386" s="4" t="inlineStr">
        <is>
          <t>-2 dados, conservando sempre no mínimo 1 dado</t>
        </is>
      </c>
      <c r="C386" s="22" t="inlineStr">
        <is>
          <t>1 ponto, fixo</t>
        </is>
      </c>
    </row>
    <row r="387"/>
    <row r="388">
      <c r="A388" s="14" t="inlineStr">
        <is>
          <t>DT para descobrir uma Fraqueza — 20.2</t>
        </is>
      </c>
    </row>
    <row r="389">
      <c r="A389" s="7" t="inlineStr">
        <is>
          <t>Faixa de nível do inimigo</t>
        </is>
      </c>
      <c r="B389" s="7" t="inlineStr">
        <is>
          <t>DT</t>
        </is>
      </c>
    </row>
    <row r="390">
      <c r="A390" s="58" t="inlineStr">
        <is>
          <t>1-4</t>
        </is>
      </c>
      <c r="B390" s="22" t="n">
        <v>13</v>
      </c>
    </row>
    <row r="391">
      <c r="A391" s="59" t="inlineStr">
        <is>
          <t>5-8</t>
        </is>
      </c>
      <c r="B391" s="21" t="n">
        <v>14</v>
      </c>
    </row>
    <row r="392">
      <c r="A392" s="58" t="inlineStr">
        <is>
          <t>9-12</t>
        </is>
      </c>
      <c r="B392" s="22" t="n">
        <v>15</v>
      </c>
    </row>
    <row r="393">
      <c r="A393" s="59" t="inlineStr">
        <is>
          <t>13-16</t>
        </is>
      </c>
      <c r="B393" s="21" t="n">
        <v>16</v>
      </c>
    </row>
    <row r="394">
      <c r="A394" s="58" t="inlineStr">
        <is>
          <t>17-20</t>
        </is>
      </c>
      <c r="B394" s="22" t="n">
        <v>17</v>
      </c>
    </row>
    <row r="395"/>
    <row r="396">
      <c r="A396" s="14" t="inlineStr">
        <is>
          <t>Condições — 21.5</t>
        </is>
      </c>
    </row>
    <row r="397">
      <c r="A397" s="7" t="inlineStr">
        <is>
          <t>Condição</t>
        </is>
      </c>
      <c r="B397" s="7" t="inlineStr">
        <is>
          <t>Efeito</t>
        </is>
      </c>
      <c r="C397" s="7" t="inlineStr">
        <is>
          <t>Duração</t>
        </is>
      </c>
      <c r="D397" s="7" t="inlineStr">
        <is>
          <t>Acúmulo</t>
        </is>
      </c>
      <c r="E397" s="7" t="inlineStr">
        <is>
          <t>Só inimigos</t>
        </is>
      </c>
    </row>
    <row r="398" ht="37" customHeight="1">
      <c r="A398" s="58" t="inlineStr">
        <is>
          <t>Sangramento</t>
        </is>
      </c>
      <c r="B398" s="4" t="inlineStr">
        <is>
          <t>Dano Contínuo = 5% dos PV máximos, teto 3 × Eficiência</t>
        </is>
      </c>
      <c r="C398" s="22" t="inlineStr">
        <is>
          <t>2 turnos</t>
        </is>
      </c>
      <c r="D398" s="22" t="inlineStr">
        <is>
          <t>até 5</t>
        </is>
      </c>
      <c r="E398" s="22" t="inlineStr">
        <is>
          <t>Não</t>
        </is>
      </c>
    </row>
    <row r="399" ht="26" customHeight="1">
      <c r="A399" s="59" t="inlineStr">
        <is>
          <t>Queimadura</t>
        </is>
      </c>
      <c r="B399" s="9" t="inlineStr">
        <is>
          <t>Dano Contínuo 2d6 + Eficiência (Fogo)</t>
        </is>
      </c>
      <c r="C399" s="21" t="inlineStr">
        <is>
          <t>2 turnos</t>
        </is>
      </c>
      <c r="D399" s="21" t="inlineStr">
        <is>
          <t>até 5</t>
        </is>
      </c>
      <c r="E399" s="21" t="inlineStr">
        <is>
          <t>Não</t>
        </is>
      </c>
    </row>
    <row r="400" ht="26" customHeight="1">
      <c r="A400" s="58" t="inlineStr">
        <is>
          <t>Choque</t>
        </is>
      </c>
      <c r="B400" s="4" t="inlineStr">
        <is>
          <t>Dano Contínuo 1d6 + Eficiência (Raio)</t>
        </is>
      </c>
      <c r="C400" s="22" t="inlineStr">
        <is>
          <t>2 turnos</t>
        </is>
      </c>
      <c r="D400" s="22" t="inlineStr">
        <is>
          <t>até 5</t>
        </is>
      </c>
      <c r="E400" s="22" t="inlineStr">
        <is>
          <t>Não</t>
        </is>
      </c>
    </row>
    <row r="401" ht="26" customHeight="1">
      <c r="A401" s="59" t="inlineStr">
        <is>
          <t>Cisalhamento de Vento</t>
        </is>
      </c>
      <c r="B401" s="9" t="inlineStr">
        <is>
          <t>Dano Contínuo 1d6 por acúmulo (Vento)</t>
        </is>
      </c>
      <c r="C401" s="21" t="inlineStr">
        <is>
          <t>2 turnos</t>
        </is>
      </c>
      <c r="D401" s="21" t="inlineStr">
        <is>
          <t>5</t>
        </is>
      </c>
      <c r="E401" s="21" t="inlineStr">
        <is>
          <t>Não</t>
        </is>
      </c>
    </row>
    <row r="402" ht="37" customHeight="1">
      <c r="A402" s="58" t="inlineStr">
        <is>
          <t>Embaraço</t>
        </is>
      </c>
      <c r="B402" s="4" t="inlineStr">
        <is>
          <t>1d6 por acúmulo (só por ataques) e Atrasa 1 casa</t>
        </is>
      </c>
      <c r="C402" s="22" t="inlineStr">
        <is>
          <t>1 turno</t>
        </is>
      </c>
      <c r="D402" s="22" t="inlineStr">
        <is>
          <t>5</t>
        </is>
      </c>
      <c r="E402" s="22" t="inlineStr">
        <is>
          <t>Não</t>
        </is>
      </c>
    </row>
    <row r="403" ht="26" customHeight="1">
      <c r="A403" s="59" t="inlineStr">
        <is>
          <t>Aprisionamento</t>
        </is>
      </c>
      <c r="B403" s="9" t="inlineStr">
        <is>
          <t>1d6 + Eficiência e Atrasa 2 casas</t>
        </is>
      </c>
      <c r="C403" s="21" t="inlineStr">
        <is>
          <t>1 turno</t>
        </is>
      </c>
      <c r="D403" s="21" t="inlineStr">
        <is>
          <t>até 5</t>
        </is>
      </c>
      <c r="E403" s="21" t="inlineStr">
        <is>
          <t>Não</t>
        </is>
      </c>
    </row>
    <row r="404" ht="60" customHeight="1">
      <c r="A404" s="58" t="inlineStr">
        <is>
          <t>Congelado</t>
        </is>
      </c>
      <c r="B404" s="4" t="inlineStr">
        <is>
          <t>Só inimigos. Comum perde o turno; Elite e Boss são Atrasados 2 casas e perdem a ação especial</t>
        </is>
      </c>
      <c r="C404" s="22" t="inlineStr">
        <is>
          <t>1 turno</t>
        </is>
      </c>
      <c r="D404" s="4" t="inlineStr">
        <is>
          <t>não repete em Ciclos seguidos pela mesma fonte</t>
        </is>
      </c>
      <c r="E404" s="22" t="inlineStr">
        <is>
          <t>Sim</t>
        </is>
      </c>
    </row>
    <row r="405" ht="60" customHeight="1">
      <c r="A405" s="59" t="inlineStr">
        <is>
          <t>Lentidão</t>
        </is>
      </c>
      <c r="B405" s="9" t="inlineStr">
        <is>
          <t>Ação de Movimento não muda a Distância; só sai do lugar com Esforço Total</t>
        </is>
      </c>
      <c r="C405" s="21" t="inlineStr">
        <is>
          <t>fonte</t>
        </is>
      </c>
      <c r="D405" s="21" t="inlineStr">
        <is>
          <t>não acumula</t>
        </is>
      </c>
      <c r="E405" s="21" t="inlineStr">
        <is>
          <t>Não</t>
        </is>
      </c>
    </row>
    <row r="406" ht="37" customHeight="1">
      <c r="A406" s="58" t="inlineStr">
        <is>
          <t>Marcado</t>
        </is>
      </c>
      <c r="B406" s="4" t="inlineStr">
        <is>
          <t>+1 em Testes de Ataque de quem marcou</t>
        </is>
      </c>
      <c r="C406" s="22" t="inlineStr">
        <is>
          <t>fonte</t>
        </is>
      </c>
      <c r="D406" s="4" t="inlineStr">
        <is>
          <t>3, sem somar entre fontes</t>
        </is>
      </c>
      <c r="E406" s="22" t="inlineStr">
        <is>
          <t>Não</t>
        </is>
      </c>
    </row>
    <row r="407" ht="37" customHeight="1">
      <c r="A407" s="59" t="inlineStr">
        <is>
          <t>Silenciado</t>
        </is>
      </c>
      <c r="B407" s="9" t="inlineStr">
        <is>
          <t>não pode usar Habilidade de Nível 4 ou maior</t>
        </is>
      </c>
      <c r="C407" s="21" t="inlineStr">
        <is>
          <t>1 turno</t>
        </is>
      </c>
      <c r="D407" s="21" t="inlineStr">
        <is>
          <t>—</t>
        </is>
      </c>
      <c r="E407" s="21" t="inlineStr">
        <is>
          <t>Não</t>
        </is>
      </c>
    </row>
    <row r="408" ht="26" customHeight="1">
      <c r="A408" s="58" t="inlineStr">
        <is>
          <t>Vulnerável</t>
        </is>
      </c>
      <c r="B408" s="4" t="inlineStr">
        <is>
          <t>+1 dado de dano da fonte indicada</t>
        </is>
      </c>
      <c r="C408" s="22" t="inlineStr">
        <is>
          <t>fonte</t>
        </is>
      </c>
      <c r="D408" s="22" t="inlineStr">
        <is>
          <t>até 5</t>
        </is>
      </c>
      <c r="E408" s="22" t="inlineStr">
        <is>
          <t>Não</t>
        </is>
      </c>
    </row>
    <row r="409" ht="60" customHeight="1">
      <c r="A409" s="59" t="inlineStr">
        <is>
          <t>Controlado</t>
        </is>
      </c>
      <c r="B409" s="9" t="inlineStr">
        <is>
          <t>quem aplicou decide as ações do alvo, sem Habilidade, Ultimate nem recursos</t>
        </is>
      </c>
      <c r="C409" s="21" t="inlineStr">
        <is>
          <t>fonte</t>
        </is>
      </c>
      <c r="D409" s="21" t="inlineStr">
        <is>
          <t>não acumula</t>
        </is>
      </c>
      <c r="E409" s="21" t="inlineStr">
        <is>
          <t>Não</t>
        </is>
      </c>
    </row>
    <row r="410" ht="37" customHeight="1">
      <c r="A410" s="58" t="inlineStr">
        <is>
          <t>Corrupção</t>
        </is>
      </c>
      <c r="B410" s="4" t="inlineStr">
        <is>
          <t>+1 no dano de cada Dano Contínuo seu no alvo</t>
        </is>
      </c>
      <c r="C410" s="22" t="inlineStr">
        <is>
          <t>fim do combate</t>
        </is>
      </c>
      <c r="D410" s="22" t="inlineStr">
        <is>
          <t>5</t>
        </is>
      </c>
      <c r="E410" s="22" t="inlineStr">
        <is>
          <t>Não</t>
        </is>
      </c>
    </row>
    <row r="411" ht="37" customHeight="1">
      <c r="A411" s="59" t="inlineStr">
        <is>
          <t>Quebrado</t>
        </is>
      </c>
      <c r="B411" s="9" t="inlineStr">
        <is>
          <t>-2 de Defesa e +1 dado de dano de qualquer fonte</t>
        </is>
      </c>
      <c r="C411" s="9" t="inlineStr">
        <is>
          <t>até o fim do próximo turno dele</t>
        </is>
      </c>
      <c r="D411" s="21" t="inlineStr">
        <is>
          <t>—</t>
        </is>
      </c>
      <c r="E411" s="21" t="inlineStr">
        <is>
          <t>Sim</t>
        </is>
      </c>
    </row>
    <row r="412" ht="26" customHeight="1">
      <c r="A412" s="58" t="inlineStr">
        <is>
          <t>Surpreso</t>
        </is>
      </c>
      <c r="B412" s="4" t="inlineStr">
        <is>
          <t>casa pulada no primeiro Ciclo</t>
        </is>
      </c>
      <c r="C412" s="22" t="inlineStr">
        <is>
          <t>1 Ciclo</t>
        </is>
      </c>
      <c r="D412" s="22" t="inlineStr">
        <is>
          <t>—</t>
        </is>
      </c>
      <c r="E412" s="22" t="inlineStr">
        <is>
          <t>Não</t>
        </is>
      </c>
    </row>
    <row r="413" ht="60" customHeight="1">
      <c r="A413" s="59" t="inlineStr">
        <is>
          <t>Morrendo</t>
        </is>
      </c>
      <c r="B413" s="9" t="inlineStr">
        <is>
          <t>0 PV, inconsciente, mantém a casa, Teste de Força de Vontade DT 10 no turno</t>
        </is>
      </c>
      <c r="C413" s="9" t="inlineStr">
        <is>
          <t>até estabilizar ou morrer</t>
        </is>
      </c>
      <c r="D413" s="21" t="inlineStr">
        <is>
          <t>—</t>
        </is>
      </c>
      <c r="E413" s="21" t="inlineStr">
        <is>
          <t>Não</t>
        </is>
      </c>
    </row>
    <row r="414"/>
    <row r="415">
      <c r="A415" s="14" t="inlineStr">
        <is>
          <t>DT por faixa — 27.2</t>
        </is>
      </c>
    </row>
    <row r="416">
      <c r="A416" s="7" t="inlineStr">
        <is>
          <t>Dificuldade</t>
        </is>
      </c>
      <c r="B416" s="7" t="inlineStr">
        <is>
          <t>1-4</t>
        </is>
      </c>
      <c r="C416" s="7" t="inlineStr">
        <is>
          <t>5-8</t>
        </is>
      </c>
      <c r="D416" s="7" t="inlineStr">
        <is>
          <t>9-12</t>
        </is>
      </c>
      <c r="E416" s="7" t="inlineStr">
        <is>
          <t>13-16</t>
        </is>
      </c>
      <c r="F416" s="7" t="inlineStr">
        <is>
          <t>17-20</t>
        </is>
      </c>
    </row>
    <row r="417">
      <c r="A417" s="58" t="inlineStr">
        <is>
          <t>Trivial</t>
        </is>
      </c>
      <c r="B417" s="22" t="n">
        <v>8</v>
      </c>
      <c r="C417" s="22" t="n">
        <v>9</v>
      </c>
      <c r="D417" s="22" t="n">
        <v>10</v>
      </c>
      <c r="E417" s="22" t="n">
        <v>11</v>
      </c>
      <c r="F417" s="22" t="n">
        <v>12</v>
      </c>
    </row>
    <row r="418">
      <c r="A418" s="59" t="inlineStr">
        <is>
          <t>Fácil</t>
        </is>
      </c>
      <c r="B418" s="21" t="n">
        <v>10</v>
      </c>
      <c r="C418" s="21" t="n">
        <v>12</v>
      </c>
      <c r="D418" s="21" t="n">
        <v>14</v>
      </c>
      <c r="E418" s="21" t="n">
        <v>16</v>
      </c>
      <c r="F418" s="21" t="n">
        <v>18</v>
      </c>
    </row>
    <row r="419">
      <c r="A419" s="58" t="inlineStr">
        <is>
          <t>Média</t>
        </is>
      </c>
      <c r="B419" s="22" t="n">
        <v>13</v>
      </c>
      <c r="C419" s="22" t="n">
        <v>16</v>
      </c>
      <c r="D419" s="22" t="n">
        <v>19</v>
      </c>
      <c r="E419" s="22" t="n">
        <v>22</v>
      </c>
      <c r="F419" s="22" t="n">
        <v>25</v>
      </c>
    </row>
    <row r="420">
      <c r="A420" s="59" t="inlineStr">
        <is>
          <t>Difícil</t>
        </is>
      </c>
      <c r="B420" s="21" t="n">
        <v>16</v>
      </c>
      <c r="C420" s="21" t="n">
        <v>19</v>
      </c>
      <c r="D420" s="21" t="n">
        <v>23</v>
      </c>
      <c r="E420" s="21" t="n">
        <v>27</v>
      </c>
      <c r="F420" s="21" t="n">
        <v>30</v>
      </c>
    </row>
    <row r="421">
      <c r="A421" s="58" t="inlineStr">
        <is>
          <t>Muito Difícil</t>
        </is>
      </c>
      <c r="B421" s="22" t="n">
        <v>19</v>
      </c>
      <c r="C421" s="22" t="n">
        <v>23</v>
      </c>
      <c r="D421" s="22" t="n">
        <v>27</v>
      </c>
      <c r="E421" s="22" t="n">
        <v>31</v>
      </c>
      <c r="F421" s="22" t="n">
        <v>35</v>
      </c>
    </row>
    <row r="422">
      <c r="A422" s="59" t="inlineStr">
        <is>
          <t>Heroica</t>
        </is>
      </c>
      <c r="B422" s="21" t="n">
        <v>22</v>
      </c>
      <c r="C422" s="21" t="n">
        <v>26</v>
      </c>
      <c r="D422" s="21" t="n">
        <v>31</v>
      </c>
      <c r="E422" s="21" t="n">
        <v>34</v>
      </c>
      <c r="F422" s="21" t="n">
        <v>38</v>
      </c>
    </row>
    <row r="423"/>
    <row r="424">
      <c r="A424" s="14" t="inlineStr">
        <is>
          <t>As cinco DTs de subsistema — 27.3</t>
        </is>
      </c>
    </row>
    <row r="425">
      <c r="A425" s="7" t="inlineStr">
        <is>
          <t>Teste</t>
        </is>
      </c>
      <c r="B425" s="7" t="inlineStr">
        <is>
          <t>DT</t>
        </is>
      </c>
      <c r="C425" s="7" t="inlineStr">
        <is>
          <t>Capítulo</t>
        </is>
      </c>
    </row>
    <row r="426" ht="26" customHeight="1">
      <c r="A426" s="72" t="inlineStr">
        <is>
          <t>Descobrir uma Fraqueza de inimigo</t>
        </is>
      </c>
      <c r="B426" s="4" t="inlineStr">
        <is>
          <t>13 / 14 / 15 / 16 / 17, pela faixa do inimigo</t>
        </is>
      </c>
      <c r="C426" s="22" t="inlineStr">
        <is>
          <t>20</t>
        </is>
      </c>
    </row>
    <row r="427" ht="26" customHeight="1">
      <c r="A427" s="75" t="inlineStr">
        <is>
          <t>Surpresa (Teste de Percepção Mental)</t>
        </is>
      </c>
      <c r="B427" s="9" t="inlineStr">
        <is>
          <t>13, fixa em todas as faixas</t>
        </is>
      </c>
      <c r="C427" s="21" t="inlineStr">
        <is>
          <t>19</t>
        </is>
      </c>
    </row>
    <row r="428" ht="37" customHeight="1">
      <c r="A428" s="72" t="inlineStr">
        <is>
          <t>Morrendo (Teste de Força de Vontade, sem Eficiência)</t>
        </is>
      </c>
      <c r="B428" s="22" t="inlineStr">
        <is>
          <t>10</t>
        </is>
      </c>
      <c r="C428" s="22" t="inlineStr">
        <is>
          <t>23</t>
        </is>
      </c>
    </row>
    <row r="429" ht="26" customHeight="1">
      <c r="A429" s="75" t="inlineStr">
        <is>
          <t>Traço Raposa Astuta do Vulpes</t>
        </is>
      </c>
      <c r="B429" s="21" t="inlineStr">
        <is>
          <t>10</t>
        </is>
      </c>
      <c r="C429" s="21" t="inlineStr">
        <is>
          <t>05</t>
        </is>
      </c>
    </row>
    <row r="430" ht="26" customHeight="1">
      <c r="A430" s="72" t="inlineStr">
        <is>
          <t>Traço To na sua mente do Haloviano</t>
        </is>
      </c>
      <c r="B430" s="22" t="inlineStr">
        <is>
          <t>13</t>
        </is>
      </c>
      <c r="C430" s="22" t="inlineStr">
        <is>
          <t>05</t>
        </is>
      </c>
    </row>
    <row r="431"/>
    <row r="432">
      <c r="A432" s="14" t="inlineStr">
        <is>
          <t>Contra qual DT você rola — 22.3</t>
        </is>
      </c>
    </row>
    <row r="433">
      <c r="A433" s="7" t="inlineStr">
        <is>
          <t>A fonte é...</t>
        </is>
      </c>
      <c r="B433" s="7" t="inlineStr">
        <is>
          <t>A DT é...</t>
        </is>
      </c>
    </row>
    <row r="434" ht="59" customHeight="1">
      <c r="A434" s="72" t="inlineStr">
        <is>
          <t>Uma Habilidade, Ultimate ou traço de personagem</t>
        </is>
      </c>
      <c r="B434" s="4" t="inlineStr">
        <is>
          <t>8 + Bônus do Atributo de Habilidade + Eficiência de quem usou</t>
        </is>
      </c>
    </row>
    <row r="435" ht="37" customHeight="1">
      <c r="A435" s="59" t="inlineStr">
        <is>
          <t>Um efeito de inimigo</t>
        </is>
      </c>
      <c r="B435" s="9" t="inlineStr">
        <is>
          <t>a DT dos efeitos da ficha dele (tabela abaixo)</t>
        </is>
      </c>
    </row>
    <row r="436" ht="26" customHeight="1">
      <c r="A436" s="58" t="inlineStr">
        <is>
          <t>O ambiente ou a cena</t>
        </is>
      </c>
      <c r="B436" s="4" t="inlineStr">
        <is>
          <t>a tabela de DT por faixa do capítulo 27</t>
        </is>
      </c>
    </row>
    <row r="437" ht="26" customHeight="1">
      <c r="A437" s="59" t="inlineStr">
        <is>
          <t>Morrendo</t>
        </is>
      </c>
      <c r="B437" s="9" t="inlineStr">
        <is>
          <t>DT 10, fixa (capítulo 23)</t>
        </is>
      </c>
    </row>
    <row r="438"/>
    <row r="439">
      <c r="A439" s="14" t="inlineStr">
        <is>
          <t>DT dos efeitos de inimigo — 22.3</t>
        </is>
      </c>
    </row>
    <row r="440">
      <c r="A440" s="7" t="inlineStr">
        <is>
          <t>Faixa do inimigo</t>
        </is>
      </c>
      <c r="B440" s="7" t="inlineStr">
        <is>
          <t>Comum</t>
        </is>
      </c>
      <c r="C440" s="7" t="inlineStr">
        <is>
          <t>Elite</t>
        </is>
      </c>
      <c r="D440" s="7" t="inlineStr">
        <is>
          <t>Boss</t>
        </is>
      </c>
    </row>
    <row r="441">
      <c r="A441" s="58" t="inlineStr">
        <is>
          <t>1-4</t>
        </is>
      </c>
      <c r="B441" s="22" t="n">
        <v>12</v>
      </c>
      <c r="C441" s="22" t="n">
        <v>13</v>
      </c>
      <c r="D441" s="22" t="n">
        <v>14</v>
      </c>
    </row>
    <row r="442">
      <c r="A442" s="59" t="inlineStr">
        <is>
          <t>5-8</t>
        </is>
      </c>
      <c r="B442" s="21" t="n">
        <v>14</v>
      </c>
      <c r="C442" s="21" t="n">
        <v>15</v>
      </c>
      <c r="D442" s="21" t="n">
        <v>16</v>
      </c>
    </row>
    <row r="443">
      <c r="A443" s="58" t="inlineStr">
        <is>
          <t>9-12</t>
        </is>
      </c>
      <c r="B443" s="22" t="n">
        <v>16</v>
      </c>
      <c r="C443" s="22" t="n">
        <v>17</v>
      </c>
      <c r="D443" s="22" t="n">
        <v>18</v>
      </c>
    </row>
    <row r="444">
      <c r="A444" s="59" t="inlineStr">
        <is>
          <t>13-16</t>
        </is>
      </c>
      <c r="B444" s="21" t="n">
        <v>17</v>
      </c>
      <c r="C444" s="21" t="n">
        <v>18</v>
      </c>
      <c r="D444" s="21" t="n">
        <v>19</v>
      </c>
    </row>
    <row r="445">
      <c r="A445" s="58" t="inlineStr">
        <is>
          <t>17-20</t>
        </is>
      </c>
      <c r="B445" s="22" t="n">
        <v>19</v>
      </c>
      <c r="C445" s="22" t="n">
        <v>20</v>
      </c>
      <c r="D445" s="22" t="n">
        <v>21</v>
      </c>
    </row>
    <row r="446"/>
    <row r="447">
      <c r="A447" s="14" t="inlineStr">
        <is>
          <t>Teste de Resistência do inimigo — 22.3</t>
        </is>
      </c>
    </row>
    <row r="448">
      <c r="A448" s="7" t="inlineStr">
        <is>
          <t>Faixa do inimigo</t>
        </is>
      </c>
      <c r="B448" s="7" t="inlineStr">
        <is>
          <t>Comum</t>
        </is>
      </c>
      <c r="C448" s="7" t="inlineStr">
        <is>
          <t>Elite</t>
        </is>
      </c>
      <c r="D448" s="7" t="inlineStr">
        <is>
          <t>Boss</t>
        </is>
      </c>
    </row>
    <row r="449">
      <c r="A449" s="58" t="inlineStr">
        <is>
          <t>1-4</t>
        </is>
      </c>
      <c r="B449" s="22" t="n">
        <v>1</v>
      </c>
      <c r="C449" s="22" t="n">
        <v>2</v>
      </c>
      <c r="D449" s="22" t="n">
        <v>3</v>
      </c>
    </row>
    <row r="450">
      <c r="A450" s="59" t="inlineStr">
        <is>
          <t>5-8</t>
        </is>
      </c>
      <c r="B450" s="21" t="n">
        <v>3</v>
      </c>
      <c r="C450" s="21" t="n">
        <v>4</v>
      </c>
      <c r="D450" s="21" t="n">
        <v>5</v>
      </c>
    </row>
    <row r="451">
      <c r="A451" s="58" t="inlineStr">
        <is>
          <t>9-12</t>
        </is>
      </c>
      <c r="B451" s="22" t="n">
        <v>4</v>
      </c>
      <c r="C451" s="22" t="n">
        <v>5</v>
      </c>
      <c r="D451" s="22" t="n">
        <v>6</v>
      </c>
    </row>
    <row r="452">
      <c r="A452" s="59" t="inlineStr">
        <is>
          <t>13-16</t>
        </is>
      </c>
      <c r="B452" s="21" t="n">
        <v>5</v>
      </c>
      <c r="C452" s="21" t="n">
        <v>6</v>
      </c>
      <c r="D452" s="21" t="n">
        <v>7</v>
      </c>
    </row>
    <row r="453">
      <c r="A453" s="58" t="inlineStr">
        <is>
          <t>17-20</t>
        </is>
      </c>
      <c r="B453" s="22" t="n">
        <v>7</v>
      </c>
      <c r="C453" s="22" t="n">
        <v>8</v>
      </c>
      <c r="D453" s="22" t="n">
        <v>9</v>
      </c>
    </row>
    <row r="454"/>
    <row r="455">
      <c r="A455" s="14" t="inlineStr">
        <is>
          <t>Armas — 24.2</t>
        </is>
      </c>
    </row>
    <row r="456">
      <c r="A456" s="7" t="inlineStr">
        <is>
          <t>Categoria</t>
        </is>
      </c>
      <c r="B456" s="7" t="inlineStr">
        <is>
          <t>Dados base</t>
        </is>
      </c>
      <c r="C456" s="7" t="inlineStr">
        <is>
          <t>Nº de dados</t>
        </is>
      </c>
      <c r="D456" s="7" t="inlineStr">
        <is>
          <t>Face</t>
        </is>
      </c>
      <c r="E456" s="7" t="inlineStr">
        <is>
          <t>Alcance</t>
        </is>
      </c>
      <c r="F456" s="7" t="inlineStr">
        <is>
          <t>Atributo de Ataque</t>
        </is>
      </c>
      <c r="G456" s="7" t="inlineStr">
        <is>
          <t>Redução de Tenacidade</t>
        </is>
      </c>
      <c r="H456" s="7" t="inlineStr">
        <is>
          <t>Espaço</t>
        </is>
      </c>
      <c r="I456" s="7" t="inlineStr">
        <is>
          <t>Preço (Cr)</t>
        </is>
      </c>
      <c r="J456" s="7" t="inlineStr">
        <is>
          <t>Duas mãos</t>
        </is>
      </c>
    </row>
    <row r="457">
      <c r="A457" s="58" t="inlineStr">
        <is>
          <t>Leve</t>
        </is>
      </c>
      <c r="B457" s="22" t="inlineStr">
        <is>
          <t>1d8</t>
        </is>
      </c>
      <c r="C457" s="22" t="n">
        <v>1</v>
      </c>
      <c r="D457" s="22" t="n">
        <v>8</v>
      </c>
      <c r="E457" s="22" t="inlineStr">
        <is>
          <t>Pessoal</t>
        </is>
      </c>
      <c r="F457" s="22" t="inlineStr">
        <is>
          <t>Agilidade</t>
        </is>
      </c>
      <c r="G457" s="22" t="n">
        <v>1</v>
      </c>
      <c r="H457" s="22" t="n">
        <v>1</v>
      </c>
      <c r="I457" s="22" t="n">
        <v>100</v>
      </c>
      <c r="J457" s="22" t="inlineStr">
        <is>
          <t>Não</t>
        </is>
      </c>
    </row>
    <row r="458">
      <c r="A458" s="59" t="inlineStr">
        <is>
          <t>Média</t>
        </is>
      </c>
      <c r="B458" s="21" t="inlineStr">
        <is>
          <t>1d10</t>
        </is>
      </c>
      <c r="C458" s="21" t="n">
        <v>1</v>
      </c>
      <c r="D458" s="21" t="n">
        <v>10</v>
      </c>
      <c r="E458" s="21" t="inlineStr">
        <is>
          <t>Pessoal</t>
        </is>
      </c>
      <c r="F458" s="21" t="inlineStr">
        <is>
          <t>Poder ou Agilidade (fixo na criação)</t>
        </is>
      </c>
      <c r="G458" s="21" t="n">
        <v>1</v>
      </c>
      <c r="H458" s="21" t="n">
        <v>1</v>
      </c>
      <c r="I458" s="21" t="n">
        <v>150</v>
      </c>
      <c r="J458" s="21" t="inlineStr">
        <is>
          <t>Não</t>
        </is>
      </c>
    </row>
    <row r="459">
      <c r="A459" s="58" t="inlineStr">
        <is>
          <t>Pesada</t>
        </is>
      </c>
      <c r="B459" s="22" t="inlineStr">
        <is>
          <t>1d12</t>
        </is>
      </c>
      <c r="C459" s="22" t="n">
        <v>1</v>
      </c>
      <c r="D459" s="22" t="n">
        <v>12</v>
      </c>
      <c r="E459" s="22" t="inlineStr">
        <is>
          <t>Pessoal</t>
        </is>
      </c>
      <c r="F459" s="22" t="inlineStr">
        <is>
          <t>Poder</t>
        </is>
      </c>
      <c r="G459" s="22" t="n">
        <v>1</v>
      </c>
      <c r="H459" s="22" t="n">
        <v>2</v>
      </c>
      <c r="I459" s="22" t="n">
        <v>200</v>
      </c>
      <c r="J459" s="22" t="inlineStr">
        <is>
          <t>Sim</t>
        </is>
      </c>
    </row>
    <row r="460">
      <c r="A460" s="59" t="inlineStr">
        <is>
          <t>Disparo curto</t>
        </is>
      </c>
      <c r="B460" s="21" t="inlineStr">
        <is>
          <t>1d8</t>
        </is>
      </c>
      <c r="C460" s="21" t="n">
        <v>1</v>
      </c>
      <c r="D460" s="21" t="n">
        <v>8</v>
      </c>
      <c r="E460" s="21" t="inlineStr">
        <is>
          <t>Média</t>
        </is>
      </c>
      <c r="F460" s="21" t="inlineStr">
        <is>
          <t>Agilidade</t>
        </is>
      </c>
      <c r="G460" s="21" t="n">
        <v>1</v>
      </c>
      <c r="H460" s="21" t="n">
        <v>1</v>
      </c>
      <c r="I460" s="21" t="n">
        <v>250</v>
      </c>
      <c r="J460" s="21" t="inlineStr">
        <is>
          <t>Não</t>
        </is>
      </c>
    </row>
    <row r="461">
      <c r="A461" s="58" t="inlineStr">
        <is>
          <t>Disparo longo</t>
        </is>
      </c>
      <c r="B461" s="22" t="inlineStr">
        <is>
          <t>1d10</t>
        </is>
      </c>
      <c r="C461" s="22" t="n">
        <v>1</v>
      </c>
      <c r="D461" s="22" t="n">
        <v>10</v>
      </c>
      <c r="E461" s="22" t="inlineStr">
        <is>
          <t>Longa</t>
        </is>
      </c>
      <c r="F461" s="22" t="inlineStr">
        <is>
          <t>Agilidade</t>
        </is>
      </c>
      <c r="G461" s="22" t="n">
        <v>1</v>
      </c>
      <c r="H461" s="22" t="n">
        <v>2</v>
      </c>
      <c r="I461" s="22" t="n">
        <v>350</v>
      </c>
      <c r="J461" s="22" t="inlineStr">
        <is>
          <t>Sim</t>
        </is>
      </c>
    </row>
    <row r="462">
      <c r="A462" s="59" t="inlineStr">
        <is>
          <t>Energia</t>
        </is>
      </c>
      <c r="B462" s="21" t="inlineStr">
        <is>
          <t>2d8</t>
        </is>
      </c>
      <c r="C462" s="21" t="n">
        <v>2</v>
      </c>
      <c r="D462" s="21" t="n">
        <v>8</v>
      </c>
      <c r="E462" s="21" t="inlineStr">
        <is>
          <t>Longa</t>
        </is>
      </c>
      <c r="F462" s="21" t="inlineStr">
        <is>
          <t>Sincronia</t>
        </is>
      </c>
      <c r="G462" s="21" t="n">
        <v>1</v>
      </c>
      <c r="H462" s="21" t="n">
        <v>2</v>
      </c>
      <c r="I462" s="21" t="n">
        <v>500</v>
      </c>
      <c r="J462" s="21" t="inlineStr">
        <is>
          <t>Sim</t>
        </is>
      </c>
    </row>
    <row r="463"/>
    <row r="464">
      <c r="A464" s="14" t="inlineStr">
        <is>
          <t>Propriedade especial de arma — 24.2</t>
        </is>
      </c>
    </row>
    <row r="465">
      <c r="A465" s="7" t="inlineStr">
        <is>
          <t>Propriedade</t>
        </is>
      </c>
      <c r="B465" s="7" t="inlineStr">
        <is>
          <t>O que faz</t>
        </is>
      </c>
    </row>
    <row r="466" ht="71" customHeight="1">
      <c r="A466" s="58" t="inlineStr">
        <is>
          <t>Recarga</t>
        </is>
      </c>
      <c r="B466" s="4" t="inlineStr">
        <is>
          <t>Precisa de uma Ação Complementar para recarregar depois de um número de disparos definido na criação</t>
        </is>
      </c>
    </row>
    <row r="467" ht="60" customHeight="1">
      <c r="A467" s="59" t="inlineStr">
        <is>
          <t>Arremessável</t>
        </is>
      </c>
      <c r="B467" s="9" t="inlineStr">
        <is>
          <t>Pode ser lançada a um alcance acima do normal da categoria; depois disso, você está sem ela</t>
        </is>
      </c>
    </row>
    <row r="468" ht="37" customHeight="1">
      <c r="A468" s="58" t="inlineStr">
        <is>
          <t>Alcance estendido</t>
        </is>
      </c>
      <c r="B468" s="4" t="inlineStr">
        <is>
          <t>Um passo acima do alcance normal da categoria</t>
        </is>
      </c>
    </row>
    <row r="469" ht="60" customHeight="1">
      <c r="A469" s="59" t="inlineStr">
        <is>
          <t>Peso de impacto</t>
        </is>
      </c>
      <c r="B469" s="9" t="inlineStr">
        <is>
          <t>+1 de Redução de Tenacidade. Numa arma Leve ou Média, ela passa a exigir as duas mãos</t>
        </is>
      </c>
    </row>
    <row r="470" ht="37" customHeight="1">
      <c r="A470" s="58" t="inlineStr">
        <is>
          <t>Dissimulada</t>
        </is>
      </c>
      <c r="B470" s="4" t="inlineStr">
        <is>
          <t>Ocupa 0,5 de Espaço e passa por busca superficial</t>
        </is>
      </c>
    </row>
    <row r="471"/>
    <row r="472">
      <c r="A472" s="14" t="inlineStr">
        <is>
          <t>Armaduras — 24.1</t>
        </is>
      </c>
    </row>
    <row r="473" ht="48" customHeight="1">
      <c r="A473" s="7" t="inlineStr">
        <is>
          <t>Tipo</t>
        </is>
      </c>
      <c r="B473" s="7" t="inlineStr">
        <is>
          <t>Defesa</t>
        </is>
      </c>
      <c r="C473" s="7" t="inlineStr">
        <is>
          <t>Outros efeitos</t>
        </is>
      </c>
      <c r="D473" s="7" t="inlineStr">
        <is>
          <t>Esquiva</t>
        </is>
      </c>
      <c r="E473" s="7" t="inlineStr">
        <is>
          <t>Espaço</t>
        </is>
      </c>
      <c r="F473" s="7" t="inlineStr">
        <is>
          <t>Preço (Cr)</t>
        </is>
      </c>
      <c r="G473" s="7" t="inlineStr">
        <is>
          <t>Velocidade</t>
        </is>
      </c>
      <c r="H473" s="7" t="inlineStr">
        <is>
          <t>RD</t>
        </is>
      </c>
      <c r="I473" s="7" t="inlineStr">
        <is>
          <t>Penalidade em Reflexos e Perícias de Agilidade</t>
        </is>
      </c>
    </row>
    <row r="474">
      <c r="A474" s="58" t="inlineStr">
        <is>
          <t>Leve</t>
        </is>
      </c>
      <c r="B474" s="22" t="n">
        <v>3</v>
      </c>
      <c r="C474" s="22" t="inlineStr">
        <is>
          <t>+1 de Velocidade</t>
        </is>
      </c>
      <c r="D474" s="22" t="inlineStr">
        <is>
          <t>Permitida</t>
        </is>
      </c>
      <c r="E474" s="22" t="n">
        <v>1</v>
      </c>
      <c r="F474" s="22" t="n">
        <v>150</v>
      </c>
      <c r="G474" s="22" t="n">
        <v>1</v>
      </c>
      <c r="H474" s="22" t="n">
        <v>0</v>
      </c>
      <c r="I474" s="22" t="n">
        <v>0</v>
      </c>
    </row>
    <row r="475">
      <c r="A475" s="59" t="inlineStr">
        <is>
          <t>Média</t>
        </is>
      </c>
      <c r="B475" s="21" t="n">
        <v>5</v>
      </c>
      <c r="C475" s="21" t="inlineStr">
        <is>
          <t>—</t>
        </is>
      </c>
      <c r="D475" s="21" t="inlineStr">
        <is>
          <t>Permitida</t>
        </is>
      </c>
      <c r="E475" s="21" t="n">
        <v>2</v>
      </c>
      <c r="F475" s="21" t="n">
        <v>300</v>
      </c>
      <c r="G475" s="21" t="n">
        <v>0</v>
      </c>
      <c r="H475" s="21" t="n">
        <v>0</v>
      </c>
      <c r="I475" s="21" t="n">
        <v>0</v>
      </c>
    </row>
    <row r="476" ht="60" customHeight="1">
      <c r="A476" s="58" t="inlineStr">
        <is>
          <t>Pesada</t>
        </is>
      </c>
      <c r="B476" s="22" t="n">
        <v>6</v>
      </c>
      <c r="C476" s="4" t="inlineStr">
        <is>
          <t>2 RD, -2 em Reflexos e nas Perícias de Agilidade, -2 de Velocidade</t>
        </is>
      </c>
      <c r="D476" s="22" t="inlineStr">
        <is>
          <t>Proibida</t>
        </is>
      </c>
      <c r="E476" s="22" t="n">
        <v>3</v>
      </c>
      <c r="F476" s="22" t="n">
        <v>500</v>
      </c>
      <c r="G476" s="22" t="n">
        <v>-2</v>
      </c>
      <c r="H476" s="22" t="n">
        <v>2</v>
      </c>
      <c r="I476" s="22" t="n">
        <v>-2</v>
      </c>
    </row>
    <row r="477"/>
    <row r="478">
      <c r="A478" s="14" t="inlineStr">
        <is>
          <t>Poções de Vida — 24.3</t>
        </is>
      </c>
    </row>
    <row r="479">
      <c r="A479" s="7" t="inlineStr">
        <is>
          <t>Poção</t>
        </is>
      </c>
      <c r="B479" s="7" t="inlineStr">
        <is>
          <t>Cura</t>
        </is>
      </c>
      <c r="C479" s="7" t="inlineStr">
        <is>
          <t>Espaço</t>
        </is>
      </c>
      <c r="D479" s="7" t="inlineStr">
        <is>
          <t>Preço (Cr)</t>
        </is>
      </c>
    </row>
    <row r="480">
      <c r="A480" s="58" t="inlineStr">
        <is>
          <t>Pequena</t>
        </is>
      </c>
      <c r="B480" s="22" t="n">
        <v>15</v>
      </c>
      <c r="C480" s="22" t="n">
        <v>0.5</v>
      </c>
      <c r="D480" s="22" t="n">
        <v>50</v>
      </c>
    </row>
    <row r="481">
      <c r="A481" s="59" t="inlineStr">
        <is>
          <t>Média</t>
        </is>
      </c>
      <c r="B481" s="21" t="n">
        <v>30</v>
      </c>
      <c r="C481" s="21" t="n">
        <v>1</v>
      </c>
      <c r="D481" s="21" t="n">
        <v>150</v>
      </c>
    </row>
    <row r="482">
      <c r="A482" s="58" t="inlineStr">
        <is>
          <t>Grande</t>
        </is>
      </c>
      <c r="B482" s="22" t="n">
        <v>50</v>
      </c>
      <c r="C482" s="22" t="n">
        <v>2</v>
      </c>
      <c r="D482" s="22" t="n">
        <v>400</v>
      </c>
    </row>
    <row r="483"/>
    <row r="484">
      <c r="A484" s="14" t="inlineStr">
        <is>
          <t>Itens comuns — 24.3</t>
        </is>
      </c>
    </row>
    <row r="485">
      <c r="A485" s="7" t="inlineStr">
        <is>
          <t>Item</t>
        </is>
      </c>
      <c r="B485" s="7" t="inlineStr">
        <is>
          <t>Espaço</t>
        </is>
      </c>
      <c r="C485" s="7" t="inlineStr">
        <is>
          <t>Preço (Cr)</t>
        </is>
      </c>
      <c r="D485" s="7" t="inlineStr">
        <is>
          <t>Para quê</t>
        </is>
      </c>
    </row>
    <row r="486" ht="26" customHeight="1">
      <c r="A486" s="72" t="inlineStr">
        <is>
          <t>Kit de primeiros socorros (3 usos)</t>
        </is>
      </c>
      <c r="B486" s="22" t="n">
        <v>1</v>
      </c>
      <c r="C486" s="22" t="n">
        <v>100</v>
      </c>
      <c r="D486" s="4" t="inlineStr">
        <is>
          <t>Cura 10 fora de combate, por uso</t>
        </is>
      </c>
    </row>
    <row r="487" ht="48" customHeight="1">
      <c r="A487" s="59" t="inlineStr">
        <is>
          <t>Kit de ferramentas</t>
        </is>
      </c>
      <c r="B487" s="21" t="n">
        <v>1</v>
      </c>
      <c r="C487" s="21" t="n">
        <v>120</v>
      </c>
      <c r="D487" s="9" t="inlineStr">
        <is>
          <t>Permite Testes de Tecnologia que exigem equipamento</t>
        </is>
      </c>
    </row>
    <row r="488" ht="26" customHeight="1">
      <c r="A488" s="58" t="inlineStr">
        <is>
          <t>Kit de pesquisa de campo</t>
        </is>
      </c>
      <c r="B488" s="22" t="n">
        <v>1</v>
      </c>
      <c r="C488" s="22" t="n">
        <v>150</v>
      </c>
      <c r="D488" s="4" t="inlineStr">
        <is>
          <t>Idem, para Ciência e Pesquisa</t>
        </is>
      </c>
    </row>
    <row r="489" ht="26" customHeight="1">
      <c r="A489" s="59" t="inlineStr">
        <is>
          <t>Lanterna de plasma</t>
        </is>
      </c>
      <c r="B489" s="21" t="n">
        <v>0.5</v>
      </c>
      <c r="C489" s="21" t="n">
        <v>30</v>
      </c>
      <c r="D489" s="9" t="inlineStr">
        <is>
          <t>Luz, 8 horas de carga</t>
        </is>
      </c>
    </row>
    <row r="490">
      <c r="A490" s="58" t="inlineStr">
        <is>
          <t>Corda de fibra, 20 m</t>
        </is>
      </c>
      <c r="B490" s="22" t="n">
        <v>1</v>
      </c>
      <c r="C490" s="22" t="n">
        <v>25</v>
      </c>
      <c r="D490" s="22" t="inlineStr">
        <is>
          <t>Corda</t>
        </is>
      </c>
    </row>
    <row r="491" ht="26" customHeight="1">
      <c r="A491" s="59" t="inlineStr">
        <is>
          <t>Gancho de escalada</t>
        </is>
      </c>
      <c r="B491" s="21" t="n">
        <v>0.5</v>
      </c>
      <c r="C491" s="21" t="n">
        <v>60</v>
      </c>
      <c r="D491" s="9" t="inlineStr">
        <is>
          <t>Sobe o que não tem escada</t>
        </is>
      </c>
    </row>
    <row r="492" ht="26" customHeight="1">
      <c r="A492" s="58" t="inlineStr">
        <is>
          <t>Ração de viagem (3 dias)</t>
        </is>
      </c>
      <c r="B492" s="22" t="n">
        <v>0.5</v>
      </c>
      <c r="C492" s="22" t="n">
        <v>15</v>
      </c>
      <c r="D492" s="4" t="inlineStr">
        <is>
          <t>Descanso Longo fora de abrigo</t>
        </is>
      </c>
    </row>
    <row r="493" ht="26" customHeight="1">
      <c r="A493" s="75" t="inlineStr">
        <is>
          <t>Comunicador de curto alcance</t>
        </is>
      </c>
      <c r="B493" s="21" t="n">
        <v>0.5</v>
      </c>
      <c r="C493" s="21" t="n">
        <v>80</v>
      </c>
      <c r="D493" s="9" t="inlineStr">
        <is>
          <t>Fala com o grupo entre cenas</t>
        </is>
      </c>
    </row>
    <row r="494" ht="48" customHeight="1">
      <c r="A494" s="58" t="inlineStr">
        <is>
          <t>Scanner portátil</t>
        </is>
      </c>
      <c r="B494" s="22" t="n">
        <v>1</v>
      </c>
      <c r="C494" s="22" t="n">
        <v>200</v>
      </c>
      <c r="D494" s="4" t="inlineStr">
        <is>
          <t>Vantagem em um Teste de Pesquisa por cena, fora de combate</t>
        </is>
      </c>
    </row>
    <row r="495" ht="37" customHeight="1">
      <c r="A495" s="59" t="inlineStr">
        <is>
          <t>Traje de vedação</t>
        </is>
      </c>
      <c r="B495" s="21" t="n">
        <v>2</v>
      </c>
      <c r="C495" s="21" t="n">
        <v>250</v>
      </c>
      <c r="D495" s="9" t="inlineStr">
        <is>
          <t>Sobrevive a vácuo e atmosfera hostil por uma cena</t>
        </is>
      </c>
    </row>
    <row r="496" ht="48" customHeight="1">
      <c r="A496" s="72" t="inlineStr">
        <is>
          <t>Munição ou célula de reserva</t>
        </is>
      </c>
      <c r="B496" s="22" t="n">
        <v>0.5</v>
      </c>
      <c r="C496" s="22" t="n">
        <v>20</v>
      </c>
      <c r="D496" s="4" t="inlineStr">
        <is>
          <t>Recarrega uma arma com a propriedade Recarga</t>
        </is>
      </c>
    </row>
    <row r="497"/>
    <row r="498">
      <c r="A498" s="14" t="inlineStr">
        <is>
          <t>Inventário e Espaço — 24.4</t>
        </is>
      </c>
    </row>
    <row r="499">
      <c r="A499" s="7" t="inlineStr">
        <is>
          <t>Situação</t>
        </is>
      </c>
      <c r="B499" s="7" t="inlineStr">
        <is>
          <t>Efeito</t>
        </is>
      </c>
    </row>
    <row r="500">
      <c r="A500" s="58" t="inlineStr">
        <is>
          <t>Até a sua capacidade</t>
        </is>
      </c>
      <c r="B500" s="22" t="inlineStr">
        <is>
          <t>Nada</t>
        </is>
      </c>
    </row>
    <row r="501" ht="93" customHeight="1">
      <c r="A501" s="59" t="inlineStr">
        <is>
          <t>Acima da capacidade</t>
        </is>
      </c>
      <c r="B501" s="9" t="inlineStr">
        <is>
          <t>Você fica com Lentidão (capítulo 21): a sua Ação de Movimento não muda a sua Distância, e só Esforço Total move você um passo</t>
        </is>
      </c>
    </row>
    <row r="502" ht="37" customHeight="1">
      <c r="A502" s="72" t="inlineStr">
        <is>
          <t>Acima do dobro da capacidade</t>
        </is>
      </c>
      <c r="B502" s="4" t="inlineStr">
        <is>
          <t>Você não consegue se mover. Nem com Esforço Total</t>
        </is>
      </c>
    </row>
    <row r="503"/>
    <row r="504">
      <c r="A504" s="14" t="inlineStr">
        <is>
          <t>Verba de marco do grupo — 24.5</t>
        </is>
      </c>
    </row>
    <row r="505">
      <c r="A505" s="7" t="inlineStr">
        <is>
          <t>Faixa de nível</t>
        </is>
      </c>
      <c r="B505" s="7" t="inlineStr">
        <is>
          <t>Verba de marco (Cr)</t>
        </is>
      </c>
      <c r="C505" s="7" t="inlineStr">
        <is>
          <t>O que ela compra</t>
        </is>
      </c>
    </row>
    <row r="506" ht="26" customHeight="1">
      <c r="A506" s="58" t="inlineStr">
        <is>
          <t>1-4</t>
        </is>
      </c>
      <c r="B506" s="22" t="n">
        <v>200</v>
      </c>
      <c r="C506" s="4" t="inlineStr">
        <is>
          <t>reposição de poções, uma arma, um kit</t>
        </is>
      </c>
    </row>
    <row r="507" ht="37" customHeight="1">
      <c r="A507" s="59" t="inlineStr">
        <is>
          <t>5-8</t>
        </is>
      </c>
      <c r="B507" s="21" t="n">
        <v>500</v>
      </c>
      <c r="C507" s="9" t="inlineStr">
        <is>
          <t>trocar uma armadura, equipar o grupo com poções Médias</t>
        </is>
      </c>
    </row>
    <row r="508" ht="48" customHeight="1">
      <c r="A508" s="58" t="inlineStr">
        <is>
          <t>9-12</t>
        </is>
      </c>
      <c r="B508" s="22" t="n">
        <v>1200</v>
      </c>
      <c r="C508" s="4" t="inlineStr">
        <is>
          <t>equipamento de cena, suborno, passagem, transporte</t>
        </is>
      </c>
    </row>
    <row r="509" ht="37" customHeight="1">
      <c r="A509" s="59" t="inlineStr">
        <is>
          <t>13-16</t>
        </is>
      </c>
      <c r="B509" s="21" t="n">
        <v>2500</v>
      </c>
      <c r="C509" s="9" t="inlineStr">
        <is>
          <t>contratar gente, comprar silêncio, abrir porta fechada</t>
        </is>
      </c>
    </row>
    <row r="510" ht="48" customHeight="1">
      <c r="A510" s="58" t="inlineStr">
        <is>
          <t>17-20</t>
        </is>
      </c>
      <c r="B510" s="22" t="n">
        <v>5000</v>
      </c>
      <c r="C510" s="4" t="inlineStr">
        <is>
          <t>o custo não é mais dinheiro, e a tabela está aqui para o Mestre ter um teto</t>
        </is>
      </c>
    </row>
    <row r="511"/>
    <row r="512">
      <c r="A512" s="14" t="inlineStr">
        <is>
          <t>Cone de Luz e Relíquias por faixa — 25.1</t>
        </is>
      </c>
    </row>
    <row r="513" ht="26" customHeight="1">
      <c r="A513" s="7" t="inlineStr">
        <is>
          <t>Faixa de nível</t>
        </is>
      </c>
      <c r="B513" s="7" t="inlineStr">
        <is>
          <t>Cone de Luz máximo</t>
        </is>
      </c>
      <c r="C513" s="7" t="inlineStr">
        <is>
          <t>Relíquias</t>
        </is>
      </c>
    </row>
    <row r="514">
      <c r="A514" s="58" t="inlineStr">
        <is>
          <t>1-4</t>
        </is>
      </c>
      <c r="B514" s="22" t="inlineStr">
        <is>
          <t>Nível 1</t>
        </is>
      </c>
      <c r="C514" s="22" t="inlineStr">
        <is>
          <t>Tier I</t>
        </is>
      </c>
    </row>
    <row r="515" ht="26" customHeight="1">
      <c r="A515" s="59" t="inlineStr">
        <is>
          <t>5-8</t>
        </is>
      </c>
      <c r="B515" s="21" t="inlineStr">
        <is>
          <t>Nível 2</t>
        </is>
      </c>
      <c r="C515" s="9" t="inlineStr">
        <is>
          <t>Tier I, virando Tier II no nível 7</t>
        </is>
      </c>
    </row>
    <row r="516">
      <c r="A516" s="58" t="inlineStr">
        <is>
          <t>9-12</t>
        </is>
      </c>
      <c r="B516" s="22" t="inlineStr">
        <is>
          <t>Nível 3</t>
        </is>
      </c>
      <c r="C516" s="22" t="inlineStr">
        <is>
          <t>Tier II</t>
        </is>
      </c>
    </row>
    <row r="517">
      <c r="A517" s="59" t="inlineStr">
        <is>
          <t>13-16</t>
        </is>
      </c>
      <c r="B517" s="21" t="inlineStr">
        <is>
          <t>Nível 4</t>
        </is>
      </c>
      <c r="C517" s="21" t="inlineStr">
        <is>
          <t>Tier III</t>
        </is>
      </c>
    </row>
    <row r="518" ht="26" customHeight="1">
      <c r="A518" s="58" t="inlineStr">
        <is>
          <t>17-20</t>
        </is>
      </c>
      <c r="B518" s="22" t="inlineStr">
        <is>
          <t>Nível 5</t>
        </is>
      </c>
      <c r="C518" s="4" t="inlineStr">
        <is>
          <t>Tier III, virando Tier IV no nível 18</t>
        </is>
      </c>
    </row>
    <row r="519"/>
    <row r="520">
      <c r="A520" s="14" t="inlineStr">
        <is>
          <t>Cone de Luz — 25.2</t>
        </is>
      </c>
    </row>
    <row r="521" ht="26" customHeight="1">
      <c r="A521" s="7" t="inlineStr">
        <is>
          <t>Nível do Cone</t>
        </is>
      </c>
      <c r="B521" s="7" t="inlineStr">
        <is>
          <t>Nível do personagem</t>
        </is>
      </c>
      <c r="C521" s="7" t="inlineStr">
        <is>
          <t>Bônus Maior</t>
        </is>
      </c>
      <c r="D521" s="7" t="inlineStr">
        <is>
          <t>Bônus numérico</t>
        </is>
      </c>
      <c r="E521" s="7" t="inlineStr">
        <is>
          <t>e/ou</t>
        </is>
      </c>
      <c r="F521" s="7" t="inlineStr">
        <is>
          <t>Bônus de PV</t>
        </is>
      </c>
      <c r="G521" s="7" t="inlineStr">
        <is>
          <t>Efeito Condicional</t>
        </is>
      </c>
    </row>
    <row r="522">
      <c r="A522" s="58" t="n">
        <v>1</v>
      </c>
      <c r="B522" s="22" t="n">
        <v>1</v>
      </c>
      <c r="C522" s="22" t="inlineStr">
        <is>
          <t>+1 ou +10 PV</t>
        </is>
      </c>
      <c r="D522" s="22" t="n">
        <v>1</v>
      </c>
      <c r="E522" s="22" t="inlineStr">
        <is>
          <t>ou</t>
        </is>
      </c>
      <c r="F522" s="22" t="n">
        <v>10</v>
      </c>
      <c r="G522" s="22" t="inlineStr">
        <is>
          <t>1 efeito simples, 1 vez por combate</t>
        </is>
      </c>
    </row>
    <row r="523">
      <c r="A523" s="59" t="n">
        <v>2</v>
      </c>
      <c r="B523" s="21" t="n">
        <v>5</v>
      </c>
      <c r="C523" s="21" t="inlineStr">
        <is>
          <t>+1 e +10 PV</t>
        </is>
      </c>
      <c r="D523" s="21" t="n">
        <v>1</v>
      </c>
      <c r="E523" s="21" t="inlineStr">
        <is>
          <t>e</t>
        </is>
      </c>
      <c r="F523" s="21" t="n">
        <v>10</v>
      </c>
      <c r="G523" s="21" t="inlineStr">
        <is>
          <t>1 efeito, 1 vez por Ciclo</t>
        </is>
      </c>
    </row>
    <row r="524">
      <c r="A524" s="58" t="n">
        <v>3</v>
      </c>
      <c r="B524" s="22" t="n">
        <v>9</v>
      </c>
      <c r="C524" s="22" t="inlineStr">
        <is>
          <t>+2 ou +25 PV</t>
        </is>
      </c>
      <c r="D524" s="22" t="n">
        <v>2</v>
      </c>
      <c r="E524" s="22" t="inlineStr">
        <is>
          <t>ou</t>
        </is>
      </c>
      <c r="F524" s="22" t="n">
        <v>25</v>
      </c>
      <c r="G524" s="22" t="inlineStr">
        <is>
          <t>1 efeito + pequeno ganho de Energia</t>
        </is>
      </c>
    </row>
    <row r="525">
      <c r="A525" s="59" t="n">
        <v>4</v>
      </c>
      <c r="B525" s="21" t="n">
        <v>13</v>
      </c>
      <c r="C525" s="21" t="inlineStr">
        <is>
          <t>+2 e +25 PV</t>
        </is>
      </c>
      <c r="D525" s="21" t="n">
        <v>2</v>
      </c>
      <c r="E525" s="21" t="inlineStr">
        <is>
          <t>e</t>
        </is>
      </c>
      <c r="F525" s="21" t="n">
        <v>25</v>
      </c>
      <c r="G525" s="21" t="inlineStr">
        <is>
          <t>2 efeitos</t>
        </is>
      </c>
    </row>
    <row r="526">
      <c r="A526" s="58" t="n">
        <v>5</v>
      </c>
      <c r="B526" s="22" t="n">
        <v>17</v>
      </c>
      <c r="C526" s="22" t="inlineStr">
        <is>
          <t>+3 ou +50 PV</t>
        </is>
      </c>
      <c r="D526" s="22" t="n">
        <v>3</v>
      </c>
      <c r="E526" s="22" t="inlineStr">
        <is>
          <t>ou</t>
        </is>
      </c>
      <c r="F526" s="22" t="n">
        <v>50</v>
      </c>
      <c r="G526" s="22" t="inlineStr">
        <is>
          <t>2 efeitos, um deles podendo conceder Avanço</t>
        </is>
      </c>
    </row>
    <row r="527"/>
    <row r="528">
      <c r="A528" s="14" t="inlineStr">
        <is>
          <t>Relíquias — 25.3</t>
        </is>
      </c>
    </row>
    <row r="529">
      <c r="A529" s="7" t="inlineStr">
        <is>
          <t>Slot</t>
        </is>
      </c>
      <c r="B529" s="7" t="inlineStr">
        <is>
          <t>O que dá</t>
        </is>
      </c>
      <c r="C529" s="7" t="inlineStr">
        <is>
          <t>Tier I</t>
        </is>
      </c>
      <c r="D529" s="7" t="inlineStr">
        <is>
          <t>Tier II</t>
        </is>
      </c>
      <c r="E529" s="7" t="inlineStr">
        <is>
          <t>Tier III</t>
        </is>
      </c>
      <c r="F529" s="7" t="inlineStr">
        <is>
          <t>Tier IV</t>
        </is>
      </c>
    </row>
    <row r="530">
      <c r="A530" s="58" t="inlineStr">
        <is>
          <t>Cabeça</t>
        </is>
      </c>
      <c r="B530" s="22" t="inlineStr">
        <is>
          <t>PV máximos</t>
        </is>
      </c>
      <c r="C530" s="22" t="n">
        <v>10</v>
      </c>
      <c r="D530" s="22" t="n">
        <v>20</v>
      </c>
      <c r="E530" s="22" t="n">
        <v>35</v>
      </c>
      <c r="F530" s="22" t="n">
        <v>50</v>
      </c>
    </row>
    <row r="531" ht="26" customHeight="1">
      <c r="A531" s="59" t="inlineStr">
        <is>
          <t>Mãos</t>
        </is>
      </c>
      <c r="B531" s="9" t="inlineStr">
        <is>
          <t>Dano de Ataque Básico</t>
        </is>
      </c>
      <c r="C531" s="21" t="n">
        <v>2</v>
      </c>
      <c r="D531" s="21" t="n">
        <v>4</v>
      </c>
      <c r="E531" s="21" t="n">
        <v>6</v>
      </c>
      <c r="F531" s="21" t="n">
        <v>8</v>
      </c>
    </row>
    <row r="532">
      <c r="A532" s="58" t="inlineStr">
        <is>
          <t>Tronco</t>
        </is>
      </c>
      <c r="B532" s="22" t="inlineStr">
        <is>
          <t>Defesa</t>
        </is>
      </c>
      <c r="C532" s="22" t="n">
        <v>1</v>
      </c>
      <c r="D532" s="22" t="n">
        <v>1</v>
      </c>
      <c r="E532" s="22" t="n">
        <v>2</v>
      </c>
      <c r="F532" s="22" t="n">
        <v>2</v>
      </c>
    </row>
    <row r="533">
      <c r="A533" s="59" t="inlineStr">
        <is>
          <t>Botas</t>
        </is>
      </c>
      <c r="B533" s="21" t="inlineStr">
        <is>
          <t>Velocidade</t>
        </is>
      </c>
      <c r="C533" s="21" t="n">
        <v>2</v>
      </c>
      <c r="D533" s="21" t="n">
        <v>3</v>
      </c>
      <c r="E533" s="21" t="n">
        <v>4</v>
      </c>
      <c r="F533" s="21" t="n">
        <v>5</v>
      </c>
    </row>
    <row r="534" ht="26" customHeight="1">
      <c r="A534" s="58" t="inlineStr">
        <is>
          <t>Esfera Planar</t>
        </is>
      </c>
      <c r="B534" s="4" t="inlineStr">
        <is>
          <t>Dano de um Elemento escolhido</t>
        </is>
      </c>
      <c r="C534" s="22" t="n">
        <v>2</v>
      </c>
      <c r="D534" s="22" t="n">
        <v>4</v>
      </c>
      <c r="E534" s="22" t="n">
        <v>6</v>
      </c>
      <c r="F534" s="22" t="n">
        <v>8</v>
      </c>
    </row>
    <row r="535" ht="26" customHeight="1">
      <c r="A535" s="59" t="inlineStr">
        <is>
          <t>Corda de Ligação</t>
        </is>
      </c>
      <c r="B535" s="9" t="inlineStr">
        <is>
          <t>Energia, 1 vez por combate</t>
        </is>
      </c>
      <c r="C535" s="21" t="n">
        <v>10</v>
      </c>
      <c r="D535" s="21" t="n">
        <v>15</v>
      </c>
      <c r="E535" s="21" t="n">
        <v>20</v>
      </c>
      <c r="F535" s="21" t="n">
        <v>25</v>
      </c>
    </row>
    <row r="536"/>
    <row r="537">
      <c r="A537" s="14" t="inlineStr">
        <is>
          <t>Conjuntos de Relíquias — 25.3</t>
        </is>
      </c>
    </row>
    <row r="538" ht="26" customHeight="1">
      <c r="A538" s="7" t="inlineStr">
        <is>
          <t>Peças do mesmo Conjunto</t>
        </is>
      </c>
      <c r="B538" s="7" t="inlineStr">
        <is>
          <t>O que você ganha</t>
        </is>
      </c>
    </row>
    <row r="539" ht="60" customHeight="1">
      <c r="A539" s="58" t="inlineStr">
        <is>
          <t>2 peças</t>
        </is>
      </c>
      <c r="B539" s="4" t="inlineStr">
        <is>
          <t>Um bônus pequeno e fixo: +1 em um tipo de rolagem, +1 de Velocidade, +2 de dano ou +1 RD</t>
        </is>
      </c>
    </row>
    <row r="540" ht="116" customHeight="1">
      <c r="A540" s="59" t="inlineStr">
        <is>
          <t>4 peças</t>
        </is>
      </c>
      <c r="B540" s="9" t="inlineStr">
        <is>
          <t>Um efeito condicional por Ciclo. Exemplos: "ao Quebrar um inimigo, o seu próximo ataque ganha +1 dado"; "ao usar a Ultimate, o grupo recebe +1 de Defesa por 1 Ciclo"</t>
        </is>
      </c>
    </row>
    <row r="541"/>
    <row r="542">
      <c r="A542" s="14" t="inlineStr">
        <is>
          <t>Memoespírito: Conceito — 11.3 Passo 2</t>
        </is>
      </c>
    </row>
    <row r="543">
      <c r="A543" s="7" t="inlineStr">
        <is>
          <t>Conceito</t>
        </is>
      </c>
      <c r="B543" s="7" t="inlineStr">
        <is>
          <t>O que é</t>
        </is>
      </c>
    </row>
    <row r="544" ht="48" customHeight="1">
      <c r="A544" s="58" t="inlineStr">
        <is>
          <t>Memória de Guerra</t>
        </is>
      </c>
      <c r="B544" s="4" t="inlineStr">
        <is>
          <t>Um espírito nascido de batalhas passadas, feito de força e de combate</t>
        </is>
      </c>
    </row>
    <row r="545" ht="48" customHeight="1">
      <c r="A545" s="59" t="inlineStr">
        <is>
          <t>Memória Perdida</t>
        </is>
      </c>
      <c r="B545" s="9" t="inlineStr">
        <is>
          <t>Uma pessoa ou um momento esquecido que voltou como manifestação</t>
        </is>
      </c>
    </row>
    <row r="546" ht="48" customHeight="1">
      <c r="A546" s="58" t="inlineStr">
        <is>
          <t>Memória Animal</t>
        </is>
      </c>
      <c r="B546" s="4" t="inlineStr">
        <is>
          <t>Uma criatura ligada a uma lembrança de infância ou a um vínculo profundo</t>
        </is>
      </c>
    </row>
    <row r="547" ht="48" customHeight="1">
      <c r="A547" s="59" t="inlineStr">
        <is>
          <t>Memória Artificial</t>
        </is>
      </c>
      <c r="B547" s="9" t="inlineStr">
        <is>
          <t>Uma consciência criada por tecnologia ou por conhecimento acumulado</t>
        </is>
      </c>
    </row>
    <row r="548" ht="48" customHeight="1">
      <c r="A548" s="58" t="inlineStr">
        <is>
          <t>Memória Celestial</t>
        </is>
      </c>
      <c r="B548" s="4" t="inlineStr">
        <is>
          <t>Um fragmento de uma entidade antiga ou de uma força cósmica</t>
        </is>
      </c>
    </row>
    <row r="549"/>
    <row r="550">
      <c r="A550" s="14" t="inlineStr">
        <is>
          <t>Memoespírito: Função — 11.3 Passo 3</t>
        </is>
      </c>
    </row>
    <row r="551">
      <c r="A551" s="7" t="inlineStr">
        <is>
          <t>Função</t>
        </is>
      </c>
      <c r="B551" s="7" t="inlineStr">
        <is>
          <t>Bônus</t>
        </is>
      </c>
    </row>
    <row r="552" ht="37" customHeight="1">
      <c r="A552" s="58" t="inlineStr">
        <is>
          <t>Predador</t>
        </is>
      </c>
      <c r="B552" s="4" t="inlineStr">
        <is>
          <t>Os ataques dele causam +1d8 de dano</t>
        </is>
      </c>
    </row>
    <row r="553" ht="127" customHeight="1">
      <c r="A553" s="59" t="inlineStr">
        <is>
          <t>Guardião</t>
        </is>
      </c>
      <c r="B553" s="9" t="inlineStr">
        <is>
          <t>+PV máximo igual a 3 × seu nível; ele pode gastar a Reação dele, ou o turno dele, para dar RD igual à sua Eficiência a um aliado a até Distância Curta, até o fim do próximo turno daquele aliado</t>
        </is>
      </c>
    </row>
    <row r="554" ht="82" customHeight="1">
      <c r="A554" s="58" t="inlineStr">
        <is>
          <t>Catalisador</t>
        </is>
      </c>
      <c r="B554" s="4" t="inlineStr">
        <is>
          <t>Você ganha +1 em Testes de Ataque enquanto ele estiver ativo; e uma vez por Ciclo, uma Habilidade sua causa +1 dado base</t>
        </is>
      </c>
    </row>
    <row r="555" ht="105" customHeight="1">
      <c r="A555" s="59" t="inlineStr">
        <is>
          <t>Controlador</t>
        </is>
      </c>
      <c r="B555" s="9" t="inlineStr">
        <is>
          <t>Uma vez por turno, o ataque dele aplica Vulnerável, Marcado ou Lentidão (capítulo 21), à sua escolha, e o alvo sofre -1 em Testes de Ataque até o fim do próximo turno dele</t>
        </is>
      </c>
    </row>
    <row r="556"/>
    <row r="557">
      <c r="A557" s="14" t="inlineStr">
        <is>
          <t>Memoespírito: Bônus menores — 11.3 Passo 4</t>
        </is>
      </c>
    </row>
    <row r="558">
      <c r="A558" s="7" t="inlineStr">
        <is>
          <t>Bônus menor</t>
        </is>
      </c>
      <c r="B558" s="7" t="inlineStr">
        <is>
          <t>Efeito</t>
        </is>
      </c>
    </row>
    <row r="559" ht="26" customHeight="1">
      <c r="A559" s="58" t="inlineStr">
        <is>
          <t>Força Espiritual</t>
        </is>
      </c>
      <c r="B559" s="4" t="inlineStr">
        <is>
          <t>+2 de dano nos ataques dele</t>
        </is>
      </c>
    </row>
    <row r="560" ht="37" customHeight="1">
      <c r="A560" s="59" t="inlineStr">
        <is>
          <t>Resistência Espiritual</t>
        </is>
      </c>
      <c r="B560" s="9" t="inlineStr">
        <is>
          <t>+PV máximo igual a 2 × seu nível e +1 RD</t>
        </is>
      </c>
    </row>
    <row r="561" ht="48" customHeight="1">
      <c r="A561" s="58" t="inlineStr">
        <is>
          <t>Velocidade Espiritual</t>
        </is>
      </c>
      <c r="B561" s="4" t="inlineStr">
        <is>
          <t>+2 de Velocidade e +1 Distância na Ação de Movimento dele</t>
        </is>
      </c>
    </row>
    <row r="562" ht="37" customHeight="1">
      <c r="A562" s="59" t="inlineStr">
        <is>
          <t>Memória Afiada</t>
        </is>
      </c>
      <c r="B562" s="9" t="inlineStr">
        <is>
          <t>+1 no Teste de Ataque das duas Habilidades dele</t>
        </is>
      </c>
    </row>
    <row r="563" ht="82" customHeight="1">
      <c r="A563" s="58" t="inlineStr">
        <is>
          <t>Vínculo Profundo</t>
        </is>
      </c>
      <c r="B563" s="4" t="inlineStr">
        <is>
          <t>Uma vez por Ciclo, quando você e ele atacam o mesmo alvo no mesmo Ciclo, o segundo dos dois ataques causa +1 dado base</t>
        </is>
      </c>
    </row>
    <row r="564" ht="116" customHeight="1">
      <c r="A564" s="59" t="inlineStr">
        <is>
          <t>Forma Mutável</t>
        </is>
      </c>
      <c r="B564" s="9" t="inlineStr">
        <is>
          <t>Uma vez por Descanso Longo você pode remanejar 3 pontos de atributo dele; e uma vez por combate ele pode trocar o Elemento do ataque dele por outro Elemento usado pelo grupo</t>
        </is>
      </c>
    </row>
    <row r="565"/>
    <row r="566">
      <c r="A566" s="14" t="inlineStr">
        <is>
          <t>Memoespírito: Técnica Principal — 11.3 Passo 5</t>
        </is>
      </c>
    </row>
    <row r="567">
      <c r="A567" s="7" t="inlineStr">
        <is>
          <t>Modelo da v0.1</t>
        </is>
      </c>
      <c r="B567" s="7" t="inlineStr">
        <is>
          <t>Acréscimo</t>
        </is>
      </c>
    </row>
    <row r="568" ht="26" customHeight="1">
      <c r="A568" s="58" t="inlineStr">
        <is>
          <t>Golpe Ancestral</t>
        </is>
      </c>
      <c r="B568" s="4" t="inlineStr">
        <is>
          <t>+1 dado base contra alvo único</t>
        </is>
      </c>
    </row>
    <row r="569" ht="60" customHeight="1">
      <c r="A569" s="59" t="inlineStr">
        <is>
          <t>Explosão de Memória</t>
        </is>
      </c>
      <c r="B569" s="9" t="inlineStr">
        <is>
          <t>Atinge até 3 alvos a até uma Distância um do outro, com metade dos dados (mínimo 1)</t>
        </is>
      </c>
    </row>
    <row r="570" ht="60" customHeight="1">
      <c r="A570" s="58" t="inlineStr">
        <is>
          <t>Marca do Passado</t>
        </is>
      </c>
      <c r="B570" s="4" t="inlineStr">
        <is>
          <t>Ao acertar, aplica Marcado ou Vulnerável até o fim do próximo turno do alvo</t>
        </is>
      </c>
    </row>
    <row r="571" ht="48" customHeight="1">
      <c r="A571" s="59" t="inlineStr">
        <is>
          <t>Ataque Evolutivo</t>
        </is>
      </c>
      <c r="B571" s="9" t="inlineStr">
        <is>
          <t>+1 de dano acumulativo a cada uso no mesmo combate, até +5</t>
        </is>
      </c>
    </row>
    <row r="572"/>
    <row r="573">
      <c r="A573" s="14" t="inlineStr">
        <is>
          <t>Memoespírito: Técnica Auxiliar — 11.3 Passo 5</t>
        </is>
      </c>
    </row>
    <row r="574">
      <c r="A574" s="7" t="inlineStr">
        <is>
          <t>Modelo da v0.1</t>
        </is>
      </c>
      <c r="B574" s="7" t="inlineStr">
        <is>
          <t>Efeito</t>
        </is>
      </c>
    </row>
    <row r="575" ht="60" customHeight="1">
      <c r="A575" s="58" t="inlineStr">
        <is>
          <t>Proteção da Memória</t>
        </is>
      </c>
      <c r="B575" s="4" t="inlineStr">
        <is>
          <t>PV temporários = 1 × Eficiência a um aliado, ou +1 RD até o fim do próximo turno dele</t>
        </is>
      </c>
    </row>
    <row r="576" ht="60" customHeight="1">
      <c r="A576" s="59" t="inlineStr">
        <is>
          <t>Eco Inspirador</t>
        </is>
      </c>
      <c r="B576" s="9" t="inlineStr">
        <is>
          <t>+1 na próxima rolagem de um aliado, ou +1 de Velocidade até o fim do Ciclo</t>
        </is>
      </c>
    </row>
    <row r="577" ht="48" customHeight="1">
      <c r="A577" s="58" t="inlineStr">
        <is>
          <t>Fragmento Restaurador</t>
        </is>
      </c>
      <c r="B577" s="4" t="inlineStr">
        <is>
          <t>Cura 1d6 + Eficiência PV, ou remove 1 condição de um aliado</t>
        </is>
      </c>
    </row>
    <row r="578" ht="60" customHeight="1">
      <c r="A578" s="59" t="inlineStr">
        <is>
          <t>Presença Assombrosa</t>
        </is>
      </c>
      <c r="B578" s="9" t="inlineStr">
        <is>
          <t>-1 na próxima rolagem de um inimigo, ou aplica Lentidão até o fim do próximo turno dele</t>
        </is>
      </c>
    </row>
    <row r="579"/>
    <row r="580">
      <c r="A580" s="14" t="inlineStr">
        <is>
          <t>Memoespírito: Evoluções (níveis 8, 14 e 20) — 11.3</t>
        </is>
      </c>
    </row>
    <row r="581">
      <c r="A581" s="7" t="inlineStr">
        <is>
          <t>Evolução</t>
        </is>
      </c>
      <c r="B581" s="7" t="inlineStr">
        <is>
          <t>Efeito</t>
        </is>
      </c>
    </row>
    <row r="582" ht="71" customHeight="1">
      <c r="A582" s="58" t="inlineStr">
        <is>
          <t>Forma Completa</t>
        </is>
      </c>
      <c r="B582" s="4" t="inlineStr">
        <is>
          <t>+1 dado base nos ataques dele, e a Técnica Principal ganha um segundo acréscimo da tabela acima</t>
        </is>
      </c>
    </row>
    <row r="583" ht="71" customHeight="1">
      <c r="A583" s="59" t="inlineStr">
        <is>
          <t>Fusão de Memórias</t>
        </is>
      </c>
      <c r="B583" s="9" t="inlineStr">
        <is>
          <t>Você ganha +1 em Testes de Ataque enquanto ele estiver ativo, e a Técnica Auxiliar passa a alcançar 2 alvos</t>
        </is>
      </c>
    </row>
    <row r="584" ht="116" customHeight="1">
      <c r="A584" s="58" t="inlineStr">
        <is>
          <t>Memória Desperta</t>
        </is>
      </c>
      <c r="B584" s="4" t="inlineStr">
        <is>
          <t>Ele ganha uma terceira Habilidade (pela mesma régua), +2 de Defesa ou de Velocidade à sua escolha, e uma característica única — aparência, voz, um detalhe que a mesa vai lembrar</t>
        </is>
      </c>
    </row>
    <row r="585"/>
    <row r="586">
      <c r="A586" s="14" t="inlineStr">
        <is>
          <t>Ficha do Memoespírito — 11.4</t>
        </is>
      </c>
    </row>
    <row r="587">
      <c r="A587" s="7" t="inlineStr">
        <is>
          <t>Estatística</t>
        </is>
      </c>
      <c r="B587" s="7" t="inlineStr">
        <is>
          <t>Fórmula</t>
        </is>
      </c>
    </row>
    <row r="588" ht="26" customHeight="1">
      <c r="A588" s="58" t="inlineStr">
        <is>
          <t>PV</t>
        </is>
      </c>
      <c r="B588" s="4" t="inlineStr">
        <is>
          <t>8 × seu nível + (3 × pontos em Vigor)</t>
        </is>
      </c>
    </row>
    <row r="589" ht="37" customHeight="1">
      <c r="A589" s="59" t="inlineStr">
        <is>
          <t>Defesa</t>
        </is>
      </c>
      <c r="B589" s="9" t="inlineStr">
        <is>
          <t>10 + pontos em Agilidade + sua Eficiência</t>
        </is>
      </c>
    </row>
    <row r="590" ht="48" customHeight="1">
      <c r="A590" s="58" t="inlineStr">
        <is>
          <t>Velocidade</t>
        </is>
      </c>
      <c r="B590" s="4" t="inlineStr">
        <is>
          <t>10 + pontos em Agilidade + Bônus de Velocidade do seu Caminho</t>
        </is>
      </c>
    </row>
    <row r="591" ht="60" customHeight="1">
      <c r="A591" s="59" t="inlineStr">
        <is>
          <t>Teste de Ataque</t>
        </is>
      </c>
      <c r="B591" s="9" t="inlineStr">
        <is>
          <t>d20 + Bônus do seu Atributo de Habilidade + pontos no Atributo de ataque dele + sua Eficiência</t>
        </is>
      </c>
    </row>
    <row r="592" ht="71" customHeight="1">
      <c r="A592" s="58" t="inlineStr">
        <is>
          <t>Dano do ataque</t>
        </is>
      </c>
      <c r="B592" s="4" t="inlineStr">
        <is>
          <t>(seus dados de Ataque Básico) d6 + pontos no Atributo de ataque dele, no Elemento escolhido na criação</t>
        </is>
      </c>
    </row>
    <row r="593" ht="26" customHeight="1">
      <c r="A593" s="59" t="inlineStr">
        <is>
          <t>Redução de Tenacidade</t>
        </is>
      </c>
      <c r="B593" s="9" t="inlineStr">
        <is>
          <t>1 · 2 a partir do seu nível 11</t>
        </is>
      </c>
    </row>
    <row r="594" ht="37" customHeight="1">
      <c r="A594" s="58" t="inlineStr">
        <is>
          <t>Testes de Resistência</t>
        </is>
      </c>
      <c r="B594" s="4" t="inlineStr">
        <is>
          <t>d20 + pontos no Atributo + sua Eficiência</t>
        </is>
      </c>
    </row>
    <row r="595" ht="37" customHeight="1">
      <c r="A595" s="59" t="inlineStr">
        <is>
          <t>RD</t>
        </is>
      </c>
      <c r="B595" s="9" t="inlineStr">
        <is>
          <t>0, salvo Função Guardião, Bônus menor ou Bênção</t>
        </is>
      </c>
    </row>
  </sheetData>
  <mergeCells count="52">
    <mergeCell ref="A256:L256"/>
    <mergeCell ref="A41:C41"/>
    <mergeCell ref="A388:C388"/>
    <mergeCell ref="A472:I472"/>
    <mergeCell ref="A279:H279"/>
    <mergeCell ref="A439:D439"/>
    <mergeCell ref="A73:B73"/>
    <mergeCell ref="A528:F528"/>
    <mergeCell ref="A557:C557"/>
    <mergeCell ref="A566:C566"/>
    <mergeCell ref="A396:E396"/>
    <mergeCell ref="A512:C512"/>
    <mergeCell ref="A332:G332"/>
    <mergeCell ref="A3:L3"/>
    <mergeCell ref="A294:L294"/>
    <mergeCell ref="A415:F415"/>
    <mergeCell ref="A360:B360"/>
    <mergeCell ref="A498:B498"/>
    <mergeCell ref="A25:B25"/>
    <mergeCell ref="A424:C424"/>
    <mergeCell ref="A304:D304"/>
    <mergeCell ref="A15:D15"/>
    <mergeCell ref="A537:B537"/>
    <mergeCell ref="A573:C573"/>
    <mergeCell ref="A504:C504"/>
    <mergeCell ref="A542:C542"/>
    <mergeCell ref="A455:J455"/>
    <mergeCell ref="A520:G520"/>
    <mergeCell ref="A52:C52"/>
    <mergeCell ref="A586:B586"/>
    <mergeCell ref="A228:D228"/>
    <mergeCell ref="A382:C382"/>
    <mergeCell ref="O4:AT4"/>
    <mergeCell ref="A464:B464"/>
    <mergeCell ref="A478:D478"/>
    <mergeCell ref="A349:C349"/>
    <mergeCell ref="A82:L82"/>
    <mergeCell ref="A238:D238"/>
    <mergeCell ref="A484:D484"/>
    <mergeCell ref="A580:C580"/>
    <mergeCell ref="A287:C287"/>
    <mergeCell ref="A324:K324"/>
    <mergeCell ref="A94:F94"/>
    <mergeCell ref="A1:L1"/>
    <mergeCell ref="A339:C339"/>
    <mergeCell ref="A432:B432"/>
    <mergeCell ref="A447:D447"/>
    <mergeCell ref="A372:H372"/>
    <mergeCell ref="A550:B550"/>
    <mergeCell ref="A117:H117"/>
    <mergeCell ref="A314:B314"/>
    <mergeCell ref="A5:G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2026-10-05T11:30:28Z</dcterms:created>
  <dcterms:modified xmlns:dcterms="http://purl.org/dc/terms/" xmlns:xsi="http://www.w3.org/2001/XMLSchema-instance" xsi:type="dcterms:W3CDTF">2026-10-05T11:31:17Z</dcterms:modified>
</cp:coreProperties>
</file>