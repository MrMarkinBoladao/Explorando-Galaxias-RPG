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riação" sheetId="2" state="visible" r:id="rId2"/>
    <sheet xmlns:r="http://schemas.openxmlformats.org/officeDocument/2006/relationships" name="Em Jogo" sheetId="3" state="visible" r:id="rId3"/>
    <sheet xmlns:r="http://schemas.openxmlformats.org/officeDocument/2006/relationships" name="Testes" sheetId="4" state="visible" r:id="rId4"/>
    <sheet xmlns:r="http://schemas.openxmlformats.org/officeDocument/2006/relationships" name="Habilidades" sheetId="5" state="visible" r:id="rId5"/>
    <sheet xmlns:r="http://schemas.openxmlformats.org/officeDocument/2006/relationships" name="Caminho" sheetId="6" state="visible" r:id="rId6"/>
    <sheet xmlns:r="http://schemas.openxmlformats.org/officeDocument/2006/relationships" name="Equipamento" sheetId="7" state="visible" r:id="rId7"/>
    <sheet xmlns:r="http://schemas.openxmlformats.org/officeDocument/2006/relationships" name="Progressão" sheetId="8" state="visible" r:id="rId8"/>
    <sheet xmlns:r="http://schemas.openxmlformats.org/officeDocument/2006/relationships" name="Regras Rápida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9">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b val="1"/>
      <color rgb="009C0006"/>
      <sz val="10"/>
    </font>
    <font>
      <name val="Arial"/>
      <b val="1"/>
      <color rgb="001F1F1F"/>
      <sz val="10"/>
    </font>
    <font>
      <name val="Arial"/>
      <color rgb="00595959"/>
      <sz val="10"/>
    </font>
    <font>
      <name val="Arial"/>
      <b val="1"/>
      <color rgb="00000000"/>
      <sz val="9"/>
    </font>
    <font>
      <name val="Arial"/>
      <color rgb="001F1F1F"/>
      <sz val="9"/>
    </font>
    <font>
      <name val="Arial"/>
      <sz val="9"/>
    </font>
    <font>
      <name val="Arial"/>
      <color rgb="00000000"/>
      <sz val="9"/>
    </font>
    <font>
      <name val="Arial"/>
      <b val="1"/>
      <color rgb="001F1F1F"/>
      <sz val="9"/>
    </font>
    <font>
      <name val="Arial"/>
      <b val="1"/>
      <color rgb="009C0006"/>
      <sz val="9"/>
    </font>
    <font>
      <name val="Arial"/>
      <b val="1"/>
      <color rgb="001F3864"/>
      <sz val="9"/>
    </font>
    <font>
      <name val="Arial"/>
      <b val="1"/>
      <color rgb="00FFFFFF"/>
      <sz val="10"/>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FFF2CC"/>
      </patternFill>
    </fill>
    <fill>
      <patternFill patternType="solid">
        <fgColor rgb="00D9D9D9"/>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1">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top style="thin">
        <color rgb="00BF9000"/>
      </top>
      <bottom style="thin">
        <color rgb="00BF9000"/>
      </bottom>
      <diagonal/>
    </border>
    <border>
      <left/>
      <right style="thin">
        <color rgb="00BF9000"/>
      </right>
      <top style="thin">
        <color rgb="00BF9000"/>
      </top>
      <bottom style="thin">
        <color rgb="00BF9000"/>
      </bottom>
      <diagonal/>
    </border>
    <border>
      <left/>
      <right/>
      <top/>
      <bottom style="medium">
        <color rgb="001F3864"/>
      </bottom>
      <diagonal/>
    </border>
    <border>
      <left/>
      <right style="medium">
        <color rgb="001F3864"/>
      </right>
      <top/>
      <bottom/>
    </border>
    <border>
      <right/>
      <bottom style="medium">
        <color rgb="001F3864"/>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7" fillId="5" borderId="2" applyAlignment="1" pivotButton="0" quotePrefix="0" xfId="0">
      <alignment vertical="center" wrapText="1"/>
    </xf>
    <xf numFmtId="0" fontId="6" fillId="4" borderId="0" applyAlignment="1" pivotButton="0" quotePrefix="0" xfId="0">
      <alignment vertical="center" wrapText="1"/>
    </xf>
    <xf numFmtId="0" fontId="8" fillId="7" borderId="0" applyAlignment="1" pivotButton="0" quotePrefix="0" xfId="0">
      <alignment vertical="center" wrapText="1"/>
    </xf>
    <xf numFmtId="0" fontId="18"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10" fillId="6" borderId="0" applyAlignment="1" pivotButton="0" quotePrefix="0" xfId="0">
      <alignment vertical="center" wrapText="1"/>
    </xf>
    <xf numFmtId="0" fontId="3"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4" fillId="2" borderId="0" applyAlignment="1" pivotButton="0" quotePrefix="0" xfId="0">
      <alignment vertical="center"/>
    </xf>
    <xf numFmtId="0" fontId="0" fillId="0" borderId="7" pivotButton="0" quotePrefix="0" xfId="0"/>
    <xf numFmtId="0" fontId="2" fillId="0" borderId="8" applyAlignment="1" pivotButton="0" quotePrefix="0" xfId="0">
      <alignment vertical="center"/>
    </xf>
    <xf numFmtId="0" fontId="9" fillId="4" borderId="0" applyAlignment="1" pivotButton="0" quotePrefix="0" xfId="0">
      <alignment vertical="center"/>
    </xf>
    <xf numFmtId="0" fontId="2" fillId="9" borderId="8" applyAlignment="1" pivotButton="0" quotePrefix="0" xfId="0">
      <alignment vertical="center"/>
    </xf>
    <xf numFmtId="0" fontId="9" fillId="8" borderId="0" applyAlignment="1" pivotButton="0" quotePrefix="0" xfId="0">
      <alignment vertical="center"/>
    </xf>
    <xf numFmtId="0" fontId="8" fillId="9" borderId="0" applyAlignment="1" pivotButton="0" quotePrefix="0" xfId="0">
      <alignment vertical="center" wrapText="1"/>
    </xf>
    <xf numFmtId="0" fontId="6" fillId="8" borderId="0" applyAlignment="1" pivotButton="0" quotePrefix="0" xfId="0">
      <alignment vertical="center"/>
    </xf>
    <xf numFmtId="0" fontId="6" fillId="4" borderId="0" applyAlignment="1" pivotButton="0" quotePrefix="0" xfId="0">
      <alignment vertical="center"/>
    </xf>
    <xf numFmtId="0" fontId="7" fillId="5" borderId="2" applyAlignment="1" pivotButton="0" quotePrefix="0" xfId="0">
      <alignment vertical="center"/>
    </xf>
    <xf numFmtId="0" fontId="18" fillId="2" borderId="0" applyAlignment="1" pivotButton="0" quotePrefix="0" xfId="0">
      <alignment vertical="center"/>
    </xf>
    <xf numFmtId="0" fontId="10" fillId="6" borderId="0" applyAlignment="1" pivotButton="0" quotePrefix="0" xfId="0">
      <alignment vertical="center"/>
    </xf>
    <xf numFmtId="0" fontId="2" fillId="0" borderId="0" applyAlignment="1" pivotButton="0" quotePrefix="0" xfId="0">
      <alignment vertical="center" wrapText="1"/>
    </xf>
    <xf numFmtId="0" fontId="7" fillId="5" borderId="2" applyAlignment="1" pivotButton="0" quotePrefix="0" xfId="0">
      <alignment vertical="top" wrapText="1"/>
    </xf>
    <xf numFmtId="0" fontId="0" fillId="0" borderId="5" pivotButton="0" quotePrefix="0" xfId="0"/>
    <xf numFmtId="0" fontId="0" fillId="0" borderId="6" pivotButton="0" quotePrefix="0" xfId="0"/>
    <xf numFmtId="0" fontId="5" fillId="3" borderId="1" applyAlignment="1" pivotButton="0" quotePrefix="0" xfId="0">
      <alignment horizontal="center" vertical="center" wrapText="1"/>
    </xf>
    <xf numFmtId="0" fontId="9" fillId="4" borderId="8" applyAlignment="1" pivotButton="0" quotePrefix="0" xfId="0">
      <alignment horizontal="center" vertical="center"/>
    </xf>
    <xf numFmtId="0" fontId="9" fillId="4" borderId="0" applyAlignment="1" pivotButton="0" quotePrefix="0" xfId="0">
      <alignment horizontal="center" vertical="center"/>
    </xf>
    <xf numFmtId="0" fontId="2" fillId="9" borderId="8" applyAlignment="1" pivotButton="0" quotePrefix="0" xfId="0">
      <alignment vertical="center" wrapText="1"/>
    </xf>
    <xf numFmtId="0" fontId="7" fillId="9" borderId="0" applyAlignment="1" pivotButton="0" quotePrefix="0" xfId="0">
      <alignment vertical="center" wrapText="1"/>
    </xf>
    <xf numFmtId="0" fontId="0" fillId="9" borderId="0" pivotButton="0" quotePrefix="0" xfId="0"/>
    <xf numFmtId="0" fontId="7" fillId="10" borderId="2" applyAlignment="1" pivotButton="0" quotePrefix="0" xfId="0">
      <alignment vertical="center"/>
    </xf>
    <xf numFmtId="0" fontId="9" fillId="4" borderId="0" applyAlignment="1" pivotButton="0" quotePrefix="0" xfId="0">
      <alignment vertical="center" wrapText="1"/>
    </xf>
    <xf numFmtId="0" fontId="11" fillId="0" borderId="0" applyAlignment="1" pivotButton="0" quotePrefix="0" xfId="0">
      <alignment vertical="center" wrapText="1"/>
    </xf>
    <xf numFmtId="0" fontId="12" fillId="4" borderId="0" applyAlignment="1" pivotButton="0" quotePrefix="0" xfId="0">
      <alignment vertical="center"/>
    </xf>
    <xf numFmtId="0" fontId="13" fillId="0" borderId="0" pivotButton="0" quotePrefix="0" xfId="0"/>
    <xf numFmtId="0" fontId="14" fillId="0" borderId="0" applyAlignment="1" pivotButton="0" quotePrefix="0" xfId="0">
      <alignment vertical="center" wrapText="1"/>
    </xf>
    <xf numFmtId="0" fontId="14" fillId="5" borderId="2" applyAlignment="1" pivotButton="0" quotePrefix="0" xfId="0">
      <alignment vertical="center"/>
    </xf>
    <xf numFmtId="0" fontId="7" fillId="0" borderId="0" applyAlignment="1" pivotButton="0" quotePrefix="0" xfId="0">
      <alignment vertical="center"/>
    </xf>
    <xf numFmtId="0" fontId="11" fillId="0" borderId="8" applyAlignment="1" pivotButton="0" quotePrefix="0" xfId="0">
      <alignment vertical="center" wrapText="1"/>
    </xf>
    <xf numFmtId="0" fontId="15" fillId="4" borderId="0" applyAlignment="1" pivotButton="0" quotePrefix="0" xfId="0">
      <alignment vertical="center"/>
    </xf>
    <xf numFmtId="0" fontId="16" fillId="4" borderId="0" applyAlignment="1" pivotButton="0" quotePrefix="0" xfId="0">
      <alignment vertical="center" wrapText="1"/>
    </xf>
    <xf numFmtId="0" fontId="17" fillId="3" borderId="1" applyAlignment="1" pivotButton="0" quotePrefix="0" xfId="0">
      <alignment vertical="center" wrapText="1"/>
    </xf>
    <xf numFmtId="0" fontId="13" fillId="0" borderId="7" pivotButton="0" quotePrefix="0" xfId="0"/>
    <xf numFmtId="0" fontId="15" fillId="4" borderId="8" applyAlignment="1" pivotButton="0" quotePrefix="0" xfId="0">
      <alignment vertical="center"/>
    </xf>
    <xf numFmtId="0" fontId="15" fillId="8" borderId="8" applyAlignment="1" pivotButton="0" quotePrefix="0" xfId="0">
      <alignment vertical="center"/>
    </xf>
    <xf numFmtId="0" fontId="15" fillId="8" borderId="0" applyAlignment="1" pivotButton="0" quotePrefix="0" xfId="0">
      <alignment vertical="center"/>
    </xf>
    <xf numFmtId="0" fontId="12" fillId="8" borderId="0" applyAlignment="1" pivotButton="0" quotePrefix="0" xfId="0">
      <alignment vertical="center"/>
    </xf>
    <xf numFmtId="0" fontId="11" fillId="5" borderId="10" applyAlignment="1" pivotButton="0" quotePrefix="0" xfId="0">
      <alignment vertical="center"/>
    </xf>
    <xf numFmtId="0" fontId="13" fillId="0" borderId="6" pivotButton="0" quotePrefix="0" xfId="0"/>
    <xf numFmtId="0" fontId="11" fillId="10" borderId="10" applyAlignment="1" pivotButton="0" quotePrefix="0" xfId="0">
      <alignment vertical="center"/>
    </xf>
    <xf numFmtId="0" fontId="14" fillId="10" borderId="2" applyAlignment="1" pivotButton="0" quotePrefix="0" xfId="0">
      <alignment vertical="center"/>
    </xf>
    <xf numFmtId="0" fontId="5" fillId="3" borderId="9" applyAlignment="1" pivotButton="0" quotePrefix="0" xfId="0">
      <alignment vertical="center" wrapText="1"/>
    </xf>
    <xf numFmtId="0" fontId="9" fillId="4" borderId="8" applyAlignment="1" pivotButton="0" quotePrefix="0" xfId="0">
      <alignment vertical="center"/>
    </xf>
    <xf numFmtId="0" fontId="9" fillId="8" borderId="8" applyAlignment="1" pivotButton="0" quotePrefix="0" xfId="0">
      <alignment vertical="center"/>
    </xf>
    <xf numFmtId="0" fontId="7" fillId="10" borderId="2" applyAlignment="1" pivotButton="0" quotePrefix="0" xfId="0">
      <alignment vertical="top" wrapText="1"/>
    </xf>
    <xf numFmtId="0" fontId="9" fillId="8" borderId="0" applyAlignment="1" pivotButton="0" quotePrefix="0" xfId="0">
      <alignment vertical="center" wrapText="1"/>
    </xf>
    <xf numFmtId="0" fontId="2" fillId="5" borderId="10" applyAlignment="1" pivotButton="0" quotePrefix="0" xfId="0">
      <alignment vertical="top" wrapText="1"/>
    </xf>
    <xf numFmtId="0" fontId="2" fillId="10" borderId="10" applyAlignment="1" pivotButton="0" quotePrefix="0" xfId="0">
      <alignment vertical="top" wrapText="1"/>
    </xf>
    <xf numFmtId="0" fontId="6" fillId="4" borderId="0" applyAlignment="1" pivotButton="0" quotePrefix="0" xfId="0">
      <alignment horizontal="center" vertical="center"/>
    </xf>
    <xf numFmtId="0" fontId="9" fillId="8" borderId="8" applyAlignment="1" pivotButton="0" quotePrefix="0" xfId="0">
      <alignment horizontal="center" vertical="center"/>
    </xf>
    <xf numFmtId="0" fontId="6" fillId="8" borderId="0" applyAlignment="1" pivotButton="0" quotePrefix="0" xfId="0">
      <alignment horizontal="center" vertical="center"/>
    </xf>
    <xf numFmtId="0" fontId="5" fillId="3" borderId="1" applyAlignment="1" pivotButton="0" quotePrefix="0" xfId="0">
      <alignment horizontal="left" vertical="center" wrapText="1"/>
    </xf>
    <xf numFmtId="0" fontId="9" fillId="4" borderId="8" applyAlignment="1" pivotButton="0" quotePrefix="0" xfId="0">
      <alignment horizontal="left" vertical="center" wrapText="1"/>
    </xf>
    <xf numFmtId="0" fontId="6" fillId="4" borderId="0" applyAlignment="1" pivotButton="0" quotePrefix="0" xfId="0">
      <alignment horizontal="center" vertical="center" wrapText="1"/>
    </xf>
    <xf numFmtId="0" fontId="9" fillId="8" borderId="8" applyAlignment="1" pivotButton="0" quotePrefix="0" xfId="0">
      <alignment horizontal="left" vertical="center" wrapText="1"/>
    </xf>
    <xf numFmtId="0" fontId="6" fillId="8" borderId="0" applyAlignment="1" pivotButton="0" quotePrefix="0" xfId="0">
      <alignment horizontal="center" vertical="center" wrapText="1"/>
    </xf>
    <xf numFmtId="0" fontId="9" fillId="4" borderId="8" applyAlignment="1" pivotButton="0" quotePrefix="0" xfId="0">
      <alignment vertical="center" wrapText="1"/>
    </xf>
    <xf numFmtId="0" fontId="6" fillId="4" borderId="0" applyAlignment="1" pivotButton="0" quotePrefix="0" xfId="0">
      <alignment horizontal="left" vertical="center" wrapText="1"/>
    </xf>
    <xf numFmtId="0" fontId="6" fillId="8" borderId="0" applyAlignment="1" pivotButton="0" quotePrefix="0" xfId="0">
      <alignment horizontal="left" vertical="center" wrapText="1"/>
    </xf>
    <xf numFmtId="0" fontId="9" fillId="8" borderId="8" applyAlignment="1" pivotButton="0" quotePrefix="0" xfId="0">
      <alignment vertical="center" wrapText="1"/>
    </xf>
  </cellXfs>
  <cellStyles count="1">
    <cellStyle name="Normal" xfId="0" builtinId="0" hidden="0"/>
  </cellStyles>
  <dxfs count="3">
    <dxf>
      <fill>
        <patternFill patternType="solid">
          <fgColor rgb="00FFC7CE"/>
          <bgColor rgb="00FFC7CE"/>
        </patternFill>
      </fill>
    </dxf>
    <dxf>
      <font>
        <color rgb="00595959"/>
      </font>
      <fill>
        <patternFill patternType="solid">
          <fgColor rgb="00D9D9D9"/>
          <bgColor rgb="00D9D9D9"/>
        </patternFill>
      </fill>
    </dxf>
    <dxf>
      <font>
        <b val="1"/>
        <color rgb="00000000"/>
      </font>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30" customWidth="1" min="1" max="1"/>
    <col width="12" customWidth="1" min="2" max="2"/>
    <col width="13" customWidth="1" min="3" max="3"/>
    <col width="13" customWidth="1" min="4" max="4"/>
    <col width="13" customWidth="1" min="5" max="5"/>
    <col width="13" customWidth="1" min="6" max="6"/>
    <col width="13" customWidth="1" min="7" max="7"/>
    <col width="13.7" customWidth="1" min="8" max="8"/>
    <col width="13" customWidth="1" min="9" max="9"/>
    <col width="13" customWidth="1" min="10" max="10"/>
    <col width="13" customWidth="1" min="11" max="11"/>
    <col width="13" customWidth="1" min="12" max="12"/>
  </cols>
  <sheetData>
    <row r="1" ht="24" customHeight="1">
      <c r="A1" s="1" t="inlineStr">
        <is>
          <t>Início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Comece por aqui: como usar a ficha, importar no Google Planilhas e o painel de avisos.</t>
        </is>
      </c>
    </row>
    <row r="4"/>
    <row r="5" ht="24" customHeight="1">
      <c r="A5" s="1" t="inlineStr">
        <is>
          <t>Ficha de Personagem — Explorando Galáxias v1.2</t>
        </is>
      </c>
    </row>
    <row r="6" ht="30" customHeight="1">
      <c r="A6" s="12" t="inlineStr">
        <is>
          <t>Sistema de RPG de mesa no universo de Honkai: Star Rail · autoria: MC Filhos · versão v1.2 · níveis 1 a 20. Ficha automatizada para o Google Planilhas: preencha as células amarelas e o resto se calcula sozinho. Ficha V1.2 · revisão 1.</t>
        </is>
      </c>
    </row>
    <row r="7">
      <c r="A7" s="13" t="inlineStr">
        <is>
          <t>Não comece um texto com +, - ou =: o Google entende como fórmula. Se precisar, digite um apóstrofo (') antes.</t>
        </is>
      </c>
    </row>
    <row r="8"/>
    <row r="9">
      <c r="A9" s="14" t="inlineStr">
        <is>
          <t>Painel de avisos (automático) — uma linha por aba; zero avisos = ficha conferida</t>
        </is>
      </c>
    </row>
    <row r="10">
      <c r="A10" s="7" t="inlineStr">
        <is>
          <t>Aba</t>
        </is>
      </c>
      <c r="B10" s="7" t="inlineStr">
        <is>
          <t>Avisos</t>
        </is>
      </c>
      <c r="C10" s="7" t="inlineStr">
        <is>
          <t>Primeiro aviso</t>
        </is>
      </c>
      <c r="D10" s="15" t="n"/>
      <c r="E10" s="15" t="n"/>
      <c r="F10" s="15" t="n"/>
      <c r="G10" s="15" t="n"/>
      <c r="H10" s="15" t="n"/>
      <c r="I10" s="15" t="n"/>
      <c r="J10" s="15" t="n"/>
      <c r="K10" s="15" t="n"/>
      <c r="L10" s="15" t="n"/>
    </row>
    <row r="11" ht="30" customHeight="1">
      <c r="A11" s="16" t="inlineStr">
        <is>
          <t>Criação</t>
        </is>
      </c>
      <c r="B11" s="17">
        <f>SUMPRODUCT((LEN('Criação'!$K$6:$K$10)&gt;0)*1)+SUMPRODUCT((LEN('Criação'!$K$20:$K$22)&gt;0)*1)+SUMPRODUCT((LEN('Criação'!$K$25:$K$28)&gt;0)*1)+(LEN('Criação'!$K$33)&gt;0)*1+SUMPRODUCT((LEN('Criação'!$K$44:$K$51)&gt;0)*1)+(LEN('Criação'!$K$54)&gt;0)*1+(LEN('Criação'!$K$60)&gt;0)*1+(LEN('Criação'!$K$65)&gt;0)*1+(LEN('Criação'!$K$67)&gt;0)*1+SUMPRODUCT((LEN('Criação'!$K$69:$K$73)&gt;0)*1)+SUMPRODUCT((LEN('Criação'!$K$75:$K$82)&gt;0)*1)+SUMPRODUCT((LEN('Criação'!$K$84:$K$88)&gt;0)*1)+(LEN('Criação'!$K$91)&gt;0)*1+SUMPRODUCT((LEN('Criação'!$K$97:$K$99)&gt;0)*1)+SUMPRODUCT((LEN('Criação'!$K$107:$K$111)&gt;0)*1)+SUMPRODUCT((LEN('Criação'!$K$114:$K$115)&gt;0)*1)+SUMPRODUCT((LEN('Criação'!$K$117:$K$118)&gt;0)*1)</f>
        <v/>
      </c>
      <c r="C11" s="13">
        <f>IFERROR(INDEX('Criação'!$K$6:$K$10,MATCH("?*",'Criação'!$K$6:$K$10,0)),IFERROR(INDEX('Criação'!$K$20:$K$22,MATCH("?*",'Criação'!$K$20:$K$22,0)),IFERROR(INDEX('Criação'!$K$25:$K$28,MATCH("?*",'Criação'!$K$25:$K$28,0)),IFERROR(INDEX('Criação'!$K$33,MATCH("?*",'Criação'!$K$33,0)),IFERROR(INDEX('Criação'!$K$44:$K$51,MATCH("?*",'Criação'!$K$44:$K$51,0)),IFERROR(INDEX('Criação'!$K$54,MATCH("?*",'Criação'!$K$54,0)),IFERROR(INDEX('Criação'!$K$60,MATCH("?*",'Criação'!$K$60,0)),IFERROR(INDEX('Criação'!$K$65,MATCH("?*",'Criação'!$K$65,0)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$107:$K$111,MATCH("?*",'Criação'!$K$107:$K$111,0)),IFERROR(INDEX('Criação'!$K$114:$K$115,MATCH("?*",'Criação'!$K$114:$K$115,0)),IFERROR(INDEX('Criação'!$K$117:$K$118,MATCH("?*",'Criação'!$K$117:$K$118,0)),"")))))))))))))))))</f>
        <v/>
      </c>
    </row>
    <row r="12" ht="30" customHeight="1">
      <c r="A12" s="18" t="inlineStr">
        <is>
          <t>Em Jogo</t>
        </is>
      </c>
      <c r="B12" s="19">
        <f>SUMPRODUCT((LEN('Em Jogo'!$N$2:$N$20)&gt;0)*1)+SUMPRODUCT((LEN('Em Jogo'!$N$33:$N$40)&gt;0)*1)</f>
        <v/>
      </c>
      <c r="C12" s="20">
        <f>IFERROR(INDEX('Em Jogo'!$N$2:$N$20,MATCH("?*",'Em Jogo'!$N$2:$N$20,0)),IFERROR(INDEX('Em Jogo'!$N$33:$N$40,MATCH("?*",'Em Jogo'!$N$33:$N$40,0)),""))</f>
        <v/>
      </c>
    </row>
    <row r="13" ht="30" customHeight="1">
      <c r="A13" s="16" t="inlineStr">
        <is>
          <t>Testes</t>
        </is>
      </c>
      <c r="B13" s="17">
        <f>SUMPRODUCT((LEN('Testes'!$K$40:$K$45)&gt;0)*1)+SUMPRODUCT((LEN('Testes'!$L$16:$L$20)&gt;0)*1)+SUMPRODUCT((LEN('Testes'!$L$22:$L$29)&gt;0)*1)+SUMPRODUCT((LEN('Testes'!$L$31:$L$35)&gt;0)*1)</f>
        <v/>
      </c>
      <c r="C13" s="13">
        <f>IFERROR(INDEX('Testes'!$K$40:$K$45,MATCH("?*",'Testes'!$K$40:$K$45,0)),IFERROR(INDEX('Testes'!$L$16:$L$20,MATCH("?*",'Testes'!$L$16:$L$20,0)),IFERROR(INDEX('Testes'!$L$22:$L$29,MATCH("?*",'Testes'!$L$22:$L$29,0)),IFERROR(INDEX('Testes'!$L$31:$L$35,MATCH("?*",'Testes'!$L$31:$L$35,0)),""))))</f>
        <v/>
      </c>
    </row>
    <row r="14" ht="30" customHeight="1">
      <c r="A14" s="18" t="inlineStr">
        <is>
          <t>Habilidades</t>
        </is>
      </c>
      <c r="B14" s="19">
        <f>SUMPRODUCT((LEN('Habilidades'!$I$12:$I$19)&gt;0)*1)+(LEN('Habilidades'!$K$54)&gt;0)*1+SUMPRODUCT((LEN('Habilidades'!$K$57:$K$58)&gt;0)*1)+SUMPRODUCT((LEN('Habilidades'!$L$7:$L$8)&gt;0)*1)+SUMPRODUCT((LEN('Habilidades'!$L$55:$L$56)&gt;0)*1)+(LEN('Habilidades'!$L$59)&gt;0)*1</f>
        <v/>
      </c>
      <c r="C14" s="20">
        <f>IFERROR(INDEX('Habilidades'!$I$12:$I$19,MATCH("?*",'Habilidades'!$I$12:$I$19,0)),IFERROR(INDEX('Habilidades'!$K$54,MATCH("?*",'Habilidades'!$K$54,0)),IFERROR(INDEX('Habilidades'!$K$57:$K$58,MATCH("?*",'Habilidades'!$K$57:$K$58,0)),IFERROR(INDEX('Habilidades'!$L$7:$L$8,MATCH("?*",'Habilidades'!$L$7:$L$8,0)),IFERROR(INDEX('Habilidades'!$L$55:$L$56,MATCH("?*",'Habilidades'!$L$55:$L$56,0)),IFERROR(INDEX('Habilidades'!$L$59,MATCH("?*",'Habilidades'!$L$59,0)),""))))))</f>
        <v/>
      </c>
    </row>
    <row r="15" ht="30" customHeight="1">
      <c r="A15" s="16" t="inlineStr">
        <is>
          <t>Caminho</t>
        </is>
      </c>
      <c r="B15" s="17">
        <f>SUMPRODUCT((LEN('Caminho'!$K$27:$K$36)&gt;0)*1)+SUMPRODUCT((LEN('Caminho'!$K$54:$K$58)&gt;0)*1)+SUMPRODUCT((LEN('Caminho'!$K$60:$K$67)&gt;0)*1)+SUMPRODUCT((LEN('Caminho'!$K$69:$K$73)&gt;0)*1)+SUMPRODUCT((LEN('Caminho'!$K$75:$K$78)&gt;0)*1)+SUMPRODUCT((LEN('Caminho'!$K$95:$K$96)&gt;0)*1)</f>
        <v/>
      </c>
      <c r="C15" s="13">
        <f>IFERROR(INDEX('Caminho'!$K$27:$K$36,MATCH("?*",'Caminho'!$K$27:$K$36,0)),IFERROR(INDEX('Caminho'!$K$54:$K$58,MATCH("?*",'Caminho'!$K$54:$K$58,0)),IFERROR(INDEX('Caminho'!$K$60:$K$67,MATCH("?*",'Caminho'!$K$60:$K$67,0)),IFERROR(INDEX('Caminho'!$K$69:$K$73,MATCH("?*",'Caminho'!$K$69:$K$73,0)),IFERROR(INDEX('Caminho'!$K$75:$K$78,MATCH("?*",'Caminho'!$K$75:$K$78,0)),IFERROR(INDEX('Caminho'!$K$95:$K$96,MATCH("?*",'Caminho'!$K$95:$K$96,0)),""))))))</f>
        <v/>
      </c>
    </row>
    <row r="16" ht="37" customHeight="1">
      <c r="A16" s="18" t="inlineStr">
        <is>
          <t>Equipamento</t>
        </is>
      </c>
      <c r="B16" s="19">
        <f>SUMPRODUCT((LEN('Equipamento'!$I$45:$I$47)&gt;0)*1)+(LEN('Equipamento'!$K$8)&gt;0)*1+(LEN('Equipamento'!$K$18)&gt;0)*1+(LEN('Equipamento'!$K$21)&gt;0)*1+(LEN('Equipamento'!$K$58)&gt;0)*1+SUMPRODUCT((LEN('Equipamento'!$K$60:$K$69)&gt;0)*1)+SUMPRODUCT((LEN('Equipamento'!$K$71:$K$80)&gt;0)*1)+(LEN('Equipamento'!$K$84)&gt;0)*1+SUMPRODUCT((LEN('Equipamento'!$K$86:$K$96)&gt;0)*1)+SUMPRODUCT((LEN('Equipamento'!$L$19:$L$20)&gt;0)*1)+SUMPRODUCT((LEN('Equipamento'!$L$22:$L$24)&gt;0)*1)+SUMPRODUCT((LEN('Equipamento'!$L$36:$L$41)&gt;0)*1)+(LEN('Equipamento'!$L$48)&gt;0)*1</f>
        <v/>
      </c>
      <c r="C16" s="20">
        <f>IFERROR(INDEX('Equipamento'!$I$45:$I$47,MATCH("?*",'Equipamento'!$I$45:$I$47,0)),IFERROR(INDEX('Equipamento'!$K$8,MATCH("?*",'Equipamento'!$K$8,0)),IFERROR(INDEX('Equipamento'!$K$18,MATCH("?*",'Equipamento'!$K$18,0)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$24,MATCH("?*",'Equipamento'!$L$22:$L$24,0)),IFERROR(INDEX('Equipamento'!$L$36:$L$41,MATCH("?*",'Equipamento'!$L$36:$L$41,0)),IFERROR(INDEX('Equipamento'!$L$48,MATCH("?*",'Equipamento'!$L$48,0)),"")))))))))))))</f>
        <v/>
      </c>
    </row>
    <row r="17" ht="30" customHeight="1">
      <c r="A17" s="16" t="inlineStr">
        <is>
          <t>Progressão</t>
        </is>
      </c>
      <c r="B17" s="17">
        <f>SUMPRODUCT((LEN('Progressão'!$H$57:$H$62)&gt;0)*1)+SUMPRODUCT((LEN('Progressão'!$I$67:$I$70)&gt;0)*1)</f>
        <v/>
      </c>
      <c r="C17" s="13">
        <f>IFERROR(INDEX('Progressão'!$H$57:$H$62,MATCH("?*",'Progressão'!$H$57:$H$62,0)),IFERROR(INDEX('Progressão'!$I$67:$I$70,MATCH("?*",'Progressão'!$I$67:$I$70,0)),""))</f>
        <v/>
      </c>
    </row>
    <row r="18">
      <c r="A18" s="18" t="inlineStr">
        <is>
          <t>Total</t>
        </is>
      </c>
      <c r="B18" s="19">
        <f>SUM(B11:B17)</f>
        <v/>
      </c>
      <c r="C18" s="21">
        <f>IF(B18=0,"Nenhum aviso: a ficha está conferida.","Abra a aba indicada e leia a coluna Aviso (na Em Jogo, a linha 13).")</f>
        <v/>
      </c>
    </row>
    <row r="19" ht="26" customHeight="1">
      <c r="A19" s="16" t="inlineStr">
        <is>
          <t>Células com erro na ficha</t>
        </is>
      </c>
      <c r="B19" s="17">
        <f>SUM($B$21:$K$21)</f>
        <v/>
      </c>
      <c r="C19" s="4">
        <f>IF($B$19=0,"Nenhuma célula com erro.","O Google leu como fórmula um texto que começa com +, - ou =. Procure a célula com erro na aba indicada abaixo (o aviso da linha diz o que fazer), apague e escreva de novo com um apóstrofo (') na frente, ou escolha de novo na lista.")</f>
        <v/>
      </c>
    </row>
    <row r="20" ht="30" customHeight="1">
      <c r="A20" s="7" t="inlineStr">
        <is>
          <t>Erros por aba</t>
        </is>
      </c>
      <c r="B20" s="7" t="inlineStr">
        <is>
          <t>Início</t>
        </is>
      </c>
      <c r="C20" s="7" t="inlineStr">
        <is>
          <t>Criação</t>
        </is>
      </c>
      <c r="D20" s="7" t="inlineStr">
        <is>
          <t>Em Jogo</t>
        </is>
      </c>
      <c r="E20" s="7" t="inlineStr">
        <is>
          <t>Testes</t>
        </is>
      </c>
      <c r="F20" s="7" t="inlineStr">
        <is>
          <t>Habilidades</t>
        </is>
      </c>
      <c r="G20" s="7" t="inlineStr">
        <is>
          <t>Caminho</t>
        </is>
      </c>
      <c r="H20" s="7" t="inlineStr">
        <is>
          <t>Equipamento</t>
        </is>
      </c>
      <c r="I20" s="7" t="inlineStr">
        <is>
          <t>Progressão</t>
        </is>
      </c>
      <c r="J20" s="7" t="inlineStr">
        <is>
          <t>Regras Rápidas</t>
        </is>
      </c>
      <c r="K20" s="7" t="inlineStr">
        <is>
          <t>Dados</t>
        </is>
      </c>
    </row>
    <row r="21">
      <c r="A21" s="16" t="inlineStr">
        <is>
          <t>Células com erro</t>
        </is>
      </c>
      <c r="B21" s="22">
        <f>SUMPRODUCT(ISERROR($A$1:$L$18)*1)+SUMPRODUCT(ISERROR($A$22:$L$53)*1)</f>
        <v/>
      </c>
      <c r="C21" s="22">
        <f>SUMPRODUCT(ISERROR('Criação'!$A$1:$T$127)*1)</f>
        <v/>
      </c>
      <c r="D21" s="22">
        <f>SUMPRODUCT(ISERROR('Em Jogo'!$A$1:$AP$44)*1)</f>
        <v/>
      </c>
      <c r="E21" s="22">
        <f>SUMPRODUCT(ISERROR('Testes'!$A$1:$O$47)*1)</f>
        <v/>
      </c>
      <c r="F21" s="22">
        <f>SUMPRODUCT(ISERROR('Habilidades'!$A$1:$AF$63)*1)</f>
        <v/>
      </c>
      <c r="G21" s="22">
        <f>SUMPRODUCT(ISERROR('Caminho'!$A$1:$T$96)*1)</f>
        <v/>
      </c>
      <c r="H21" s="22">
        <f>SUMPRODUCT(ISERROR('Equipamento'!$A$1:$AM$97)*1)</f>
        <v/>
      </c>
      <c r="I21" s="22">
        <f>SUMPRODUCT(ISERROR('Progressão'!$A$1:$W$88)*1)</f>
        <v/>
      </c>
      <c r="J21" s="22">
        <f>SUMPRODUCT(ISERROR('Regras Rápidas'!$A$1:$L$119)*1)</f>
        <v/>
      </c>
      <c r="K21" s="22">
        <f>SUMPRODUCT(ISERROR('Dados'!$A$1:$AT$601)*1)</f>
        <v/>
      </c>
    </row>
    <row r="22"/>
    <row r="23">
      <c r="A23" s="14" t="inlineStr">
        <is>
          <t>Como usar em 6 passos</t>
        </is>
      </c>
    </row>
    <row r="24">
      <c r="A24" s="12" t="inlineStr">
        <is>
          <t>1. Criação: preencha as células amarelas de cima para baixo — são os 12 passos do capítulo 03.</t>
        </is>
      </c>
    </row>
    <row r="25">
      <c r="A25" s="12" t="inlineStr">
        <is>
          <t>2. Caminho: escolha as Bênçãos nos slots liberados (e monte o Memoespírito, se for A Recordação).</t>
        </is>
      </c>
    </row>
    <row r="26">
      <c r="A26" s="12" t="inlineStr">
        <is>
          <t>3. Habilidades: escreva as suas Habilidades e a Ultimate; a ficha calcula dados, média, PH e rolagem.</t>
        </is>
      </c>
    </row>
    <row r="27">
      <c r="A27" s="12" t="inlineStr">
        <is>
          <t>4. Equipamento: Cone de Luz, Relíquias, Conjuntos, arma secundária, inventário e Créditos.</t>
        </is>
      </c>
    </row>
    <row r="28">
      <c r="A28" s="12" t="inlineStr">
        <is>
          <t>5. Progressão: a cada nível, mude o Nível atual na Criação e preencha os aumentos e as Ressonâncias.</t>
        </is>
      </c>
    </row>
    <row r="29">
      <c r="A29" s="12" t="inlineStr">
        <is>
          <t>6. Em Jogo: na mesa, use só esta aba — PV, Energia, PH, condições, usos e a calculadora de dano.</t>
        </is>
      </c>
    </row>
    <row r="30"/>
    <row r="31">
      <c r="A31" s="14" t="inlineStr">
        <is>
          <t>Legenda de cores (a cor nunca é o único sinal: o texto diz)</t>
        </is>
      </c>
    </row>
    <row r="32">
      <c r="A32" s="23" t="inlineStr">
        <is>
          <t>Entrada (preencha)</t>
        </is>
      </c>
      <c r="B32" s="12" t="inlineStr">
        <is>
          <t>Fundo amarelo com borda: é você quem preenche. Toda entrada sai vazia no arquivo.</t>
        </is>
      </c>
    </row>
    <row r="33">
      <c r="A33" s="22" t="inlineStr">
        <is>
          <t>Calculada (automático)</t>
        </is>
      </c>
      <c r="B33" s="12" t="inlineStr">
        <is>
          <t>Fundo azul-claro: fórmula. Não edite (veja a proteção abaixo).</t>
        </is>
      </c>
    </row>
    <row r="34">
      <c r="A34" s="5" t="inlineStr">
        <is>
          <t>Aviso</t>
        </is>
      </c>
      <c r="B34" s="12" t="inlineStr">
        <is>
          <t>Texto vermelho em fundo rosa: alguma regra do livro não fechou. O texto diz o quê.</t>
        </is>
      </c>
    </row>
    <row r="35">
      <c r="A35" s="24" t="inlineStr">
        <is>
          <t>Título de bloco</t>
        </is>
      </c>
      <c r="B35" s="12" t="inlineStr">
        <is>
          <t>Faixa azul-escura: começo de um bloco, com o capítulo do livro.</t>
        </is>
      </c>
    </row>
    <row r="36">
      <c r="A36" s="25" t="inlineStr">
        <is>
          <t>Não se aplica</t>
        </is>
      </c>
      <c r="B36" s="12" t="inlineStr">
        <is>
          <t>Cinza: não vale para o seu personagem (ou é coluna auxiliar).</t>
        </is>
      </c>
    </row>
    <row r="37"/>
    <row r="38">
      <c r="A38" s="14" t="inlineStr">
        <is>
          <t>Como importar no Google Planilhas</t>
        </is>
      </c>
    </row>
    <row r="39">
      <c r="A39" s="12" t="inlineStr">
        <is>
          <t>1. Envie o arquivo .xlsx para o seu Google Drive.</t>
        </is>
      </c>
    </row>
    <row r="40">
      <c r="A40" s="12" t="inlineStr">
        <is>
          <t>2. Clique com o botão direito no arquivo → Abrir com → Planilhas Google.</t>
        </is>
      </c>
    </row>
    <row r="41">
      <c r="A41" s="12" t="inlineStr">
        <is>
          <t>3. No Planilhas: Arquivo → Salvar como Planilhas Google. Use essa cópia (a original continua .xlsx).</t>
        </is>
      </c>
    </row>
    <row r="42">
      <c r="A42" s="12" t="inlineStr">
        <is>
          <t>4. Confira o Painel de avisos acima: com a ficha em branco ele mostra zero avisos.</t>
        </is>
      </c>
    </row>
    <row r="43">
      <c r="A43" s="12" t="inlineStr">
        <is>
          <t>5. Para esconder a aba Dados: clique com o botão direito na aba Dados → Ocultar página. Não apague a aba Dados: as fórmulas leem dela.</t>
        </is>
      </c>
    </row>
    <row r="44"/>
    <row r="45">
      <c r="A45" s="14" t="inlineStr">
        <is>
          <t>Como proteger as fórmulas (proteção nativa do Google, sem senha)</t>
        </is>
      </c>
    </row>
    <row r="46">
      <c r="A46" s="12" t="inlineStr">
        <is>
          <t>1. Dados → Proteger páginas e intervalos → Adicionar uma página ou um intervalo.</t>
        </is>
      </c>
    </row>
    <row r="47">
      <c r="A47" s="12" t="inlineStr">
        <is>
          <t>2. Escolha a aba (ou os intervalos calculados) e marque Exceto certas células para deixar as amarelas livres.</t>
        </is>
      </c>
    </row>
    <row r="48">
      <c r="A48" s="12" t="inlineStr">
        <is>
          <t>3. Definir permissões → Mostrar um aviso ao editar este intervalo → Concluído.</t>
        </is>
      </c>
    </row>
    <row r="49">
      <c r="A49" s="12" t="inlineStr">
        <is>
          <t>Assim ninguém apaga uma fórmula sem querer: o Google avisa antes de editar.</t>
        </is>
      </c>
    </row>
    <row r="50"/>
    <row r="51">
      <c r="A51" s="14" t="inlineStr">
        <is>
          <t>O que a ficha não faz (de propósito)</t>
        </is>
      </c>
    </row>
    <row r="52" ht="30" customHeight="1">
      <c r="A52" s="12" t="inlineStr">
        <is>
          <t>Não rola dados: ela entrega a rolagem pronta, como d20+6 ou 6d6+4 · média 25, e a mesa rola os dados físicos. Não tem macro nem script: tudo é fórmula, e cada fórmula lê o livro v1.2 pela aba Dados.</t>
        </is>
      </c>
    </row>
    <row r="53" ht="30" customHeight="1">
      <c r="A53" s="12" t="inlineStr">
        <is>
          <t>PV atual é entrada direta: use a calculadora de dano da aba Em Jogo e copie o PV novo. A variante de PV rolado não é calculada (veja Regras Rápidas).</t>
        </is>
      </c>
    </row>
  </sheetData>
  <mergeCells count="43">
    <mergeCell ref="B35:L35"/>
    <mergeCell ref="A7:L7"/>
    <mergeCell ref="A25:L25"/>
    <mergeCell ref="A41:L41"/>
    <mergeCell ref="C17:L17"/>
    <mergeCell ref="A46:L46"/>
    <mergeCell ref="A27:L27"/>
    <mergeCell ref="A3:L3"/>
    <mergeCell ref="A26:L26"/>
    <mergeCell ref="C13:L13"/>
    <mergeCell ref="C19:L19"/>
    <mergeCell ref="A42:L42"/>
    <mergeCell ref="C18:L18"/>
    <mergeCell ref="A47:L47"/>
    <mergeCell ref="A5:L5"/>
    <mergeCell ref="A23:L23"/>
    <mergeCell ref="C15:L15"/>
    <mergeCell ref="A53:L53"/>
    <mergeCell ref="C14:L14"/>
    <mergeCell ref="A38:L38"/>
    <mergeCell ref="A29:L29"/>
    <mergeCell ref="A52:L52"/>
    <mergeCell ref="A43:L43"/>
    <mergeCell ref="A28:L28"/>
    <mergeCell ref="B34:L34"/>
    <mergeCell ref="A31:L31"/>
    <mergeCell ref="A40:L40"/>
    <mergeCell ref="A9:L9"/>
    <mergeCell ref="C10:L10"/>
    <mergeCell ref="C16:L16"/>
    <mergeCell ref="A39:L39"/>
    <mergeCell ref="A48:L48"/>
    <mergeCell ref="A24:L24"/>
    <mergeCell ref="A49:L49"/>
    <mergeCell ref="A51:L51"/>
    <mergeCell ref="B33:L33"/>
    <mergeCell ref="A1:L1"/>
    <mergeCell ref="A45:L45"/>
    <mergeCell ref="A6:L6"/>
    <mergeCell ref="C12:L12"/>
    <mergeCell ref="B36:L36"/>
    <mergeCell ref="B32:L32"/>
    <mergeCell ref="C11:L11"/>
  </mergeCells>
  <conditionalFormatting sqref="C11">
    <cfRule type="expression" priority="1" dxfId="0">
      <formula>LEN(C11)&gt;0</formula>
    </cfRule>
  </conditionalFormatting>
  <conditionalFormatting sqref="C12">
    <cfRule type="expression" priority="2" dxfId="0">
      <formula>LEN(C12)&gt;0</formula>
    </cfRule>
  </conditionalFormatting>
  <conditionalFormatting sqref="C13">
    <cfRule type="expression" priority="3" dxfId="0">
      <formula>LEN(C13)&gt;0</formula>
    </cfRule>
  </conditionalFormatting>
  <conditionalFormatting sqref="C14">
    <cfRule type="expression" priority="4" dxfId="0">
      <formula>LEN(C14)&gt;0</formula>
    </cfRule>
  </conditionalFormatting>
  <conditionalFormatting sqref="C15">
    <cfRule type="expression" priority="5" dxfId="0">
      <formula>LEN(C15)&gt;0</formula>
    </cfRule>
  </conditionalFormatting>
  <conditionalFormatting sqref="C16">
    <cfRule type="expression" priority="6" dxfId="0">
      <formula>LEN(C16)&gt;0</formula>
    </cfRule>
  </conditionalFormatting>
  <conditionalFormatting sqref="C17">
    <cfRule type="expression" priority="7" dxfId="0">
      <formula>LEN(C17)&gt;0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showGridLines="1" workbookViewId="0">
      <selection activeCell="A1" sqref="A1"/>
    </sheetView>
  </sheetViews>
  <sheetFormatPr baseColWidth="8" defaultRowHeight="15"/>
  <cols>
    <col width="28.214" customWidth="1" min="1" max="1"/>
    <col width="25" customWidth="1" min="2" max="2"/>
    <col width="14" customWidth="1" min="3" max="3"/>
    <col width="12.4" customWidth="1" min="4" max="4"/>
    <col width="12.7" customWidth="1" min="5" max="5"/>
    <col width="11.8" customWidth="1" min="6" max="6"/>
    <col width="15.2" customWidth="1" min="7" max="7"/>
    <col width="11.8" customWidth="1" min="8" max="8"/>
    <col width="12.4" customWidth="1" min="9" max="9"/>
    <col width="11" customWidth="1" min="10" max="10"/>
    <col width="14" customWidth="1" min="11" max="11"/>
    <col width="17.929" customWidth="1" min="12" max="12"/>
    <col hidden="1" width="2" customWidth="1" min="13" max="13"/>
    <col hidden="1" width="10" customWidth="1" min="14" max="14"/>
    <col hidden="1" width="16" customWidth="1" min="15" max="15"/>
    <col hidden="1" width="13" customWidth="1" min="17" max="17"/>
    <col hidden="1" width="13" customWidth="1" min="18" max="18"/>
    <col hidden="1" width="13" customWidth="1" min="19" max="19"/>
    <col hidden="1" width="13" customWidth="1" min="20" max="20"/>
  </cols>
  <sheetData>
    <row r="1" ht="24" customHeight="1">
      <c r="A1" s="1" t="inlineStr">
        <is>
          <t>Criação — Explorando Galáxias v1.2</t>
        </is>
      </c>
    </row>
    <row r="2" ht="26" customHeight="1">
      <c r="A2" s="2" t="inlineStr">
        <is>
          <t>Legenda:</t>
        </is>
      </c>
      <c r="B2" s="3" t="inlineStr">
        <is>
          <t>Entrada (preencha)</t>
        </is>
      </c>
      <c r="C2" s="4" t="inlineStr">
        <is>
          <t>Calculada (automático)</t>
        </is>
      </c>
      <c r="E2" s="5" t="inlineStr">
        <is>
          <t>Aviso (texto em vermelho)</t>
        </is>
      </c>
      <c r="G2" s="6" t="inlineStr">
        <is>
          <t>Título de bloco</t>
        </is>
      </c>
      <c r="H2" s="7" t="inlineStr">
        <is>
          <t>Cabeçalho de coluna</t>
        </is>
      </c>
      <c r="I2" s="8" t="inlineStr">
        <is>
          <t>Rótulo da linha</t>
        </is>
      </c>
      <c r="J2" s="9" t="inlineStr">
        <is>
          <t>Linha alternada (outro tom)</t>
        </is>
      </c>
      <c r="L2" s="10" t="inlineStr">
        <is>
          <t>Não se aplica</t>
        </is>
      </c>
    </row>
    <row r="3">
      <c r="A3" s="11" t="inlineStr">
        <is>
          <t>Os 12 passos do capítulo 03, de cima para baixo.</t>
        </is>
      </c>
    </row>
    <row r="4" ht="26" customHeight="1">
      <c r="N4" s="26" t="inlineStr">
        <is>
          <t>Listas auxiliares</t>
        </is>
      </c>
    </row>
    <row r="5">
      <c r="A5" s="14" t="inlineStr">
        <is>
          <t>Personagem</t>
        </is>
      </c>
    </row>
    <row r="6" ht="26" customHeight="1">
      <c r="A6" s="8" t="inlineStr">
        <is>
          <t>Nome do personagem</t>
        </is>
      </c>
      <c r="B6" s="27" t="n"/>
      <c r="C6" s="28" t="n"/>
      <c r="D6" s="28" t="n"/>
      <c r="E6" s="28" t="n"/>
      <c r="F6" s="28" t="n"/>
      <c r="G6" s="28" t="n"/>
      <c r="H6" s="28" t="n"/>
      <c r="I6" s="28" t="n"/>
      <c r="J6" s="29" t="n"/>
      <c r="K6" s="13">
        <f>IF(T6&gt;0,"O Google leu como fórmula: digite de novo com ' na frente.","")</f>
        <v/>
      </c>
      <c r="Q6">
        <f>IF(ISERROR($B$6),"",IF(ISBLANK($B$6),"",$B$6))</f>
        <v/>
      </c>
      <c r="T6">
        <f>ISERROR($B$6)*1</f>
        <v/>
      </c>
    </row>
    <row r="7" ht="26" customHeight="1">
      <c r="A7" s="8" t="inlineStr">
        <is>
          <t>Jogador</t>
        </is>
      </c>
      <c r="B7" s="27" t="n"/>
      <c r="C7" s="28" t="n"/>
      <c r="D7" s="28" t="n"/>
      <c r="E7" s="28" t="n"/>
      <c r="F7" s="28" t="n"/>
      <c r="G7" s="28" t="n"/>
      <c r="H7" s="28" t="n"/>
      <c r="I7" s="28" t="n"/>
      <c r="J7" s="29" t="n"/>
      <c r="K7" s="13">
        <f>IF(T7&gt;0,"O Google leu como fórmula: digite de novo com ' na frente.","")</f>
        <v/>
      </c>
      <c r="T7">
        <f>ISERROR($B$7)*1</f>
        <v/>
      </c>
    </row>
    <row r="8" ht="37" customHeight="1">
      <c r="A8" s="8" t="inlineStr">
        <is>
          <t>Nível atual (1 a 20)</t>
        </is>
      </c>
      <c r="B8" s="23" t="n"/>
      <c r="C8" s="22">
        <f>"Usado nas contas: nível "&amp;$A$14</f>
        <v/>
      </c>
      <c r="K8" s="13">
        <f>IF(T8&gt;0,"O Google leu como fórmula: digite de novo com ' na frente.",IF($Q$8="","",IF(ISNUMBER($Q$8),IF(OR($Q$8&lt;1,$Q$8&gt;20),"Nível fora de 1 a 20: a ficha conta com o nível "&amp;$A$14,IF($Q$8&lt;&gt;INT($Q$8),"Nível precisa ser inteiro: a ficha conta com o nível "&amp;$A$14,"")),"Nível precisa ser um número de 1 a 20: a ficha conta com o nível 1")))</f>
        <v/>
      </c>
      <c r="Q8">
        <f>IF(ISERROR($B$8),"",IF(ISBLANK($B$8),"",$B$8))</f>
        <v/>
      </c>
      <c r="T8">
        <f>ISERROR($B$8)*1</f>
        <v/>
      </c>
    </row>
    <row r="9" ht="37" customHeight="1">
      <c r="A9" s="8" t="inlineStr">
        <is>
          <t>Nº de jogadores na mesa</t>
        </is>
      </c>
      <c r="B9" s="23" t="n"/>
      <c r="C9" s="22">
        <f>"PH do grupo: máximo "&amp;$E$16&amp;", começa o combate com "&amp;$F$16</f>
        <v/>
      </c>
      <c r="K9" s="13">
        <f>IF(T9&gt;0,"O Google leu como fórmula: digite de novo com ' na frente.",IF($Q$9="","",IF(ISNUMBER($Q$9),IF(OR($Q$9&lt;1,$Q$9&gt;6),"Nº de jogadores fora de 1 a 6: a ficha conta com "&amp;$B$17,IF(OR($Q$9&lt;3,$Q$9&gt;6),"Fora da tabela do livro (3 a 6 jogadores): o PH segue a mesma regra","")),"Nº de jogadores precisa ser um número de 1 a 6")))</f>
        <v/>
      </c>
      <c r="Q9">
        <f>IF(ISERROR($B$9),"",IF(ISBLANK($B$9),"",$B$9))</f>
        <v/>
      </c>
      <c r="T9">
        <f>ISERROR($B$9)*1</f>
        <v/>
      </c>
    </row>
    <row r="10" ht="26" customHeight="1">
      <c r="A10" s="8" t="inlineStr">
        <is>
          <t>Método de atributos (o Mestre escolhe)</t>
        </is>
      </c>
      <c r="B10" s="23" t="n"/>
      <c r="C10" s="22">
        <f>IF($Q$10="","Array oficial (15, 14, 13, 12, 10, 8) ou Compra de Pontos (28)",IF($Q$10="Array oficial","Distribua 15, 14, 13, 12, 10 e 8, um em cada Atributo","Todos começam em 8; gaste até 28 pontos"))</f>
        <v/>
      </c>
      <c r="K10" s="13">
        <f>IF(T10&gt;0,"O Google leu como fórmula: escolha de novo na lista.",IF($Q$10="","",IF(COUNTIF('Dados'!$AH$6:$AH$7,$Q$10)=0,"Método fora da lista","")))</f>
        <v/>
      </c>
      <c r="Q10">
        <f>IF(ISERROR($B$10),"",IF(ISBLANK($B$10),"",$B$10))</f>
        <v/>
      </c>
      <c r="T10">
        <f>ISERROR($B$10)*1</f>
        <v/>
      </c>
    </row>
    <row r="11"/>
    <row r="12">
      <c r="A12" s="14" t="inlineStr">
        <is>
          <t>Números do seu nível (automático) — 26.2 a 26.6</t>
        </is>
      </c>
    </row>
    <row r="13" ht="60" customHeight="1">
      <c r="A13" s="30" t="inlineStr">
        <is>
          <t>Nível usado</t>
        </is>
      </c>
      <c r="B13" s="30" t="inlineStr">
        <is>
          <t>Faixa (1 a 5)</t>
        </is>
      </c>
      <c r="C13" s="30" t="inlineStr">
        <is>
          <t>Eficiência</t>
        </is>
      </c>
      <c r="D13" s="30" t="inlineStr">
        <is>
          <t>Eficácia</t>
        </is>
      </c>
      <c r="E13" s="30" t="inlineStr">
        <is>
          <t>Slots de Eficácia em Perícias</t>
        </is>
      </c>
      <c r="F13" s="30" t="inlineStr">
        <is>
          <t>Slots de Eficácia em Testes de Resistência</t>
        </is>
      </c>
      <c r="G13" s="30" t="inlineStr">
        <is>
          <t>Especialização de Combate</t>
        </is>
      </c>
      <c r="H13" s="30" t="inlineStr">
        <is>
          <t>Teto de RD</t>
        </is>
      </c>
      <c r="I13" s="30" t="inlineStr">
        <is>
          <t>Teto de PV temporários</t>
        </is>
      </c>
      <c r="J13" s="30" t="inlineStr">
        <is>
          <t>Teto de bônus somado</t>
        </is>
      </c>
      <c r="K13" s="30" t="inlineStr">
        <is>
          <t>Teto de penalidade somada</t>
        </is>
      </c>
      <c r="L13" s="30" t="inlineStr">
        <is>
          <t>Bênçãos possuídas</t>
        </is>
      </c>
    </row>
    <row r="14">
      <c r="A14" s="31">
        <f>IF(ISNUMBER($Q$8),MAX(1,MIN(20,INT($Q$8))),1)</f>
        <v/>
      </c>
      <c r="B14" s="32">
        <f>INT(($A$14-1)/4)+1</f>
        <v/>
      </c>
      <c r="C14" s="32">
        <f>2+INT(($A$14-1)/3)</f>
        <v/>
      </c>
      <c r="D14" s="32">
        <f>2*$C$14</f>
        <v/>
      </c>
      <c r="E14" s="32">
        <f>INDEX('Dados'!$C$265:$C$284,$A$14)</f>
        <v/>
      </c>
      <c r="F14" s="32">
        <f>INDEX('Dados'!$D$265:$D$284,$A$14)</f>
        <v/>
      </c>
      <c r="G14" s="32">
        <f>INDEX('Dados'!$K$265:$K$284,$A$14)</f>
        <v/>
      </c>
      <c r="H14" s="32">
        <f>INDEX('Dados'!$L$265:$L$284,$A$14)</f>
        <v/>
      </c>
      <c r="I14" s="32">
        <f>3*$C$14</f>
        <v/>
      </c>
      <c r="J14" s="32">
        <f>IF($A$14&lt;=9,3,IF($A$14&lt;=15,4,5))</f>
        <v/>
      </c>
      <c r="K14" s="32">
        <f>-$J$14</f>
        <v/>
      </c>
      <c r="L14" s="32">
        <f>INDEX('Dados'!$E$265:$E$284,$A$14)</f>
        <v/>
      </c>
    </row>
    <row r="15" ht="49" customHeight="1">
      <c r="A15" s="30" t="inlineStr">
        <is>
          <t>Habilidades conhecidas</t>
        </is>
      </c>
      <c r="B15" s="30" t="inlineStr">
        <is>
          <t>Nível máx. de Habilidade</t>
        </is>
      </c>
      <c r="C15" s="30" t="inlineStr">
        <is>
          <t>Reescreve 1 Habilidade por nível</t>
        </is>
      </c>
      <c r="D15" s="30" t="inlineStr">
        <is>
          <t>Dados de Ataque Básico</t>
        </is>
      </c>
      <c r="E15" s="30" t="inlineStr">
        <is>
          <t>PH do grupo: máximo</t>
        </is>
      </c>
      <c r="F15" s="30" t="inlineStr">
        <is>
          <t>PH do grupo: início</t>
        </is>
      </c>
      <c r="G15" s="30" t="inlineStr">
        <is>
          <t>PH por Ataque Básico que acerta</t>
        </is>
      </c>
      <c r="H15" s="30" t="inlineStr">
        <is>
          <t>Ultimate: Nível equivalente</t>
        </is>
      </c>
      <c r="I15" s="30" t="inlineStr">
        <is>
          <t>Cone de Luz: Nível máximo</t>
        </is>
      </c>
      <c r="J15" s="30" t="inlineStr">
        <is>
          <t>Tier de Relíquia (1 a 4)</t>
        </is>
      </c>
      <c r="K15" s="30" t="inlineStr">
        <is>
          <t>Pontos do Memoespírito</t>
        </is>
      </c>
      <c r="L15" s="30" t="inlineStr">
        <is>
          <t>DT para descobrir Fraqueza</t>
        </is>
      </c>
    </row>
    <row r="16">
      <c r="A16" s="31">
        <f>INDEX('Dados'!$F$265:$F$284,$A$14)</f>
        <v/>
      </c>
      <c r="B16" s="32">
        <f>INDEX('Dados'!$H$265:$H$284,$A$14)</f>
        <v/>
      </c>
      <c r="C16" s="32">
        <f>INDEX('Dados'!$G$265:$G$284,$A$14)</f>
        <v/>
      </c>
      <c r="D16" s="32">
        <f>INDEX('Dados'!$J$265:$J$284,$A$14)</f>
        <v/>
      </c>
      <c r="E16" s="32">
        <f>1+$B$17+IF($A$14&gt;=17,2,IF($A$14&gt;=9,1,0))</f>
        <v/>
      </c>
      <c r="F16" s="32">
        <f>$E$16-2</f>
        <v/>
      </c>
      <c r="G16" s="32">
        <f>IF($A$14&lt;=8,1,2)</f>
        <v/>
      </c>
      <c r="H16" s="32">
        <f>INDEX('Dados'!$B$333:$B$337,$B$14)</f>
        <v/>
      </c>
      <c r="I16" s="32">
        <f>$B$14</f>
        <v/>
      </c>
      <c r="J16" s="32">
        <f>IF($A$14&lt;=6,1,IF($A$14&lt;=12,2,IF($A$14&lt;=17,3,4)))</f>
        <v/>
      </c>
      <c r="K16" s="32">
        <f>12+INT($A$14/2)</f>
        <v/>
      </c>
      <c r="L16" s="32">
        <f>INDEX('Dados'!$B$397:$B$401,$B$14)</f>
        <v/>
      </c>
    </row>
    <row r="17" ht="26" customHeight="1">
      <c r="A17" s="33" t="inlineStr">
        <is>
          <t>Nº de jogadores usado (vazio = 4)</t>
        </is>
      </c>
      <c r="B17" s="19">
        <f>IF(ISNUMBER($Q$9),MAX(1,MIN(6,INT($Q$9))),4)</f>
        <v/>
      </c>
      <c r="C17" s="34" t="inlineStr">
        <is>
          <t>Aumento de Atributo neste nível?</t>
        </is>
      </c>
      <c r="E17" s="19">
        <f>INDEX('Dados'!$I$265:$I$284,$A$14)</f>
        <v/>
      </c>
      <c r="F17" s="35" t="n"/>
      <c r="G17" s="35" t="n"/>
      <c r="H17" s="35" t="n"/>
      <c r="I17" s="35" t="n"/>
      <c r="J17" s="35" t="n"/>
      <c r="K17" s="35" t="n"/>
      <c r="L17" s="35" t="n"/>
    </row>
    <row r="18"/>
    <row r="19">
      <c r="A19" s="14" t="inlineStr">
        <is>
          <t>Passo 1 — Conceito e Propósito de Vida</t>
        </is>
      </c>
    </row>
    <row r="20" ht="26" customHeight="1">
      <c r="A20" s="8" t="inlineStr">
        <is>
          <t>Quem é esse sujeito? (conceito em uma frase)</t>
        </is>
      </c>
      <c r="B20" s="27" t="n"/>
      <c r="C20" s="28" t="n"/>
      <c r="D20" s="28" t="n"/>
      <c r="E20" s="28" t="n"/>
      <c r="F20" s="28" t="n"/>
      <c r="G20" s="28" t="n"/>
      <c r="H20" s="28" t="n"/>
      <c r="I20" s="28" t="n"/>
      <c r="J20" s="29" t="n"/>
      <c r="K20" s="13">
        <f>IF(T20&gt;0,"O Google leu como fórmula: digite de novo com ' na frente.","")</f>
        <v/>
      </c>
      <c r="T20">
        <f>ISERROR($B$20)*1</f>
        <v/>
      </c>
    </row>
    <row r="21" ht="26" customHeight="1">
      <c r="A21" s="8" t="inlineStr">
        <is>
          <t>Propósito de Vida (objetivo de longo prazo)</t>
        </is>
      </c>
      <c r="B21" s="27" t="n"/>
      <c r="C21" s="28" t="n"/>
      <c r="D21" s="28" t="n"/>
      <c r="E21" s="28" t="n"/>
      <c r="F21" s="28" t="n"/>
      <c r="G21" s="28" t="n"/>
      <c r="H21" s="28" t="n"/>
      <c r="I21" s="28" t="n"/>
      <c r="J21" s="29" t="n"/>
      <c r="K21" s="13">
        <f>IF(T21&gt;0,"O Google leu como fórmula: digite de novo com ' na frente.","")</f>
        <v/>
      </c>
      <c r="T21">
        <f>ISERROR($B$21)*1</f>
        <v/>
      </c>
    </row>
    <row r="22" ht="37" customHeight="1">
      <c r="A22" s="8" t="inlineStr">
        <is>
          <t>Em que você acredita (recarrega o Esforço; só Humano)</t>
        </is>
      </c>
      <c r="B22" s="27" t="n"/>
      <c r="C22" s="28" t="n"/>
      <c r="D22" s="28" t="n"/>
      <c r="E22" s="28" t="n"/>
      <c r="F22" s="28" t="n"/>
      <c r="G22" s="28" t="n"/>
      <c r="H22" s="28" t="n"/>
      <c r="I22" s="28" t="n"/>
      <c r="J22" s="29" t="n"/>
      <c r="K22" s="13">
        <f>IF(T22&gt;0,"O Google leu como fórmula: digite de novo com ' na frente.",IF(AND($Q$25&lt;&gt;"Humano",LEN($Q$22)&gt;0),"O Esforço é traço do Humano: esta linha só vale para Humano",""))</f>
        <v/>
      </c>
      <c r="Q22">
        <f>IF(ISERROR($B$22),"",IF(ISBLANK($B$22),"",$B$22))</f>
        <v/>
      </c>
      <c r="T22">
        <f>ISERROR($B$22)*1</f>
        <v/>
      </c>
    </row>
    <row r="23"/>
    <row r="24">
      <c r="A24" s="14" t="inlineStr">
        <is>
          <t>Passo 2 — Raça (capítulo 05)</t>
        </is>
      </c>
    </row>
    <row r="25" ht="26" customHeight="1">
      <c r="A25" s="8" t="inlineStr">
        <is>
          <t>Raça</t>
        </is>
      </c>
      <c r="B25" s="23" t="n"/>
      <c r="C25" s="22">
        <f>IF($Q$25="","Escolha a Raça",IF($Q$25="Humano",IF($Q$26="Dois Atributos (+1 cada)","Bônus racial: +1 em "&amp;IF($Q$27="","?",$Q$27)&amp;" e +1 em "&amp;IF($Q$28="","?",$Q$28),IF($Q$27="","Escolha onde vai o +2 (qualquer Atributo)","Bônus racial: +2 em "&amp;$Q$27)),IF($O$25="","Raça fora da lista do capítulo 05",IF($Q$26="Dois Atributos (+1 cada)","Bônus racial: +1 em "&amp;$O$25&amp;" e +1 em "&amp;$O$26,IF($O$27="","Escolha onde vai o +2: "&amp;$O$25&amp;" ou "&amp;$O$26,"Bônus racial: +2 em "&amp;$O$27)))))</f>
        <v/>
      </c>
      <c r="K25" s="13">
        <f>IF(T25&gt;0,"O Google leu como fórmula: escolha de novo na lista.",IF($Q$25="","",IF(COUNTIF('Dados'!$O$6:$O$12,$Q$25)=0,"Raça fora da lista do capítulo 05","")))</f>
        <v/>
      </c>
      <c r="N25" s="25">
        <f>IF($Q$25="Humano",INDEX('Dados'!$Q$6:$Q$11,1),$O$25)</f>
        <v/>
      </c>
      <c r="O25" s="25">
        <f>IF($Q$25="","",IFERROR(""&amp;INDEX('Dados'!$D$7:$D$13,MATCH($Q$25,'Dados'!$A$7:$A$13,0)),""))</f>
        <v/>
      </c>
      <c r="Q25">
        <f>IF(ISERROR($B$25),"",IF(ISBLANK($B$25),"",$B$25))</f>
        <v/>
      </c>
      <c r="T25">
        <f>ISERROR($B$25)*1</f>
        <v/>
      </c>
    </row>
    <row r="26" ht="37" customHeight="1">
      <c r="A26" s="8" t="inlineStr">
        <is>
          <t>Bônus racial: +2 em um, ou +1 em cada</t>
        </is>
      </c>
      <c r="B26" s="23" t="n"/>
      <c r="C26" s="12" t="inlineStr">
        <is>
          <t>Vale para todas as Raças. Com +1 em cada, os dois Atributos são os da sua Raça — o Humano escolhe entre os seis.</t>
        </is>
      </c>
      <c r="K26" s="13">
        <f>IF(T26&gt;0,"O Google leu como fórmula: escolha de novo na lista.",IF(AND($Q$26="Dois Atributos (+1 cada)",$Q$25&lt;&gt;"",$Q$25&lt;&gt;"Humano",OR($Q$27&lt;&gt;"",$Q$28&lt;&gt;"")),"Com +1 em cada, os dois Atributos são os da sua Raça: não precisa escolher",""))</f>
        <v/>
      </c>
      <c r="N26" s="25">
        <f>IF($Q$25="Humano",INDEX('Dados'!$Q$6:$Q$11,2),$O$26)</f>
        <v/>
      </c>
      <c r="O26" s="25">
        <f>IF($Q$25="","",IFERROR(""&amp;INDEX('Dados'!$E$7:$E$13,MATCH($Q$25,'Dados'!$A$7:$A$13,0)),""))</f>
        <v/>
      </c>
      <c r="Q26">
        <f>IF(ISERROR($B$26),"",IF(ISBLANK($B$26),"",$B$26))</f>
        <v/>
      </c>
      <c r="T26">
        <f>ISERROR($B$26)*1</f>
        <v/>
      </c>
    </row>
    <row r="27" ht="26" customHeight="1">
      <c r="A27" s="8" t="inlineStr">
        <is>
          <t>Atributo do +2 (Humano com Dois Atributos: o 1º)</t>
        </is>
      </c>
      <c r="B27" s="23" t="n"/>
      <c r="C27" s="12" t="inlineStr">
        <is>
          <t>A lista mostra só as opções da sua Raça.</t>
        </is>
      </c>
      <c r="K27" s="13">
        <f>IF(T27&gt;0,"O Google leu como fórmula: escolha de novo na lista.",IF(AND($Q$25="Humano",$Q$26="Dois Atributos (+1 cada)",$Q$27&lt;&gt;"",$Q$27=$Q$28),"+1 em dois exige atributos diferentes: contou só um +1",IF(AND($Q$25&lt;&gt;"",$Q$25&lt;&gt;"Humano",$O$25&lt;&gt;"",$Q$27&lt;&gt;"",$O$27=""),"Bônus fora das opções da Raça: "&amp;$O$25&amp;IF($O$26="",""," ou "&amp;$O$26),"")))</f>
        <v/>
      </c>
      <c r="N27" s="25">
        <f>IF($Q$25="Humano",INDEX('Dados'!$Q$6:$Q$11,3),"")</f>
        <v/>
      </c>
      <c r="O27" s="25">
        <f>IF(OR($Q$25="",$Q$25="Humano"),"",IF($O$26="",IF(OR($Q$27="",$Q$27=$O$25),$O$25,""),IF(OR($Q$27=$O$25,$Q$27=$O$26),$Q$27,"")))</f>
        <v/>
      </c>
      <c r="Q27">
        <f>IF(ISERROR($B$27),"",IF(ISBLANK($B$27),"",$B$27))</f>
        <v/>
      </c>
      <c r="T27">
        <f>ISERROR($B$27)*1</f>
        <v/>
      </c>
    </row>
    <row r="28" ht="26" customHeight="1">
      <c r="A28" s="8" t="inlineStr">
        <is>
          <t>Atributo 2 (só Humano com Dois Atributos)</t>
        </is>
      </c>
      <c r="B28" s="23" t="n"/>
      <c r="K28" s="13">
        <f>IF(T28&gt;0,"O Google leu como fórmula: escolha de novo na lista.",IF(AND($Q$28&lt;&gt;"",OR($Q$25&lt;&gt;"Humano",$Q$26&lt;&gt;"Dois Atributos (+1 cada)")),"Atributo 2 só vale para Humano com Dois Atributos (+1 cada)",""))</f>
        <v/>
      </c>
      <c r="N28" s="25">
        <f>IF($Q$25="Humano",INDEX('Dados'!$Q$6:$Q$11,4),"")</f>
        <v/>
      </c>
      <c r="Q28">
        <f>IF(ISERROR($B$28),"",IF(ISBLANK($B$28),"",$B$28))</f>
        <v/>
      </c>
      <c r="T28">
        <f>ISERROR($B$28)*1</f>
        <v/>
      </c>
    </row>
    <row r="29" ht="30" customHeight="1">
      <c r="A29" s="8" t="inlineStr">
        <is>
          <t>Traços (resumo)</t>
        </is>
      </c>
      <c r="B29" s="4">
        <f>IF($Q$25="","",IFERROR(INDEX('Dados'!$F$7:$F$13,MATCH($Q$25,'Dados'!$A$7:$A$13,0)),""))</f>
        <v/>
      </c>
      <c r="N29" s="25">
        <f>IF($Q$25="Humano",INDEX('Dados'!$Q$6:$Q$11,5),"")</f>
        <v/>
      </c>
    </row>
    <row r="30" ht="161" customHeight="1">
      <c r="A30" s="8" t="inlineStr">
        <is>
          <t>Traços (texto inteiro do livro)</t>
        </is>
      </c>
      <c r="B30" s="4">
        <f>IF($Q$25="","",IFERROR(INDEX('Dados'!$G$7:$G$13,MATCH($Q$25,'Dados'!$A$7:$A$13,0)),""))</f>
        <v/>
      </c>
      <c r="N30" s="25">
        <f>IF($Q$25="Humano",INDEX('Dados'!$Q$6:$Q$11,6),"")</f>
        <v/>
      </c>
    </row>
    <row r="31"/>
    <row r="32">
      <c r="A32" s="14" t="inlineStr">
        <is>
          <t>Passo 3 — Caminho (capítulo 06)</t>
        </is>
      </c>
    </row>
    <row r="33" ht="26" customHeight="1">
      <c r="A33" s="8" t="inlineStr">
        <is>
          <t>Caminho</t>
        </is>
      </c>
      <c r="B33" s="23" t="n"/>
      <c r="C33" s="22">
        <f>IF($Q$33="","Escolha o Caminho","Aeon: "&amp;IF($Q$33="","",IFERROR(INDEX('Dados'!$B$91:$B$99,MATCH($Q$33,'Dados'!$A$91:$A$99,0)),"")))</f>
        <v/>
      </c>
      <c r="K33" s="13">
        <f>IF(T33&gt;0,"O Google leu como fórmula: escolha de novo na lista.",IF($Q$33="","",IF(COUNTIF('Dados'!$P$6:$P$14,$Q$33)=0,"Caminho fora da lista do capítulo 06","")))</f>
        <v/>
      </c>
      <c r="Q33">
        <f>IF(ISERROR($B$33),"",IF(ISBLANK($B$33),"",$B$33))</f>
        <v/>
      </c>
      <c r="T33">
        <f>ISERROR($B$33)*1</f>
        <v/>
      </c>
    </row>
    <row r="34">
      <c r="A34" s="8" t="inlineStr">
        <is>
          <t>Aeon</t>
        </is>
      </c>
      <c r="B34" s="22">
        <f>IF($Q$33="","",IFERROR(INDEX('Dados'!$B$91:$B$99,MATCH($Q$33,'Dados'!$A$91:$A$99,0)),""))</f>
        <v/>
      </c>
    </row>
    <row r="35">
      <c r="A35" s="8" t="inlineStr">
        <is>
          <t>A ideia, em uma frase</t>
        </is>
      </c>
      <c r="B35" s="22">
        <f>IF($Q$33="","",IFERROR(INDEX('Dados'!$C$91:$C$99,MATCH($Q$33,'Dados'!$A$91:$A$99,0)),""))</f>
        <v/>
      </c>
    </row>
    <row r="36" ht="26" customHeight="1">
      <c r="A36" s="8" t="inlineStr">
        <is>
          <t>Índice de vitalidade N (entra no PV)</t>
        </is>
      </c>
      <c r="B36" s="17">
        <f>IF($Q$33="",0,IFERROR(INDEX('Dados'!$J$91:$J$99,MATCH($Q$33,'Dados'!$A$91:$A$99,0)),0))</f>
        <v/>
      </c>
    </row>
    <row r="37" ht="26" customHeight="1">
      <c r="A37" s="8" t="inlineStr">
        <is>
          <t>Bônus de Velocidade do Caminho</t>
        </is>
      </c>
      <c r="B37" s="17">
        <f>IF($Q$33="",0,IFERROR(INDEX('Dados'!$K$91:$K$99,MATCH($Q$33,'Dados'!$A$91:$A$99,0)),0))</f>
        <v/>
      </c>
    </row>
    <row r="38" ht="26" customHeight="1">
      <c r="A38" s="8" t="inlineStr">
        <is>
          <t>As 3 Perícias do Caminho (Eficiência de graça)</t>
        </is>
      </c>
      <c r="B38" s="22">
        <f>IF($Q$33="","",IFERROR(INDEX('Dados'!$G$91:$G$99,MATCH($Q$33,'Dados'!$A$91:$A$99,0)),""))</f>
        <v/>
      </c>
      <c r="D38" s="22">
        <f>IF($Q$33="","",IFERROR(INDEX('Dados'!$H$91:$H$99,MATCH($Q$33,'Dados'!$A$91:$A$99,0)),""))</f>
        <v/>
      </c>
      <c r="F38" s="22">
        <f>IF($Q$33="","",IFERROR(INDEX('Dados'!$I$91:$I$99,MATCH($Q$33,'Dados'!$A$91:$A$99,0)),""))</f>
        <v/>
      </c>
    </row>
    <row r="39" ht="26" customHeight="1">
      <c r="A39" s="8" t="inlineStr">
        <is>
          <t>Atributo de Habilidade que o Caminho permite</t>
        </is>
      </c>
      <c r="B39" s="22">
        <f>IF($Q$33="","",IFERROR(INDEX('Dados'!$D$91:$D$99,MATCH($Q$33,'Dados'!$A$91:$A$99,0)),""))</f>
        <v/>
      </c>
    </row>
    <row r="40" ht="26" customHeight="1">
      <c r="A40" s="8" t="inlineStr">
        <is>
          <t>Recurso próprio (detalhes na aba Caminho)</t>
        </is>
      </c>
      <c r="B40" s="22">
        <f>IF($Q$33="","",IFERROR(INDEX('Dados'!$L$91:$L$99,MATCH($Q$33,'Dados'!$A$91:$A$99,0)),""))</f>
        <v/>
      </c>
    </row>
    <row r="41"/>
    <row r="42">
      <c r="A42" s="14" t="inlineStr">
        <is>
          <t>Passo 4 — Atributos (teto 15 antes da Raça; teto 20 sempre)</t>
        </is>
      </c>
    </row>
    <row r="43" ht="40" customHeight="1">
      <c r="A43" s="7" t="inlineStr">
        <is>
          <t>Atributo</t>
        </is>
      </c>
      <c r="B43" s="7" t="inlineStr">
        <is>
          <t>Distribuído (preencha)</t>
        </is>
      </c>
      <c r="C43" s="7" t="inlineStr">
        <is>
          <t>Raça (automático)</t>
        </is>
      </c>
      <c r="D43" s="7" t="inlineStr">
        <is>
          <t>Aumentos (aba Progressão)</t>
        </is>
      </c>
      <c r="E43" s="7" t="inlineStr">
        <is>
          <t>Valor atual</t>
        </is>
      </c>
      <c r="F43" s="7" t="inlineStr">
        <is>
          <t>Bônus atual</t>
        </is>
      </c>
      <c r="G43" s="7" t="inlineStr">
        <is>
          <t>Valor na criação (com Raça)</t>
        </is>
      </c>
      <c r="H43" s="7" t="inlineStr">
        <is>
          <t>Bônus na criação</t>
        </is>
      </c>
      <c r="I43" s="7" t="inlineStr">
        <is>
          <t>Custo na Compra de Pontos</t>
        </is>
      </c>
      <c r="J43" s="7" t="inlineStr">
        <is>
          <t>Valor usado (8 a 20)</t>
        </is>
      </c>
      <c r="K43" s="7" t="inlineStr">
        <is>
          <t>Aviso</t>
        </is>
      </c>
      <c r="L43" s="15" t="n"/>
    </row>
    <row r="44" ht="49" customHeight="1">
      <c r="A44" s="16" t="inlineStr">
        <is>
          <t>Poder</t>
        </is>
      </c>
      <c r="B44" s="23" t="n"/>
      <c r="C44" s="22">
        <f>IF($Q$25="Humano",IF($Q$26="Dois Atributos (+1 cada)",($Q$27="Poder")*1+AND($Q$28="Poder",$Q$28&lt;&gt;$Q$27)*1,($Q$27="Poder")*2),IF($Q$26="Dois Atributos (+1 cada)",($O$25="Poder")*1+($O$26="Poder")*1,IF($O$27="Poder",2,0)))</f>
        <v/>
      </c>
      <c r="D44" s="22">
        <f>SUMIF('Progressão'!$U$57:$U$62,"Poder",'Progressão'!$F$57:$F$62)+SUMIF('Progressão'!$V$57:$V$62,"Poder",'Progressão'!$G$57:$G$62)</f>
        <v/>
      </c>
      <c r="E44" s="17">
        <f>MIN(20,$J$44+$C$44+$D$44)</f>
        <v/>
      </c>
      <c r="F44" s="17">
        <f>IF($E$44&lt;15,VLOOKUP($E$44,'Dados'!$A$34:$B$46,2,FALSE),INT(($E$44-15)/2)+3)</f>
        <v/>
      </c>
      <c r="G44" s="22">
        <f>MIN(20,$J$44+$C$44)</f>
        <v/>
      </c>
      <c r="H44" s="22">
        <f>IF($G$44&lt;15,VLOOKUP($G$44,'Dados'!$A$34:$B$46,2,FALSE),INT(($G$44-15)/2)+3)</f>
        <v/>
      </c>
      <c r="I44" s="22">
        <f>IF($Q$10="Compra de Pontos",VLOOKUP(MAX(8,MIN(15,$J$44)),'Dados'!$A$50:$B$57,2,FALSE),"")</f>
        <v/>
      </c>
      <c r="J44" s="22">
        <f>IF(ISNUMBER($Q$44),MAX(8,MIN(20,INT($Q$44))),8)</f>
        <v/>
      </c>
      <c r="K44" s="13">
        <f>IF(T44&gt;0,"O Google leu como fórmula: digite de novo com ' na frente.",IF($Q$44="","",IF(ISNUMBER($Q$44),IF(OR($Q$44&lt;8,$Q$44&gt;20),"Fora de 8 a 20: a ficha conta com "&amp;$J$44&amp;". ","")&amp;IF($Q$44&gt;15,"Acima de 15 antes da Raça. ",""),"Precisa ser um número. "))&amp;IF(AND($D$44&gt;0,$J$44+$C$44+$D$44&gt;20),"Aumento desperdiçado: passou do teto 20.",""))</f>
        <v/>
      </c>
      <c r="Q44">
        <f>IF(ISERROR($B$44),"",IF(ISBLANK($B$44),"",$B$44))</f>
        <v/>
      </c>
      <c r="T44">
        <f>ISERROR($B$44)*1</f>
        <v/>
      </c>
    </row>
    <row r="45" ht="49" customHeight="1">
      <c r="A45" s="18" t="inlineStr">
        <is>
          <t>Agilidade</t>
        </is>
      </c>
      <c r="B45" s="36" t="n"/>
      <c r="C45" s="21">
        <f>IF($Q$25="Humano",IF($Q$26="Dois Atributos (+1 cada)",($Q$27="Agilidade")*1+AND($Q$28="Agilidade",$Q$28&lt;&gt;$Q$27)*1,($Q$27="Agilidade")*2),IF($Q$26="Dois Atributos (+1 cada)",($O$25="Agilidade")*1+($O$26="Agilidade")*1,IF($O$27="Agilidade",2,0)))</f>
        <v/>
      </c>
      <c r="D45" s="21">
        <f>SUMIF('Progressão'!$U$57:$U$62,"Agilidade",'Progressão'!$F$57:$F$62)+SUMIF('Progressão'!$V$57:$V$62,"Agilidade",'Progressão'!$G$57:$G$62)</f>
        <v/>
      </c>
      <c r="E45" s="19">
        <f>MIN(20,$J$45+$C$45+$D$45)</f>
        <v/>
      </c>
      <c r="F45" s="19">
        <f>IF($E$45&lt;15,VLOOKUP($E$45,'Dados'!$A$34:$B$46,2,FALSE),INT(($E$45-15)/2)+3)</f>
        <v/>
      </c>
      <c r="G45" s="21">
        <f>MIN(20,$J$45+$C$45)</f>
        <v/>
      </c>
      <c r="H45" s="21">
        <f>IF($G$45&lt;15,VLOOKUP($G$45,'Dados'!$A$34:$B$46,2,FALSE),INT(($G$45-15)/2)+3)</f>
        <v/>
      </c>
      <c r="I45" s="21">
        <f>IF($Q$10="Compra de Pontos",VLOOKUP(MAX(8,MIN(15,$J$45)),'Dados'!$A$50:$B$57,2,FALSE),"")</f>
        <v/>
      </c>
      <c r="J45" s="21">
        <f>IF(ISNUMBER($Q$45),MAX(8,MIN(20,INT($Q$45))),8)</f>
        <v/>
      </c>
      <c r="K45" s="20">
        <f>IF(T45&gt;0,"O Google leu como fórmula: digite de novo com ' na frente.",IF($Q$45="","",IF(ISNUMBER($Q$45),IF(OR($Q$45&lt;8,$Q$45&gt;20),"Fora de 8 a 20: a ficha conta com "&amp;$J$45&amp;". ","")&amp;IF($Q$45&gt;15,"Acima de 15 antes da Raça. ",""),"Precisa ser um número. "))&amp;IF(AND($D$45&gt;0,$J$45+$C$45+$D$45&gt;20),"Aumento desperdiçado: passou do teto 20.",""))</f>
        <v/>
      </c>
      <c r="Q45">
        <f>IF(ISERROR($B$45),"",IF(ISBLANK($B$45),"",$B$45))</f>
        <v/>
      </c>
      <c r="T45">
        <f>ISERROR($B$45)*1</f>
        <v/>
      </c>
    </row>
    <row r="46" ht="49" customHeight="1">
      <c r="A46" s="16" t="inlineStr">
        <is>
          <t>Vigor</t>
        </is>
      </c>
      <c r="B46" s="23" t="n"/>
      <c r="C46" s="22">
        <f>IF($Q$25="Humano",IF($Q$26="Dois Atributos (+1 cada)",($Q$27="Vigor")*1+AND($Q$28="Vigor",$Q$28&lt;&gt;$Q$27)*1,($Q$27="Vigor")*2),IF($Q$26="Dois Atributos (+1 cada)",($O$25="Vigor")*1+($O$26="Vigor")*1,IF($O$27="Vigor",2,0)))</f>
        <v/>
      </c>
      <c r="D46" s="22">
        <f>SUMIF('Progressão'!$U$57:$U$62,"Vigor",'Progressão'!$F$57:$F$62)+SUMIF('Progressão'!$V$57:$V$62,"Vigor",'Progressão'!$G$57:$G$62)</f>
        <v/>
      </c>
      <c r="E46" s="17">
        <f>MIN(20,$J$46+$C$46+$D$46)</f>
        <v/>
      </c>
      <c r="F46" s="17">
        <f>IF($E$46&lt;15,VLOOKUP($E$46,'Dados'!$A$34:$B$46,2,FALSE),INT(($E$46-15)/2)+3)</f>
        <v/>
      </c>
      <c r="G46" s="22">
        <f>MIN(20,$J$46+$C$46)</f>
        <v/>
      </c>
      <c r="H46" s="22">
        <f>IF($G$46&lt;15,VLOOKUP($G$46,'Dados'!$A$34:$B$46,2,FALSE),INT(($G$46-15)/2)+3)</f>
        <v/>
      </c>
      <c r="I46" s="22">
        <f>IF($Q$10="Compra de Pontos",VLOOKUP(MAX(8,MIN(15,$J$46)),'Dados'!$A$50:$B$57,2,FALSE),"")</f>
        <v/>
      </c>
      <c r="J46" s="22">
        <f>IF(ISNUMBER($Q$46),MAX(8,MIN(20,INT($Q$46))),8)</f>
        <v/>
      </c>
      <c r="K46" s="13">
        <f>IF(T46&gt;0,"O Google leu como fórmula: digite de novo com ' na frente.",IF($Q$46="","",IF(ISNUMBER($Q$46),IF(OR($Q$46&lt;8,$Q$46&gt;20),"Fora de 8 a 20: a ficha conta com "&amp;$J$46&amp;". ","")&amp;IF($Q$46&gt;15,"Acima de 15 antes da Raça. ",""),"Precisa ser um número. "))&amp;IF(AND($D$46&gt;0,$J$46+$C$46+$D$46&gt;20),"Aumento desperdiçado: passou do teto 20.",""))</f>
        <v/>
      </c>
      <c r="Q46">
        <f>IF(ISERROR($B$46),"",IF(ISBLANK($B$46),"",$B$46))</f>
        <v/>
      </c>
      <c r="T46">
        <f>ISERROR($B$46)*1</f>
        <v/>
      </c>
    </row>
    <row r="47" ht="49" customHeight="1">
      <c r="A47" s="18" t="inlineStr">
        <is>
          <t>Sincronia</t>
        </is>
      </c>
      <c r="B47" s="36" t="n"/>
      <c r="C47" s="21">
        <f>IF($Q$25="Humano",IF($Q$26="Dois Atributos (+1 cada)",($Q$27="Sincronia")*1+AND($Q$28="Sincronia",$Q$28&lt;&gt;$Q$27)*1,($Q$27="Sincronia")*2),IF($Q$26="Dois Atributos (+1 cada)",($O$25="Sincronia")*1+($O$26="Sincronia")*1,IF($O$27="Sincronia",2,0)))</f>
        <v/>
      </c>
      <c r="D47" s="21">
        <f>SUMIF('Progressão'!$U$57:$U$62,"Sincronia",'Progressão'!$F$57:$F$62)+SUMIF('Progressão'!$V$57:$V$62,"Sincronia",'Progressão'!$G$57:$G$62)</f>
        <v/>
      </c>
      <c r="E47" s="19">
        <f>MIN(20,$J$47+$C$47+$D$47)</f>
        <v/>
      </c>
      <c r="F47" s="19">
        <f>IF($E$47&lt;15,VLOOKUP($E$47,'Dados'!$A$34:$B$46,2,FALSE),INT(($E$47-15)/2)+3)</f>
        <v/>
      </c>
      <c r="G47" s="21">
        <f>MIN(20,$J$47+$C$47)</f>
        <v/>
      </c>
      <c r="H47" s="21">
        <f>IF($G$47&lt;15,VLOOKUP($G$47,'Dados'!$A$34:$B$46,2,FALSE),INT(($G$47-15)/2)+3)</f>
        <v/>
      </c>
      <c r="I47" s="21">
        <f>IF($Q$10="Compra de Pontos",VLOOKUP(MAX(8,MIN(15,$J$47)),'Dados'!$A$50:$B$57,2,FALSE),"")</f>
        <v/>
      </c>
      <c r="J47" s="21">
        <f>IF(ISNUMBER($Q$47),MAX(8,MIN(20,INT($Q$47))),8)</f>
        <v/>
      </c>
      <c r="K47" s="20">
        <f>IF(T47&gt;0,"O Google leu como fórmula: digite de novo com ' na frente.",IF($Q$47="","",IF(ISNUMBER($Q$47),IF(OR($Q$47&lt;8,$Q$47&gt;20),"Fora de 8 a 20: a ficha conta com "&amp;$J$47&amp;". ","")&amp;IF($Q$47&gt;15,"Acima de 15 antes da Raça. ",""),"Precisa ser um número. "))&amp;IF(AND($D$47&gt;0,$J$47+$C$47+$D$47&gt;20),"Aumento desperdiçado: passou do teto 20.",""))</f>
        <v/>
      </c>
      <c r="Q47">
        <f>IF(ISERROR($B$47),"",IF(ISBLANK($B$47),"",$B$47))</f>
        <v/>
      </c>
      <c r="T47">
        <f>ISERROR($B$47)*1</f>
        <v/>
      </c>
    </row>
    <row r="48" ht="49" customHeight="1">
      <c r="A48" s="16" t="inlineStr">
        <is>
          <t>Discernimento</t>
        </is>
      </c>
      <c r="B48" s="23" t="n"/>
      <c r="C48" s="22">
        <f>IF($Q$25="Humano",IF($Q$26="Dois Atributos (+1 cada)",($Q$27="Discernimento")*1+AND($Q$28="Discernimento",$Q$28&lt;&gt;$Q$27)*1,($Q$27="Discernimento")*2),IF($Q$26="Dois Atributos (+1 cada)",($O$25="Discernimento")*1+($O$26="Discernimento")*1,IF($O$27="Discernimento",2,0)))</f>
        <v/>
      </c>
      <c r="D48" s="22">
        <f>SUMIF('Progressão'!$U$57:$U$62,"Discernimento",'Progressão'!$F$57:$F$62)+SUMIF('Progressão'!$V$57:$V$62,"Discernimento",'Progressão'!$G$57:$G$62)</f>
        <v/>
      </c>
      <c r="E48" s="17">
        <f>MIN(20,$J$48+$C$48+$D$48)</f>
        <v/>
      </c>
      <c r="F48" s="17">
        <f>IF($E$48&lt;15,VLOOKUP($E$48,'Dados'!$A$34:$B$46,2,FALSE),INT(($E$48-15)/2)+3)</f>
        <v/>
      </c>
      <c r="G48" s="22">
        <f>MIN(20,$J$48+$C$48)</f>
        <v/>
      </c>
      <c r="H48" s="22">
        <f>IF($G$48&lt;15,VLOOKUP($G$48,'Dados'!$A$34:$B$46,2,FALSE),INT(($G$48-15)/2)+3)</f>
        <v/>
      </c>
      <c r="I48" s="22">
        <f>IF($Q$10="Compra de Pontos",VLOOKUP(MAX(8,MIN(15,$J$48)),'Dados'!$A$50:$B$57,2,FALSE),"")</f>
        <v/>
      </c>
      <c r="J48" s="22">
        <f>IF(ISNUMBER($Q$48),MAX(8,MIN(20,INT($Q$48))),8)</f>
        <v/>
      </c>
      <c r="K48" s="13">
        <f>IF(T48&gt;0,"O Google leu como fórmula: digite de novo com ' na frente.",IF($Q$48="","",IF(ISNUMBER($Q$48),IF(OR($Q$48&lt;8,$Q$48&gt;20),"Fora de 8 a 20: a ficha conta com "&amp;$J$48&amp;". ","")&amp;IF($Q$48&gt;15,"Acima de 15 antes da Raça. ",""),"Precisa ser um número. "))&amp;IF(AND($D$48&gt;0,$J$48+$C$48+$D$48&gt;20),"Aumento desperdiçado: passou do teto 20.",""))</f>
        <v/>
      </c>
      <c r="Q48">
        <f>IF(ISERROR($B$48),"",IF(ISBLANK($B$48),"",$B$48))</f>
        <v/>
      </c>
      <c r="T48">
        <f>ISERROR($B$48)*1</f>
        <v/>
      </c>
    </row>
    <row r="49" ht="49" customHeight="1">
      <c r="A49" s="18" t="inlineStr">
        <is>
          <t>Presença</t>
        </is>
      </c>
      <c r="B49" s="36" t="n"/>
      <c r="C49" s="21">
        <f>IF($Q$25="Humano",IF($Q$26="Dois Atributos (+1 cada)",($Q$27="Presença")*1+AND($Q$28="Presença",$Q$28&lt;&gt;$Q$27)*1,($Q$27="Presença")*2),IF($Q$26="Dois Atributos (+1 cada)",($O$25="Presença")*1+($O$26="Presença")*1,IF($O$27="Presença",2,0)))</f>
        <v/>
      </c>
      <c r="D49" s="21">
        <f>SUMIF('Progressão'!$U$57:$U$62,"Presença",'Progressão'!$F$57:$F$62)+SUMIF('Progressão'!$V$57:$V$62,"Presença",'Progressão'!$G$57:$G$62)</f>
        <v/>
      </c>
      <c r="E49" s="19">
        <f>MIN(20,$J$49+$C$49+$D$49)</f>
        <v/>
      </c>
      <c r="F49" s="19">
        <f>IF($E$49&lt;15,VLOOKUP($E$49,'Dados'!$A$34:$B$46,2,FALSE),INT(($E$49-15)/2)+3)</f>
        <v/>
      </c>
      <c r="G49" s="21">
        <f>MIN(20,$J$49+$C$49)</f>
        <v/>
      </c>
      <c r="H49" s="21">
        <f>IF($G$49&lt;15,VLOOKUP($G$49,'Dados'!$A$34:$B$46,2,FALSE),INT(($G$49-15)/2)+3)</f>
        <v/>
      </c>
      <c r="I49" s="21">
        <f>IF($Q$10="Compra de Pontos",VLOOKUP(MAX(8,MIN(15,$J$49)),'Dados'!$A$50:$B$57,2,FALSE),"")</f>
        <v/>
      </c>
      <c r="J49" s="21">
        <f>IF(ISNUMBER($Q$49),MAX(8,MIN(20,INT($Q$49))),8)</f>
        <v/>
      </c>
      <c r="K49" s="20">
        <f>IF(T49&gt;0,"O Google leu como fórmula: digite de novo com ' na frente.",IF($Q$49="","",IF(ISNUMBER($Q$49),IF(OR($Q$49&lt;8,$Q$49&gt;20),"Fora de 8 a 20: a ficha conta com "&amp;$J$49&amp;". ","")&amp;IF($Q$49&gt;15,"Acima de 15 antes da Raça. ",""),"Precisa ser um número. "))&amp;IF(AND($D$49&gt;0,$J$49+$C$49+$D$49&gt;20),"Aumento desperdiçado: passou do teto 20.",""))</f>
        <v/>
      </c>
      <c r="Q49">
        <f>IF(ISERROR($B$49),"",IF(ISBLANK($B$49),"",$B$49))</f>
        <v/>
      </c>
      <c r="T49">
        <f>ISERROR($B$49)*1</f>
        <v/>
      </c>
    </row>
    <row r="50" ht="49" customHeight="1">
      <c r="A50" s="8" t="inlineStr">
        <is>
          <t>Conferência do array oficial</t>
        </is>
      </c>
      <c r="B50" s="22">
        <f>IF($Q$10&lt;&gt;"Array oficial","",IF((ISNUMBER($Q$44)*1+ISNUMBER($Q$45)*1+ISNUMBER($Q$46)*1+ISNUMBER($Q$47)*1+ISNUMBER($Q$48)*1+ISNUMBER($Q$49)*1)&lt;6,"Valores que faltam para fechar o array: "&amp;(6-(ISNUMBER($Q$44)*1+ISNUMBER($Q$45)*1+ISNUMBER($Q$46)*1+ISNUMBER($Q$47)*1+ISNUMBER($Q$48)*1+ISNUMBER($Q$49)*1)),IF(AND(COUNTIF($Q$44:$Q$49,15)=1,COUNTIF($Q$44:$Q$49,14)=1,COUNTIF($Q$44:$Q$49,13)=1,COUNTIF($Q$44:$Q$49,12)=1,COUNTIF($Q$44:$Q$49,10)=1,COUNTIF($Q$44:$Q$49,8)=1),"OK: cada valor usado uma vez","Confira o aviso ao lado")))</f>
        <v/>
      </c>
      <c r="K50" s="13">
        <f>IF(AND($Q$10="Array oficial",(ISNUMBER($Q$44)*1+ISNUMBER($Q$45)*1+ISNUMBER($Q$46)*1+ISNUMBER($Q$47)*1+ISNUMBER($Q$48)*1+ISNUMBER($Q$49)*1)=6),IF(AND(COUNTIF($Q$44:$Q$49,15)=1,COUNTIF($Q$44:$Q$49,14)=1,COUNTIF($Q$44:$Q$49,13)=1,COUNTIF($Q$44:$Q$49,12)=1,COUNTIF($Q$44:$Q$49,10)=1,COUNTIF($Q$44:$Q$49,8)=1),"","Array oficial: use 15, 14, 13, 12, 10 e 8 uma vez cada. Falta: "&amp;IF(COUNTIF($Q$44:$Q$49,15)=0,"15 ","")&amp;IF(COUNTIF($Q$44:$Q$49,14)=0,"14 ","")&amp;IF(COUNTIF($Q$44:$Q$49,13)=0,"13 ","")&amp;IF(COUNTIF($Q$44:$Q$49,12)=0,"12 ","")&amp;IF(COUNTIF($Q$44:$Q$49,10)=0,"10 ","")&amp;IF(COUNTIF($Q$44:$Q$49,8)=0,"8 ","")&amp;"· Repetido: "&amp;IF(COUNTIF($Q$44:$Q$49,15)&gt;1,"15 ","")&amp;IF(COUNTIF($Q$44:$Q$49,14)&gt;1,"14 ","")&amp;IF(COUNTIF($Q$44:$Q$49,13)&gt;1,"13 ","")&amp;IF(COUNTIF($Q$44:$Q$49,12)&gt;1,"12 ","")&amp;IF(COUNTIF($Q$44:$Q$49,10)&gt;1,"10 ","")&amp;IF(COUNTIF($Q$44:$Q$49,8)&gt;1,"8 ","")),"")</f>
        <v/>
      </c>
    </row>
    <row r="51" ht="26" customHeight="1">
      <c r="A51" s="33" t="inlineStr">
        <is>
          <t>Compra de Pontos: gastos de 28</t>
        </is>
      </c>
      <c r="B51" s="19">
        <f>IF($Q$10="Compra de Pontos",SUM($I$44:$I$49),"")</f>
        <v/>
      </c>
      <c r="C51" s="34" t="inlineStr">
        <is>
          <t>Sobram:</t>
        </is>
      </c>
      <c r="D51" s="19">
        <f>IF($Q$10="Compra de Pontos",28-SUM($I$44:$I$49),"")</f>
        <v/>
      </c>
      <c r="E51" s="35" t="n"/>
      <c r="F51" s="35" t="n"/>
      <c r="G51" s="35" t="n"/>
      <c r="H51" s="35" t="n"/>
      <c r="I51" s="35" t="n"/>
      <c r="J51" s="35" t="n"/>
      <c r="K51" s="20">
        <f>IF(AND($Q$10="Compra de Pontos",SUM($I$44:$I$49)&gt;28),"Compra de Pontos passou de 28 ("&amp;SUM($I$44:$I$49)&amp;" pontos)","")</f>
        <v/>
      </c>
    </row>
    <row r="52"/>
    <row r="53">
      <c r="A53" s="14" t="inlineStr">
        <is>
          <t>Passo 5 — Atributo de Habilidade (fixo pela campanha)</t>
        </is>
      </c>
    </row>
    <row r="54" ht="37" customHeight="1">
      <c r="A54" s="8" t="inlineStr">
        <is>
          <t>Atributo de Habilidade</t>
        </is>
      </c>
      <c r="B54" s="23" t="n"/>
      <c r="C54" s="12" t="inlineStr">
        <is>
          <t>Usado:</t>
        </is>
      </c>
      <c r="D54" s="17">
        <f>IF($N$54="","",IF(AND($Q$54="",$N$55=""),$N$54,IF(AND($Q$54&lt;&gt;"",OR($Q$54=$N$54,$Q$54=$N$55)),$Q$54,"")))</f>
        <v/>
      </c>
      <c r="K54" s="13">
        <f>IF(T54&gt;0,"O Google leu como fórmula: escolha de novo na lista.",IF(AND($N$54&lt;&gt;"",$D$54=""),IF($Q$54="","Escolha o Atributo de Habilidade: "&amp;$N$54&amp;" ou "&amp;$N$55,"Fora do que o Caminho permite: "&amp;$N$54&amp;IF($N$55="",""," ou "&amp;$N$55)),""))</f>
        <v/>
      </c>
      <c r="N54" s="25">
        <f>IF($Q$33="","",IFERROR(""&amp;INDEX('Dados'!$E$91:$E$99,MATCH($Q$33,'Dados'!$A$91:$A$99,0)),""))</f>
        <v/>
      </c>
      <c r="Q54">
        <f>IF(ISERROR($B$54),"",IF(ISBLANK($B$54),"",$B$54))</f>
        <v/>
      </c>
      <c r="T54">
        <f>ISERROR($B$54)*1</f>
        <v/>
      </c>
    </row>
    <row r="55" ht="26" customHeight="1">
      <c r="A55" s="8" t="inlineStr">
        <is>
          <t>Bônus do Atributo de Habilidade</t>
        </is>
      </c>
      <c r="B55" s="17">
        <f>IF($D$54="",0,IFERROR(INDEX($F$44:$F$49,MATCH($D$54,$A$44:$A$49,0)),0))</f>
        <v/>
      </c>
      <c r="N55" s="25">
        <f>IF($Q$33="","",IFERROR(""&amp;INDEX('Dados'!$F$91:$F$99,MATCH($Q$33,'Dados'!$A$91:$A$99,0)),""))</f>
        <v/>
      </c>
    </row>
    <row r="56" ht="26" customHeight="1">
      <c r="A56" s="8" t="inlineStr">
        <is>
          <t>DT das suas Habilidades (8 + Bônus + Eficiência)</t>
        </is>
      </c>
      <c r="B56" s="17">
        <f>8+$B$55+$C$14</f>
        <v/>
      </c>
    </row>
    <row r="57" ht="26" customHeight="1">
      <c r="A57" s="8" t="inlineStr">
        <is>
          <t>Teste de Ataque das Habilidades e da Ultimate</t>
        </is>
      </c>
      <c r="B57" s="17">
        <f>$B$55+$C$14+$G$14+$B$125</f>
        <v/>
      </c>
      <c r="C57" s="17">
        <f>"d20"&amp;IF($B$57&gt;=0,"+","")&amp;$B$57</f>
        <v/>
      </c>
      <c r="D57" s="12" t="inlineStr">
        <is>
          <t>Bônus + Eficiência + Especialização + equipamento (aba Equipamento)</t>
        </is>
      </c>
    </row>
    <row r="58"/>
    <row r="59">
      <c r="A59" s="14" t="inlineStr">
        <is>
          <t>Passo 6 — Elemento (capítulo 20)</t>
        </is>
      </c>
    </row>
    <row r="60" ht="26" customHeight="1">
      <c r="A60" s="8" t="inlineStr">
        <is>
          <t>Elemento</t>
        </is>
      </c>
      <c r="B60" s="23" t="n"/>
      <c r="C60" s="12" t="inlineStr">
        <is>
          <t>Suas Habilidades e a Ultimate causam dano deste Elemento.</t>
        </is>
      </c>
      <c r="K60" s="13">
        <f>IF(T60&gt;0,"O Google leu como fórmula: escolha de novo na lista.",IF($Q$60="","",IF(COUNTIF('Dados'!$R$6:$R$12,$Q$60)=0,"Elemento fora da lista do capítulo 20","")))</f>
        <v/>
      </c>
      <c r="Q60">
        <f>IF(ISERROR($B$60),"",IF(ISBLANK($B$60),"",$B$60))</f>
        <v/>
      </c>
      <c r="T60">
        <f>ISERROR($B$60)*1</f>
        <v/>
      </c>
    </row>
    <row r="61">
      <c r="A61" s="8" t="inlineStr">
        <is>
          <t>Efeito de Quebra</t>
        </is>
      </c>
      <c r="B61" s="22">
        <f>IF($Q$60="","",IFERROR(INDEX('Dados'!$H$381:$H$387,MATCH($Q$60,'Dados'!$A$381:$A$387,0)),""))</f>
        <v/>
      </c>
    </row>
    <row r="62">
      <c r="A62" s="8" t="inlineStr">
        <is>
          <t>Dano de Quebra (20.5)</t>
        </is>
      </c>
      <c r="B62" s="17">
        <f>IF($Q$60="","",IFERROR(IF(INDEX('Dados'!$E$381:$E$387,MATCH($Q$60,'Dados'!$A$381:$A$387,0))&lt;=0,""&amp;INDEX('Dados'!$G$381:$G$387,MATCH($Q$60,'Dados'!$A$381:$A$387,0))*$C$14,INDEX('Dados'!$E$381:$E$387,MATCH($Q$60,'Dados'!$A$381:$A$387,0))&amp;"d"&amp;INDEX('Dados'!$F$381:$F$387,MATCH($Q$60,'Dados'!$A$381:$A$387,0))&amp;IF(INDEX('Dados'!$G$381:$G$387,MATCH($Q$60,'Dados'!$A$381:$A$387,0))*$C$14&gt;0,"+"&amp;INDEX('Dados'!$G$381:$G$387,MATCH($Q$60,'Dados'!$A$381:$A$387,0))*$C$14,IF(INDEX('Dados'!$G$381:$G$387,MATCH($Q$60,'Dados'!$A$381:$A$387,0))*$C$14&lt;0,""&amp;INDEX('Dados'!$G$381:$G$387,MATCH($Q$60,'Dados'!$A$381:$A$387,0))*$C$14,""))),""))</f>
        <v/>
      </c>
      <c r="C62" s="12" t="inlineStr">
        <is>
          <t>média</t>
        </is>
      </c>
      <c r="D62" s="17">
        <f>IF($Q$60="","",IFERROR(INT(INDEX('Dados'!$E$381:$E$387,MATCH($Q$60,'Dados'!$A$381:$A$387,0))*(INDEX('Dados'!$F$381:$F$387,MATCH($Q$60,'Dados'!$A$381:$A$387,0))+1)/2)+INDEX('Dados'!$G$381:$G$387,MATCH($Q$60,'Dados'!$A$381:$A$387,0))*$C$14,""))</f>
        <v/>
      </c>
    </row>
    <row r="63"/>
    <row r="64">
      <c r="A64" s="14" t="inlineStr">
        <is>
          <t>Passo 7 — Perícias (3 do Caminho + 2 + Bônus de Sincronia escolhidas, mínimo 2)</t>
        </is>
      </c>
    </row>
    <row r="65" ht="26" customHeight="1">
      <c r="A65" s="8" t="inlineStr">
        <is>
          <t>Sintonia usa (fixo na criação)</t>
        </is>
      </c>
      <c r="B65" s="23" t="n"/>
      <c r="C65" s="12" t="inlineStr">
        <is>
          <t>Usado:</t>
        </is>
      </c>
      <c r="D65" s="22">
        <f>IF($Q$65="Sincronia","Sincronia","Discernimento")</f>
        <v/>
      </c>
      <c r="K65" s="13">
        <f>IF(T65&gt;0,"O Google leu como fórmula: escolha de novo na lista.","")</f>
        <v/>
      </c>
      <c r="Q65">
        <f>IF(ISERROR($B$65),"",IF(ISBLANK($B$65),"",$B$65))</f>
        <v/>
      </c>
      <c r="T65">
        <f>ISERROR($B$65)*1</f>
        <v/>
      </c>
    </row>
    <row r="66" ht="37" customHeight="1">
      <c r="A66" s="8" t="inlineStr">
        <is>
          <t>Perícias escolhidas permitidas (Sincronia da criação; Humano +1)</t>
        </is>
      </c>
      <c r="B66" s="17">
        <f>MAX(2,2+$H$47)+IF($Q$25="Humano",1,0)</f>
        <v/>
      </c>
    </row>
    <row r="67" ht="37" customHeight="1">
      <c r="A67" s="8" t="inlineStr">
        <is>
          <t>Escolhidas / com Eficiência no total</t>
        </is>
      </c>
      <c r="B67" s="17">
        <f>COUNTIF($S$69:$S$88,"Sim")</f>
        <v/>
      </c>
      <c r="C67" s="12" t="inlineStr">
        <is>
          <t>com Eficiência:</t>
        </is>
      </c>
      <c r="D67" s="17">
        <f>COUNTIF($E$69:$E$88,"Sim")</f>
        <v/>
      </c>
      <c r="K67" s="13">
        <f>IF($B$67&gt;$B$66,"Perícias escolhidas acima do permitido ("&amp;$B$66&amp;"): as últimas ficam sem Eficiência","")</f>
        <v/>
      </c>
    </row>
    <row r="68" ht="37" customHeight="1">
      <c r="A68" s="7" t="inlineStr">
        <is>
          <t>Perícia (Poder, Agilidade e Vigor)</t>
        </is>
      </c>
      <c r="B68" s="7" t="inlineStr">
        <is>
          <t>Atributo</t>
        </is>
      </c>
      <c r="C68" s="7" t="inlineStr">
        <is>
          <t>Do Caminho?</t>
        </is>
      </c>
      <c r="D68" s="7" t="inlineStr">
        <is>
          <t>Escolhida (preencha Sim)</t>
        </is>
      </c>
      <c r="E68" s="7" t="inlineStr">
        <is>
          <t>Eficiência (automático)</t>
        </is>
      </c>
      <c r="F68" s="7" t="inlineStr">
        <is>
          <t>Origem</t>
        </is>
      </c>
      <c r="K68" s="7" t="inlineStr">
        <is>
          <t>Aviso</t>
        </is>
      </c>
      <c r="L68" s="15" t="n"/>
    </row>
    <row r="69" ht="26" customHeight="1">
      <c r="A69" s="16" t="inlineStr">
        <is>
          <t>Atletismo</t>
        </is>
      </c>
      <c r="B69" s="4">
        <f>INDEX('Dados'!$B$61:$B$78,1)</f>
        <v/>
      </c>
      <c r="C69" s="22">
        <f>IF(OR($B$38="Atletismo",$D$38="Atletismo",$F$38="Atletismo"),"Sim","Não")</f>
        <v/>
      </c>
      <c r="D69" s="23" t="n"/>
      <c r="E69" s="17">
        <f>IF(OR($C$69="Sim",AND($S$69="Sim",COUNTIF($S$69,"Sim")&lt;=$B$66)),"Sim","Não")</f>
        <v/>
      </c>
      <c r="F69" s="22">
        <f>IF($C$69="Sim","Caminho",IF($E$69="Sim","Escolhida",""))</f>
        <v/>
      </c>
      <c r="K69" s="13">
        <f>IF(T69&gt;0,"O Google leu como fórmula: escolha de novo na lista.",IF($S$69&lt;&gt;"Sim","",IF($C$69="Sim","Já vem do Caminho: escolha outra",IF($E$69="Não","Acima do permitido ("&amp;$B$66&amp;"): esta fica sem Eficiência",""))))</f>
        <v/>
      </c>
      <c r="S69">
        <f>IF(ISERROR($D$69),"",IF(ISBLANK($D$69),"",$D$69))</f>
        <v/>
      </c>
      <c r="T69">
        <f>ISERROR($D$69)*1</f>
        <v/>
      </c>
    </row>
    <row r="70" ht="26" customHeight="1">
      <c r="A70" s="18" t="inlineStr">
        <is>
          <t>Acrobacia</t>
        </is>
      </c>
      <c r="B70" s="9">
        <f>INDEX('Dados'!$B$61:$B$78,2)</f>
        <v/>
      </c>
      <c r="C70" s="21">
        <f>IF(OR($B$38="Acrobacia",$D$38="Acrobacia",$F$38="Acrobacia"),"Sim","Não")</f>
        <v/>
      </c>
      <c r="D70" s="36" t="n"/>
      <c r="E70" s="19">
        <f>IF(OR($C$70="Sim",AND($S$70="Sim",COUNTIF($S$69:$S$70,"Sim")&lt;=$B$66)),"Sim","Não")</f>
        <v/>
      </c>
      <c r="F70" s="21">
        <f>IF($C$70="Sim","Caminho",IF($E$70="Sim","Escolhida",""))</f>
        <v/>
      </c>
      <c r="G70" s="35" t="n"/>
      <c r="H70" s="35" t="n"/>
      <c r="I70" s="35" t="n"/>
      <c r="J70" s="35" t="n"/>
      <c r="K70" s="20">
        <f>IF(T70&gt;0,"O Google leu como fórmula: escolha de novo na lista.",IF($S$70&lt;&gt;"Sim","",IF($C$70="Sim","Já vem do Caminho: escolha outra",IF($E$70="Não","Acima do permitido ("&amp;$B$66&amp;"): esta fica sem Eficiência",""))))</f>
        <v/>
      </c>
      <c r="S70">
        <f>IF(ISERROR($D$70),"",IF(ISBLANK($D$70),"",$D$70))</f>
        <v/>
      </c>
      <c r="T70">
        <f>ISERROR($D$70)*1</f>
        <v/>
      </c>
    </row>
    <row r="71" ht="26" customHeight="1">
      <c r="A71" s="16" t="inlineStr">
        <is>
          <t>Furtividade</t>
        </is>
      </c>
      <c r="B71" s="4">
        <f>INDEX('Dados'!$B$61:$B$78,3)</f>
        <v/>
      </c>
      <c r="C71" s="22">
        <f>IF(OR($B$38="Furtividade",$D$38="Furtividade",$F$38="Furtividade"),"Sim","Não")</f>
        <v/>
      </c>
      <c r="D71" s="23" t="n"/>
      <c r="E71" s="17">
        <f>IF(OR($C$71="Sim",AND($S$71="Sim",COUNTIF($S$69:$S$71,"Sim")&lt;=$B$66)),"Sim","Não")</f>
        <v/>
      </c>
      <c r="F71" s="22">
        <f>IF($C$71="Sim","Caminho",IF($E$71="Sim","Escolhida",""))</f>
        <v/>
      </c>
      <c r="K71" s="13">
        <f>IF(T71&gt;0,"O Google leu como fórmula: escolha de novo na lista.",IF($S$71&lt;&gt;"Sim","",IF($C$71="Sim","Já vem do Caminho: escolha outra",IF($E$71="Não","Acima do permitido ("&amp;$B$66&amp;"): esta fica sem Eficiência",""))))</f>
        <v/>
      </c>
      <c r="S71">
        <f>IF(ISERROR($D$71),"",IF(ISBLANK($D$71),"",$D$71))</f>
        <v/>
      </c>
      <c r="T71">
        <f>ISERROR($D$71)*1</f>
        <v/>
      </c>
    </row>
    <row r="72" ht="26" customHeight="1">
      <c r="A72" s="18" t="inlineStr">
        <is>
          <t>Pilotagem</t>
        </is>
      </c>
      <c r="B72" s="9">
        <f>INDEX('Dados'!$B$61:$B$78,4)</f>
        <v/>
      </c>
      <c r="C72" s="21">
        <f>IF(OR($B$38="Pilotagem",$D$38="Pilotagem",$F$38="Pilotagem"),"Sim","Não")</f>
        <v/>
      </c>
      <c r="D72" s="36" t="n"/>
      <c r="E72" s="19">
        <f>IF(OR($C$72="Sim",AND($S$72="Sim",COUNTIF($S$69:$S$72,"Sim")&lt;=$B$66)),"Sim","Não")</f>
        <v/>
      </c>
      <c r="F72" s="21">
        <f>IF($C$72="Sim","Caminho",IF($E$72="Sim","Escolhida",""))</f>
        <v/>
      </c>
      <c r="G72" s="35" t="n"/>
      <c r="H72" s="35" t="n"/>
      <c r="I72" s="35" t="n"/>
      <c r="J72" s="35" t="n"/>
      <c r="K72" s="20">
        <f>IF(T72&gt;0,"O Google leu como fórmula: escolha de novo na lista.",IF($S$72&lt;&gt;"Sim","",IF($C$72="Sim","Já vem do Caminho: escolha outra",IF($E$72="Não","Acima do permitido ("&amp;$B$66&amp;"): esta fica sem Eficiência",""))))</f>
        <v/>
      </c>
      <c r="S72">
        <f>IF(ISERROR($D$72),"",IF(ISBLANK($D$72),"",$D$72))</f>
        <v/>
      </c>
      <c r="T72">
        <f>ISERROR($D$72)*1</f>
        <v/>
      </c>
    </row>
    <row r="73" ht="26" customHeight="1">
      <c r="A73" s="16" t="inlineStr">
        <is>
          <t>Resistência</t>
        </is>
      </c>
      <c r="B73" s="4">
        <f>INDEX('Dados'!$B$61:$B$78,5)</f>
        <v/>
      </c>
      <c r="C73" s="22">
        <f>IF(OR($B$38="Resistência",$D$38="Resistência",$F$38="Resistência"),"Sim","Não")</f>
        <v/>
      </c>
      <c r="D73" s="23" t="n"/>
      <c r="E73" s="17">
        <f>IF(OR($C$73="Sim",AND($S$73="Sim",COUNTIF($S$69:$S$73,"Sim")&lt;=$B$66)),"Sim","Não")</f>
        <v/>
      </c>
      <c r="F73" s="22">
        <f>IF($C$73="Sim","Caminho",IF($E$73="Sim","Escolhida",""))</f>
        <v/>
      </c>
      <c r="K73" s="13">
        <f>IF(T73&gt;0,"O Google leu como fórmula: escolha de novo na lista.",IF($S$73&lt;&gt;"Sim","",IF($C$73="Sim","Já vem do Caminho: escolha outra",IF($E$73="Não","Acima do permitido ("&amp;$B$66&amp;"): esta fica sem Eficiência",""))))</f>
        <v/>
      </c>
      <c r="S73">
        <f>IF(ISERROR($D$73),"",IF(ISBLANK($D$73),"",$D$73))</f>
        <v/>
      </c>
      <c r="T73">
        <f>ISERROR($D$73)*1</f>
        <v/>
      </c>
    </row>
    <row r="74" ht="37" customHeight="1">
      <c r="A74" s="7" t="inlineStr">
        <is>
          <t>Perícia (Sincronia e Discernimento)</t>
        </is>
      </c>
      <c r="B74" s="7" t="inlineStr">
        <is>
          <t>Atributo</t>
        </is>
      </c>
      <c r="C74" s="7" t="inlineStr">
        <is>
          <t>Do Caminho?</t>
        </is>
      </c>
      <c r="D74" s="7" t="inlineStr">
        <is>
          <t>Escolhida (preencha Sim)</t>
        </is>
      </c>
      <c r="E74" s="7" t="inlineStr">
        <is>
          <t>Eficiência (automático)</t>
        </is>
      </c>
      <c r="F74" s="7" t="inlineStr">
        <is>
          <t>Origem</t>
        </is>
      </c>
      <c r="K74" s="7" t="inlineStr">
        <is>
          <t>Aviso</t>
        </is>
      </c>
      <c r="L74" s="15" t="n"/>
      <c r="S74">
        <f>IF(ISERROR($D$74),"",IF(ISBLANK($D$74),"",$D$74))</f>
        <v/>
      </c>
    </row>
    <row r="75" ht="26" customHeight="1">
      <c r="A75" s="16" t="inlineStr">
        <is>
          <t>Tecnologia</t>
        </is>
      </c>
      <c r="B75" s="4">
        <f>INDEX('Dados'!$B$61:$B$78,6)</f>
        <v/>
      </c>
      <c r="C75" s="22">
        <f>IF(OR($B$38="Tecnologia",$D$38="Tecnologia",$F$38="Tecnologia"),"Sim","Não")</f>
        <v/>
      </c>
      <c r="D75" s="23" t="n"/>
      <c r="E75" s="17">
        <f>IF(OR($C$75="Sim",AND($S$75="Sim",COUNTIF($S$69:$S$75,"Sim")&lt;=$B$66)),"Sim","Não")</f>
        <v/>
      </c>
      <c r="F75" s="22">
        <f>IF($C$75="Sim","Caminho",IF($E$75="Sim","Escolhida",""))</f>
        <v/>
      </c>
      <c r="K75" s="13">
        <f>IF(T75&gt;0,"O Google leu como fórmula: escolha de novo na lista.",IF($S$75&lt;&gt;"Sim","",IF($C$75="Sim","Já vem do Caminho: escolha outra",IF($E$75="Não","Acima do permitido ("&amp;$B$66&amp;"): esta fica sem Eficiência",""))))</f>
        <v/>
      </c>
      <c r="S75">
        <f>IF(ISERROR($D$75),"",IF(ISBLANK($D$75),"",$D$75))</f>
        <v/>
      </c>
      <c r="T75">
        <f>ISERROR($D$75)*1</f>
        <v/>
      </c>
    </row>
    <row r="76" ht="26" customHeight="1">
      <c r="A76" s="18" t="inlineStr">
        <is>
          <t>Pesquisa</t>
        </is>
      </c>
      <c r="B76" s="9">
        <f>INDEX('Dados'!$B$61:$B$78,7)</f>
        <v/>
      </c>
      <c r="C76" s="21">
        <f>IF(OR($B$38="Pesquisa",$D$38="Pesquisa",$F$38="Pesquisa"),"Sim","Não")</f>
        <v/>
      </c>
      <c r="D76" s="36" t="n"/>
      <c r="E76" s="19">
        <f>IF(OR($C$76="Sim",AND($S$76="Sim",COUNTIF($S$69:$S$76,"Sim")&lt;=$B$66)),"Sim","Não")</f>
        <v/>
      </c>
      <c r="F76" s="21">
        <f>IF($C$76="Sim","Caminho",IF($E$76="Sim","Escolhida",""))</f>
        <v/>
      </c>
      <c r="G76" s="35" t="n"/>
      <c r="H76" s="35" t="n"/>
      <c r="I76" s="35" t="n"/>
      <c r="J76" s="35" t="n"/>
      <c r="K76" s="20">
        <f>IF(T76&gt;0,"O Google leu como fórmula: escolha de novo na lista.",IF($S$76&lt;&gt;"Sim","",IF($C$76="Sim","Já vem do Caminho: escolha outra",IF($E$76="Não","Acima do permitido ("&amp;$B$66&amp;"): esta fica sem Eficiência",""))))</f>
        <v/>
      </c>
      <c r="S76">
        <f>IF(ISERROR($D$76),"",IF(ISBLANK($D$76),"",$D$76))</f>
        <v/>
      </c>
      <c r="T76">
        <f>ISERROR($D$76)*1</f>
        <v/>
      </c>
    </row>
    <row r="77" ht="26" customHeight="1">
      <c r="A77" s="16" t="inlineStr">
        <is>
          <t>Ciência</t>
        </is>
      </c>
      <c r="B77" s="4">
        <f>INDEX('Dados'!$B$61:$B$78,8)</f>
        <v/>
      </c>
      <c r="C77" s="22">
        <f>IF(OR($B$38="Ciência",$D$38="Ciência",$F$38="Ciência"),"Sim","Não")</f>
        <v/>
      </c>
      <c r="D77" s="23" t="n"/>
      <c r="E77" s="17">
        <f>IF(OR($C$77="Sim",AND($S$77="Sim",COUNTIF($S$69:$S$77,"Sim")&lt;=$B$66)),"Sim","Não")</f>
        <v/>
      </c>
      <c r="F77" s="22">
        <f>IF($C$77="Sim","Caminho",IF($E$77="Sim","Escolhida",""))</f>
        <v/>
      </c>
      <c r="K77" s="13">
        <f>IF(T77&gt;0,"O Google leu como fórmula: escolha de novo na lista.",IF($S$77&lt;&gt;"Sim","",IF($C$77="Sim","Já vem do Caminho: escolha outra",IF($E$77="Não","Acima do permitido ("&amp;$B$66&amp;"): esta fica sem Eficiência",""))))</f>
        <v/>
      </c>
      <c r="S77">
        <f>IF(ISERROR($D$77),"",IF(ISBLANK($D$77),"",$D$77))</f>
        <v/>
      </c>
      <c r="T77">
        <f>ISERROR($D$77)*1</f>
        <v/>
      </c>
    </row>
    <row r="78" ht="26" customHeight="1">
      <c r="A78" s="18" t="inlineStr">
        <is>
          <t>Mecânica</t>
        </is>
      </c>
      <c r="B78" s="9">
        <f>INDEX('Dados'!$B$61:$B$78,9)</f>
        <v/>
      </c>
      <c r="C78" s="21">
        <f>IF(OR($B$38="Mecânica",$D$38="Mecânica",$F$38="Mecânica"),"Sim","Não")</f>
        <v/>
      </c>
      <c r="D78" s="36" t="n"/>
      <c r="E78" s="19">
        <f>IF(OR($C$78="Sim",AND($S$78="Sim",COUNTIF($S$69:$S$78,"Sim")&lt;=$B$66)),"Sim","Não")</f>
        <v/>
      </c>
      <c r="F78" s="21">
        <f>IF($C$78="Sim","Caminho",IF($E$78="Sim","Escolhida",""))</f>
        <v/>
      </c>
      <c r="G78" s="35" t="n"/>
      <c r="H78" s="35" t="n"/>
      <c r="I78" s="35" t="n"/>
      <c r="J78" s="35" t="n"/>
      <c r="K78" s="20">
        <f>IF(T78&gt;0,"O Google leu como fórmula: escolha de novo na lista.",IF($S$78&lt;&gt;"Sim","",IF($C$78="Sim","Já vem do Caminho: escolha outra",IF($E$78="Não","Acima do permitido ("&amp;$B$66&amp;"): esta fica sem Eficiência",""))))</f>
        <v/>
      </c>
      <c r="S78">
        <f>IF(ISERROR($D$78),"",IF(ISBLANK($D$78),"",$D$78))</f>
        <v/>
      </c>
      <c r="T78">
        <f>ISERROR($D$78)*1</f>
        <v/>
      </c>
    </row>
    <row r="79" ht="26" customHeight="1">
      <c r="A79" s="16" t="inlineStr">
        <is>
          <t>Percepção</t>
        </is>
      </c>
      <c r="B79" s="4">
        <f>INDEX('Dados'!$B$61:$B$78,10)</f>
        <v/>
      </c>
      <c r="C79" s="22">
        <f>IF(OR($B$38="Percepção",$D$38="Percepção",$F$38="Percepção"),"Sim","Não")</f>
        <v/>
      </c>
      <c r="D79" s="23" t="n"/>
      <c r="E79" s="17">
        <f>IF(OR($C$79="Sim",AND($S$79="Sim",COUNTIF($S$69:$S$79,"Sim")&lt;=$B$66)),"Sim","Não")</f>
        <v/>
      </c>
      <c r="F79" s="22">
        <f>IF($C$79="Sim","Caminho",IF($E$79="Sim","Escolhida",""))</f>
        <v/>
      </c>
      <c r="K79" s="13">
        <f>IF(T79&gt;0,"O Google leu como fórmula: escolha de novo na lista.",IF($S$79&lt;&gt;"Sim","",IF($C$79="Sim","Já vem do Caminho: escolha outra",IF($E$79="Não","Acima do permitido ("&amp;$B$66&amp;"): esta fica sem Eficiência",""))))</f>
        <v/>
      </c>
      <c r="S79">
        <f>IF(ISERROR($D$79),"",IF(ISBLANK($D$79),"",$D$79))</f>
        <v/>
      </c>
      <c r="T79">
        <f>ISERROR($D$79)*1</f>
        <v/>
      </c>
    </row>
    <row r="80" ht="26" customHeight="1">
      <c r="A80" s="18" t="inlineStr">
        <is>
          <t>Sobrevivência</t>
        </is>
      </c>
      <c r="B80" s="9">
        <f>INDEX('Dados'!$B$61:$B$78,11)</f>
        <v/>
      </c>
      <c r="C80" s="21">
        <f>IF(OR($B$38="Sobrevivência",$D$38="Sobrevivência",$F$38="Sobrevivência"),"Sim","Não")</f>
        <v/>
      </c>
      <c r="D80" s="36" t="n"/>
      <c r="E80" s="19">
        <f>IF(OR($C$80="Sim",AND($S$80="Sim",COUNTIF($S$69:$S$80,"Sim")&lt;=$B$66)),"Sim","Não")</f>
        <v/>
      </c>
      <c r="F80" s="21">
        <f>IF($C$80="Sim","Caminho",IF($E$80="Sim","Escolhida",""))</f>
        <v/>
      </c>
      <c r="G80" s="35" t="n"/>
      <c r="H80" s="35" t="n"/>
      <c r="I80" s="35" t="n"/>
      <c r="J80" s="35" t="n"/>
      <c r="K80" s="20">
        <f>IF(T80&gt;0,"O Google leu como fórmula: escolha de novo na lista.",IF($S$80&lt;&gt;"Sim","",IF($C$80="Sim","Já vem do Caminho: escolha outra",IF($E$80="Não","Acima do permitido ("&amp;$B$66&amp;"): esta fica sem Eficiência",""))))</f>
        <v/>
      </c>
      <c r="S80">
        <f>IF(ISERROR($D$80),"",IF(ISBLANK($D$80),"",$D$80))</f>
        <v/>
      </c>
      <c r="T80">
        <f>ISERROR($D$80)*1</f>
        <v/>
      </c>
    </row>
    <row r="81" ht="26" customHeight="1">
      <c r="A81" s="16" t="inlineStr">
        <is>
          <t>Intuição</t>
        </is>
      </c>
      <c r="B81" s="4">
        <f>INDEX('Dados'!$B$61:$B$78,12)</f>
        <v/>
      </c>
      <c r="C81" s="22">
        <f>IF(OR($B$38="Intuição",$D$38="Intuição",$F$38="Intuição"),"Sim","Não")</f>
        <v/>
      </c>
      <c r="D81" s="23" t="n"/>
      <c r="E81" s="17">
        <f>IF(OR($C$81="Sim",AND($S$81="Sim",COUNTIF($S$69:$S$81,"Sim")&lt;=$B$66)),"Sim","Não")</f>
        <v/>
      </c>
      <c r="F81" s="22">
        <f>IF($C$81="Sim","Caminho",IF($E$81="Sim","Escolhida",""))</f>
        <v/>
      </c>
      <c r="K81" s="13">
        <f>IF(T81&gt;0,"O Google leu como fórmula: escolha de novo na lista.",IF($S$81&lt;&gt;"Sim","",IF($C$81="Sim","Já vem do Caminho: escolha outra",IF($E$81="Não","Acima do permitido ("&amp;$B$66&amp;"): esta fica sem Eficiência",""))))</f>
        <v/>
      </c>
      <c r="S81">
        <f>IF(ISERROR($D$81),"",IF(ISBLANK($D$81),"",$D$81))</f>
        <v/>
      </c>
      <c r="T81">
        <f>ISERROR($D$81)*1</f>
        <v/>
      </c>
    </row>
    <row r="82" ht="26" customHeight="1">
      <c r="A82" s="18" t="inlineStr">
        <is>
          <t>Investigação</t>
        </is>
      </c>
      <c r="B82" s="9">
        <f>INDEX('Dados'!$B$61:$B$78,13)</f>
        <v/>
      </c>
      <c r="C82" s="21">
        <f>IF(OR($B$38="Investigação",$D$38="Investigação",$F$38="Investigação"),"Sim","Não")</f>
        <v/>
      </c>
      <c r="D82" s="36" t="n"/>
      <c r="E82" s="19">
        <f>IF(OR($C$82="Sim",AND($S$82="Sim",COUNTIF($S$69:$S$82,"Sim")&lt;=$B$66)),"Sim","Não")</f>
        <v/>
      </c>
      <c r="F82" s="21">
        <f>IF($C$82="Sim","Caminho",IF($E$82="Sim","Escolhida",""))</f>
        <v/>
      </c>
      <c r="G82" s="35" t="n"/>
      <c r="H82" s="35" t="n"/>
      <c r="I82" s="35" t="n"/>
      <c r="J82" s="35" t="n"/>
      <c r="K82" s="20">
        <f>IF(T82&gt;0,"O Google leu como fórmula: escolha de novo na lista.",IF($S$82&lt;&gt;"Sim","",IF($C$82="Sim","Já vem do Caminho: escolha outra",IF($E$82="Não","Acima do permitido ("&amp;$B$66&amp;"): esta fica sem Eficiência",""))))</f>
        <v/>
      </c>
      <c r="S82">
        <f>IF(ISERROR($D$82),"",IF(ISBLANK($D$82),"",$D$82))</f>
        <v/>
      </c>
      <c r="T82">
        <f>ISERROR($D$82)*1</f>
        <v/>
      </c>
    </row>
    <row r="83" ht="37" customHeight="1">
      <c r="A83" s="7" t="inlineStr">
        <is>
          <t>Perícia (Presença e Sintonia)</t>
        </is>
      </c>
      <c r="B83" s="7" t="inlineStr">
        <is>
          <t>Atributo</t>
        </is>
      </c>
      <c r="C83" s="7" t="inlineStr">
        <is>
          <t>Do Caminho?</t>
        </is>
      </c>
      <c r="D83" s="7" t="inlineStr">
        <is>
          <t>Escolhida (preencha Sim)</t>
        </is>
      </c>
      <c r="E83" s="7" t="inlineStr">
        <is>
          <t>Eficiência (automático)</t>
        </is>
      </c>
      <c r="F83" s="7" t="inlineStr">
        <is>
          <t>Origem</t>
        </is>
      </c>
      <c r="K83" s="7" t="inlineStr">
        <is>
          <t>Aviso</t>
        </is>
      </c>
      <c r="L83" s="15" t="n"/>
      <c r="S83">
        <f>IF(ISERROR($D$83),"",IF(ISBLANK($D$83),"",$D$83))</f>
        <v/>
      </c>
    </row>
    <row r="84" ht="26" customHeight="1">
      <c r="A84" s="16" t="inlineStr">
        <is>
          <t>Persuasão</t>
        </is>
      </c>
      <c r="B84" s="4">
        <f>INDEX('Dados'!$B$61:$B$78,14)</f>
        <v/>
      </c>
      <c r="C84" s="22">
        <f>IF(OR($B$38="Persuasão",$D$38="Persuasão",$F$38="Persuasão"),"Sim","Não")</f>
        <v/>
      </c>
      <c r="D84" s="23" t="n"/>
      <c r="E84" s="17">
        <f>IF(OR($C$84="Sim",AND($S$84="Sim",COUNTIF($S$69:$S$84,"Sim")&lt;=$B$66)),"Sim","Não")</f>
        <v/>
      </c>
      <c r="F84" s="22">
        <f>IF($C$84="Sim","Caminho",IF($E$84="Sim","Escolhida",""))</f>
        <v/>
      </c>
      <c r="K84" s="13">
        <f>IF(T84&gt;0,"O Google leu como fórmula: escolha de novo na lista.",IF($S$84&lt;&gt;"Sim","",IF($C$84="Sim","Já vem do Caminho: escolha outra",IF($E$84="Não","Acima do permitido ("&amp;$B$66&amp;"): esta fica sem Eficiência",""))))</f>
        <v/>
      </c>
      <c r="S84">
        <f>IF(ISERROR($D$84),"",IF(ISBLANK($D$84),"",$D$84))</f>
        <v/>
      </c>
      <c r="T84">
        <f>ISERROR($D$84)*1</f>
        <v/>
      </c>
    </row>
    <row r="85" ht="26" customHeight="1">
      <c r="A85" s="18" t="inlineStr">
        <is>
          <t>Intimidação</t>
        </is>
      </c>
      <c r="B85" s="9">
        <f>INDEX('Dados'!$B$61:$B$78,15)</f>
        <v/>
      </c>
      <c r="C85" s="21">
        <f>IF(OR($B$38="Intimidação",$D$38="Intimidação",$F$38="Intimidação"),"Sim","Não")</f>
        <v/>
      </c>
      <c r="D85" s="36" t="n"/>
      <c r="E85" s="19">
        <f>IF(OR($C$85="Sim",AND($S$85="Sim",COUNTIF($S$69:$S$85,"Sim")&lt;=$B$66)),"Sim","Não")</f>
        <v/>
      </c>
      <c r="F85" s="21">
        <f>IF($C$85="Sim","Caminho",IF($E$85="Sim","Escolhida",""))</f>
        <v/>
      </c>
      <c r="G85" s="35" t="n"/>
      <c r="H85" s="35" t="n"/>
      <c r="I85" s="35" t="n"/>
      <c r="J85" s="35" t="n"/>
      <c r="K85" s="20">
        <f>IF(T85&gt;0,"O Google leu como fórmula: escolha de novo na lista.",IF($S$85&lt;&gt;"Sim","",IF($C$85="Sim","Já vem do Caminho: escolha outra",IF($E$85="Não","Acima do permitido ("&amp;$B$66&amp;"): esta fica sem Eficiência",""))))</f>
        <v/>
      </c>
      <c r="S85">
        <f>IF(ISERROR($D$85),"",IF(ISBLANK($D$85),"",$D$85))</f>
        <v/>
      </c>
      <c r="T85">
        <f>ISERROR($D$85)*1</f>
        <v/>
      </c>
    </row>
    <row r="86" ht="26" customHeight="1">
      <c r="A86" s="16" t="inlineStr">
        <is>
          <t>Enganação</t>
        </is>
      </c>
      <c r="B86" s="4">
        <f>INDEX('Dados'!$B$61:$B$78,16)</f>
        <v/>
      </c>
      <c r="C86" s="22">
        <f>IF(OR($B$38="Enganação",$D$38="Enganação",$F$38="Enganação"),"Sim","Não")</f>
        <v/>
      </c>
      <c r="D86" s="23" t="n"/>
      <c r="E86" s="17">
        <f>IF(OR($C$86="Sim",AND($S$86="Sim",COUNTIF($S$69:$S$86,"Sim")&lt;=$B$66)),"Sim","Não")</f>
        <v/>
      </c>
      <c r="F86" s="22">
        <f>IF($C$86="Sim","Caminho",IF($E$86="Sim","Escolhida",""))</f>
        <v/>
      </c>
      <c r="K86" s="13">
        <f>IF(T86&gt;0,"O Google leu como fórmula: escolha de novo na lista.",IF($S$86&lt;&gt;"Sim","",IF($C$86="Sim","Já vem do Caminho: escolha outra",IF($E$86="Não","Acima do permitido ("&amp;$B$66&amp;"): esta fica sem Eficiência",""))))</f>
        <v/>
      </c>
      <c r="S86">
        <f>IF(ISERROR($D$86),"",IF(ISBLANK($D$86),"",$D$86))</f>
        <v/>
      </c>
      <c r="T86">
        <f>ISERROR($D$86)*1</f>
        <v/>
      </c>
    </row>
    <row r="87" ht="26" customHeight="1">
      <c r="A87" s="18" t="inlineStr">
        <is>
          <t>Liderança</t>
        </is>
      </c>
      <c r="B87" s="9">
        <f>INDEX('Dados'!$B$61:$B$78,17)</f>
        <v/>
      </c>
      <c r="C87" s="21">
        <f>IF(OR($B$38="Liderança",$D$38="Liderança",$F$38="Liderança"),"Sim","Não")</f>
        <v/>
      </c>
      <c r="D87" s="36" t="n"/>
      <c r="E87" s="19">
        <f>IF(OR($C$87="Sim",AND($S$87="Sim",COUNTIF($S$69:$S$87,"Sim")&lt;=$B$66)),"Sim","Não")</f>
        <v/>
      </c>
      <c r="F87" s="21">
        <f>IF($C$87="Sim","Caminho",IF($E$87="Sim","Escolhida",""))</f>
        <v/>
      </c>
      <c r="G87" s="35" t="n"/>
      <c r="H87" s="35" t="n"/>
      <c r="I87" s="35" t="n"/>
      <c r="J87" s="35" t="n"/>
      <c r="K87" s="20">
        <f>IF(T87&gt;0,"O Google leu como fórmula: escolha de novo na lista.",IF($S$87&lt;&gt;"Sim","",IF($C$87="Sim","Já vem do Caminho: escolha outra",IF($E$87="Não","Acima do permitido ("&amp;$B$66&amp;"): esta fica sem Eficiência",""))))</f>
        <v/>
      </c>
      <c r="S87">
        <f>IF(ISERROR($D$87),"",IF(ISBLANK($D$87),"",$D$87))</f>
        <v/>
      </c>
      <c r="T87">
        <f>ISERROR($D$87)*1</f>
        <v/>
      </c>
    </row>
    <row r="88" ht="26" customHeight="1">
      <c r="A88" s="16" t="inlineStr">
        <is>
          <t>Sintonia</t>
        </is>
      </c>
      <c r="B88" s="22">
        <f>$D$65</f>
        <v/>
      </c>
      <c r="C88" s="22">
        <f>IF(OR($B$38="Sintonia",$D$38="Sintonia",$F$38="Sintonia"),"Sim","Não")</f>
        <v/>
      </c>
      <c r="D88" s="23" t="n"/>
      <c r="E88" s="17">
        <f>IF(OR($C$88="Sim",AND($S$88="Sim",COUNTIF($S$69:$S$88,"Sim")&lt;=$B$66)),"Sim","Não")</f>
        <v/>
      </c>
      <c r="F88" s="22">
        <f>IF($C$88="Sim","Caminho",IF($E$88="Sim","Escolhida",""))</f>
        <v/>
      </c>
      <c r="K88" s="13">
        <f>IF(T88&gt;0,"O Google leu como fórmula: escolha de novo na lista.",IF($S$88&lt;&gt;"Sim","",IF($C$88="Sim","Já vem do Caminho: escolha outra",IF($E$88="Não","Acima do permitido ("&amp;$B$66&amp;"): esta fica sem Eficiência",""))))</f>
        <v/>
      </c>
      <c r="S88">
        <f>IF(ISERROR($D$88),"",IF(ISBLANK($D$88),"",$D$88))</f>
        <v/>
      </c>
      <c r="T88">
        <f>ISERROR($D$88)*1</f>
        <v/>
      </c>
    </row>
    <row r="89"/>
    <row r="90">
      <c r="A90" s="14" t="inlineStr">
        <is>
          <t>Passo 8 — As cinco estatísticas: PV, Defesa, Esquiva, RD e Velocidade</t>
        </is>
      </c>
    </row>
    <row r="91" ht="26" customHeight="1">
      <c r="A91" s="8" t="inlineStr">
        <is>
          <t>Armadura ou Vestimenta</t>
        </is>
      </c>
      <c r="B91" s="23" t="n"/>
      <c r="C91" s="22">
        <f>IF($Q$91="","Sem armadura: Defesa +0",IFERROR("Defesa +"&amp;VLOOKUP($Q$91,'Dados'!$A$480:$I$482,2,FALSE)&amp;" · "&amp;VLOOKUP($Q$91,'Dados'!$A$480:$I$482,3,FALSE),""))</f>
        <v/>
      </c>
      <c r="K91" s="13">
        <f>IF(T91&gt;0,"O Google leu como fórmula: escolha de novo na lista.",IF($Q$91="","",IF(COUNTIF('Dados'!$S$6:$S$8,$Q$91)=0,"Armadura fora da lista do capítulo 24","")))</f>
        <v/>
      </c>
      <c r="Q91">
        <f>IF(ISERROR($B$91),"",IF(ISBLANK($B$91),"",$B$91))</f>
        <v/>
      </c>
      <c r="T91">
        <f>ISERROR($B$91)*1</f>
        <v/>
      </c>
    </row>
    <row r="92" ht="60" customHeight="1">
      <c r="A92" s="7" t="inlineStr">
        <is>
          <t>Números da armadura</t>
        </is>
      </c>
      <c r="B92" s="7" t="inlineStr">
        <is>
          <t>Defesa</t>
        </is>
      </c>
      <c r="C92" s="7" t="inlineStr">
        <is>
          <t>Velocidade</t>
        </is>
      </c>
      <c r="D92" s="7" t="inlineStr">
        <is>
          <t>RD</t>
        </is>
      </c>
      <c r="E92" s="7" t="inlineStr">
        <is>
          <t>Penalidade em Reflexos e Perícias de Agilidade</t>
        </is>
      </c>
      <c r="F92" s="7" t="inlineStr">
        <is>
          <t>Esquiva</t>
        </is>
      </c>
    </row>
    <row r="93">
      <c r="A93" s="16" t="inlineStr">
        <is>
          <t>(automático, 24.1)</t>
        </is>
      </c>
      <c r="B93" s="22">
        <f>IFERROR(VLOOKUP($Q$91,'Dados'!$A$480:$I$482,2,FALSE),0)</f>
        <v/>
      </c>
      <c r="C93" s="22">
        <f>IFERROR(VLOOKUP($Q$91,'Dados'!$A$480:$I$482,7,FALSE),0)</f>
        <v/>
      </c>
      <c r="D93" s="22">
        <f>IFERROR(VLOOKUP($Q$91,'Dados'!$A$480:$I$482,8,FALSE),0)</f>
        <v/>
      </c>
      <c r="E93" s="22">
        <f>IFERROR(VLOOKUP($Q$91,'Dados'!$A$480:$I$482,9,FALSE),0)</f>
        <v/>
      </c>
      <c r="F93" s="22">
        <f>IFERROR(VLOOKUP($Q$91,'Dados'!$A$480:$I$482,4,FALSE),"Permitida")</f>
        <v/>
      </c>
    </row>
    <row r="94" ht="37" customHeight="1">
      <c r="A94" s="7" t="inlineStr">
        <is>
          <t>Estatística</t>
        </is>
      </c>
      <c r="B94" s="7" t="inlineStr">
        <is>
          <t>Base</t>
        </is>
      </c>
      <c r="C94" s="7" t="inlineStr">
        <is>
          <t>Extra (equipamento e Bênçãos)</t>
        </is>
      </c>
      <c r="D94" s="7" t="inlineStr">
        <is>
          <t>Total</t>
        </is>
      </c>
      <c r="E94" s="7" t="inlineStr">
        <is>
          <t>Como se calcula</t>
        </is>
      </c>
      <c r="F94" s="15" t="n"/>
      <c r="G94" s="15" t="n"/>
      <c r="H94" s="15" t="n"/>
      <c r="I94" s="15" t="n"/>
      <c r="J94" s="15" t="n"/>
      <c r="K94" s="7" t="inlineStr">
        <is>
          <t>Aviso</t>
        </is>
      </c>
      <c r="L94" s="15" t="n"/>
    </row>
    <row r="95">
      <c r="A95" s="16" t="inlineStr">
        <is>
          <t>PV máximos</t>
        </is>
      </c>
      <c r="B95" s="22">
        <f>25+5*$B$36+3*$F$46+($A$14-1)*(5+$B$36+$F$46)</f>
        <v/>
      </c>
      <c r="C95" s="22">
        <f>$B$121</f>
        <v/>
      </c>
      <c r="D95" s="17">
        <f>$B$95+$B$121</f>
        <v/>
      </c>
      <c r="E95" s="22" t="inlineStr">
        <is>
          <t>25 + 5 × N + 3 × Bônus de Vigor + (nível - 1) × (5 + N + Bônus de Vigor) — 06.4</t>
        </is>
      </c>
    </row>
    <row r="96">
      <c r="A96" s="18" t="inlineStr">
        <is>
          <t>Defesa</t>
        </is>
      </c>
      <c r="B96" s="21">
        <f>10+$F$45+$B$93</f>
        <v/>
      </c>
      <c r="C96" s="21">
        <f>$B$122</f>
        <v/>
      </c>
      <c r="D96" s="19">
        <f>$B$96+$B$122</f>
        <v/>
      </c>
      <c r="E96" s="21" t="inlineStr">
        <is>
          <t>10 + Bônus de Agilidade + armadura — 18.4</t>
        </is>
      </c>
      <c r="K96" s="35" t="n"/>
      <c r="L96" s="35" t="n"/>
    </row>
    <row r="97" ht="37" customHeight="1">
      <c r="A97" s="16" t="inlineStr">
        <is>
          <t>Esquiva (Reação)</t>
        </is>
      </c>
      <c r="D97" s="37">
        <f>IF($F$93="Proibida","Proibida (Armadura Pesada)",$D$96+$C$14)</f>
        <v/>
      </c>
      <c r="E97" s="22" t="inlineStr">
        <is>
          <t>Defesa + Eficiência; proibida com Armadura Pesada</t>
        </is>
      </c>
      <c r="K97" s="13">
        <f>IF($F$93="Proibida","Armadura Pesada não permite Esquiva","")</f>
        <v/>
      </c>
    </row>
    <row r="98">
      <c r="A98" s="18" t="inlineStr">
        <is>
          <t>RD</t>
        </is>
      </c>
      <c r="B98" s="21">
        <f>$D$93</f>
        <v/>
      </c>
      <c r="C98" s="21">
        <f>$B$123</f>
        <v/>
      </c>
      <c r="D98" s="19">
        <f>MIN($H$14,$B$98+$B$123)</f>
        <v/>
      </c>
      <c r="E98" s="21">
        <f>"Armadura + Bênçãos + equipamento, até o teto de RD ("&amp;$H$14&amp;") — 18.4"</f>
        <v/>
      </c>
      <c r="K98" s="20">
        <f>IF($B$98+$B$123&gt;$H$14,"RD limitada ao teto ("&amp;$H$14&amp;")","")</f>
        <v/>
      </c>
    </row>
    <row r="99">
      <c r="A99" s="16" t="inlineStr">
        <is>
          <t>Velocidade (VEL)</t>
        </is>
      </c>
      <c r="B99" s="22">
        <f>10+$F$45+$B$37+$C$93</f>
        <v/>
      </c>
      <c r="C99" s="22">
        <f>$B$124</f>
        <v/>
      </c>
      <c r="D99" s="17">
        <f>$B$99+$B$124</f>
        <v/>
      </c>
      <c r="E99" s="22" t="inlineStr">
        <is>
          <t>10 + Bônus de Agilidade + Bônus do Caminho + armadura — 19.1</t>
        </is>
      </c>
      <c r="K99" s="13">
        <f>IF(OR($D$99&lt;7,$D$99&gt;25),"Velocidade fora de 7 a 25 (19.1)","")</f>
        <v/>
      </c>
    </row>
    <row r="100"/>
    <row r="101">
      <c r="A101" s="14" t="inlineStr">
        <is>
          <t>Passos 9 a 11 — Habilidade, Ultimate e Bênção</t>
        </is>
      </c>
    </row>
    <row r="102" ht="26" customHeight="1">
      <c r="A102" s="8" t="inlineStr">
        <is>
          <t>Passo 9 — Sua primeira Habilidade</t>
        </is>
      </c>
      <c r="B102" s="22">
        <f>IF(LEN($B$126)=0,"Preencha a Habilidade 1 na aba Habilidades","OK: "&amp;$B$126)</f>
        <v/>
      </c>
    </row>
    <row r="103">
      <c r="A103" s="8" t="inlineStr">
        <is>
          <t>Passo 10 — Sua Ultimate</t>
        </is>
      </c>
      <c r="B103" s="22">
        <f>IF(LEN($B$127)=0,"Preencha a Ultimate na aba Habilidades","OK: "&amp;$B$127)</f>
        <v/>
      </c>
    </row>
    <row r="104" ht="26" customHeight="1">
      <c r="A104" s="8" t="inlineStr">
        <is>
          <t>Passo 11 — Sua primeira Bênção</t>
        </is>
      </c>
      <c r="B104" s="22">
        <f>IF(LEN('Caminho'!$Q$27)=0,"Preencha a Bênção do nível 1 na aba Caminho","OK: "&amp;'Caminho'!$Q$27)</f>
        <v/>
      </c>
    </row>
    <row r="105"/>
    <row r="106">
      <c r="A106" s="14" t="inlineStr">
        <is>
          <t>Passo 12 — Equipamento, nome e acabamento</t>
        </is>
      </c>
    </row>
    <row r="107" ht="26" customHeight="1">
      <c r="A107" s="8" t="inlineStr">
        <is>
          <t>Arma: nome e descrição</t>
        </is>
      </c>
      <c r="B107" s="27" t="n"/>
      <c r="C107" s="28" t="n"/>
      <c r="D107" s="28" t="n"/>
      <c r="E107" s="28" t="n"/>
      <c r="F107" s="28" t="n"/>
      <c r="G107" s="28" t="n"/>
      <c r="H107" s="28" t="n"/>
      <c r="I107" s="28" t="n"/>
      <c r="J107" s="29" t="n"/>
      <c r="K107" s="13">
        <f>IF(T107&gt;0,"O Google leu como fórmula: digite de novo com ' na frente.","")</f>
        <v/>
      </c>
      <c r="Q107">
        <f>IF(ISERROR($B$107),"",IF(ISBLANK($B$107),"",$B$107))</f>
        <v/>
      </c>
      <c r="T107">
        <f>ISERROR($B$107)*1</f>
        <v/>
      </c>
    </row>
    <row r="108" ht="26" customHeight="1">
      <c r="A108" s="8" t="inlineStr">
        <is>
          <t>Categoria da arma (capítulo 18)</t>
        </is>
      </c>
      <c r="B108" s="23" t="n"/>
      <c r="C108" s="22">
        <f>IF($Q$108="","",IFERROR(VLOOKUP($Q$108,'Dados'!$A$464:$J$469,2,FALSE)&amp;" · alcance "&amp;VLOOKUP($Q$108,'Dados'!$A$464:$J$469,5,FALSE)&amp;" · "&amp;VLOOKUP($Q$108,'Dados'!$A$464:$J$469,6,FALSE)&amp;IF(VLOOKUP($Q$108,'Dados'!$A$464:$J$469,10,FALSE)="Sim"," · duas mãos",""),""))</f>
        <v/>
      </c>
      <c r="K108" s="13">
        <f>IF(T108&gt;0,"O Google leu como fórmula: escolha de novo na lista.",IF($Q$108="","",IF(COUNTIF('Dados'!$T$6:$T$11,$Q$108)=0,"Categoria fora da lista do capítulo 24","")))</f>
        <v/>
      </c>
      <c r="Q108">
        <f>IF(ISERROR($B$108),"",IF(ISBLANK($B$108),"",$B$108))</f>
        <v/>
      </c>
      <c r="T108">
        <f>ISERROR($B$108)*1</f>
        <v/>
      </c>
    </row>
    <row r="109" ht="26" customHeight="1">
      <c r="A109" s="8" t="inlineStr">
        <is>
          <t>Atributo (só arma Média: Poder ou Agilidade)</t>
        </is>
      </c>
      <c r="B109" s="23" t="n"/>
      <c r="C109" s="12" t="inlineStr">
        <is>
          <t>Atributo de ataque:</t>
        </is>
      </c>
      <c r="D109" s="37">
        <f>IF($Q$108="","",IF($Q$108="Média",IF(OR($Q$109="Poder",$Q$109="Agilidade"),$Q$109,"Poder"),IFERROR(VLOOKUP($Q$108,'Dados'!$A$464:$J$469,6,FALSE),"")))</f>
        <v/>
      </c>
      <c r="K109" s="13">
        <f>IF(T109&gt;0,"O Google leu como fórmula: escolha de novo na lista.",IF(AND($Q$109&lt;&gt;"",$Q$108&lt;&gt;"Média"),"O atributo só se escolhe na arma Média",IF(AND($Q$108="Média",$Q$109=""),"Arma Média: escolha Poder ou Agilidade (contando Poder)","")))</f>
        <v/>
      </c>
      <c r="Q109">
        <f>IF(ISERROR($B$109),"",IF(ISBLANK($B$109),"",$B$109))</f>
        <v/>
      </c>
      <c r="T109">
        <f>ISERROR($B$109)*1</f>
        <v/>
      </c>
    </row>
    <row r="110" ht="37" customHeight="1">
      <c r="A110" s="8" t="inlineStr">
        <is>
          <t>Elemento próprio da arma (vazio = Físico)</t>
        </is>
      </c>
      <c r="B110" s="23" t="n"/>
      <c r="C110" s="12" t="inlineStr">
        <is>
          <t>Elemento do Ataque Básico:</t>
        </is>
      </c>
      <c r="D110" s="17">
        <f>IF($Q$110="","Físico",$Q$110)</f>
        <v/>
      </c>
      <c r="K110" s="13">
        <f>IF(T110&gt;0,"O Google leu como fórmula: escolha de novo na lista.",IF($Q$110="","",IF(COUNTIF('Dados'!$R$6:$R$12,$Q$110)=0,"Elemento fora da lista do capítulo 20","")))</f>
        <v/>
      </c>
      <c r="Q110">
        <f>IF(ISERROR($B$110),"",IF(ISBLANK($B$110),"",$B$110))</f>
        <v/>
      </c>
      <c r="T110">
        <f>ISERROR($B$110)*1</f>
        <v/>
      </c>
    </row>
    <row r="111" ht="37" customHeight="1">
      <c r="A111" s="8" t="inlineStr">
        <is>
          <t>Propriedade especial (no máximo 1)</t>
        </is>
      </c>
      <c r="B111" s="23" t="n"/>
      <c r="C111" s="4">
        <f>IF(OR($Q$111="",$Q$111="Nenhuma"),"",IFERROR(VLOOKUP($Q$111,'Dados'!$A$473:$B$476,2,FALSE),""))</f>
        <v/>
      </c>
      <c r="K111" s="13">
        <f>IF(T111&gt;0,"O Google leu como fórmula: escolha de novo na lista.",IF($Q$111="","",IF(COUNTIF('Dados'!$V$6:$V$10,$Q$111)=0,"Só uma propriedade especial por arma (24.2): escolha uma da lista","")))</f>
        <v/>
      </c>
      <c r="Q111">
        <f>IF(ISERROR($B$111),"",IF(ISBLANK($B$111),"",$B$111))</f>
        <v/>
      </c>
      <c r="T111">
        <f>ISERROR($B$111)*1</f>
        <v/>
      </c>
    </row>
    <row r="112" ht="26" customHeight="1">
      <c r="A112" s="8" t="inlineStr">
        <is>
          <t>Alcance do Ataque Básico (com a propriedade)</t>
        </is>
      </c>
      <c r="B112" s="17">
        <f>IF($Q$108="","",IFERROR(INDEX('Dados'!$X$6:$X$10,MIN(5,MATCH(VLOOKUP($Q$108,'Dados'!$A$464:$J$469,5,FALSE),'Dados'!$X$6:$X$10,0)+IF($Q$111="Alcance estendido",1,0))),""))</f>
        <v/>
      </c>
      <c r="D112" s="12" t="inlineStr">
        <is>
          <t>Arremessável não muda este alcance: é um arremesso só, e depois você está sem a arma (24.2).</t>
        </is>
      </c>
    </row>
    <row r="113" ht="26" customHeight="1">
      <c r="A113" s="8" t="inlineStr">
        <is>
          <t>Espaço da arma no inventário</t>
        </is>
      </c>
      <c r="B113" s="17">
        <f>IF($Q$111="Dissimulada",0.5,IFERROR(VLOOKUP($Q$108,'Dados'!$A$464:$J$469,8,FALSE),0))</f>
        <v/>
      </c>
    </row>
    <row r="114" ht="26" customHeight="1">
      <c r="A114" s="8" t="inlineStr">
        <is>
          <t>Técnica (24.6): nome</t>
        </is>
      </c>
      <c r="B114" s="27" t="n"/>
      <c r="C114" s="28" t="n"/>
      <c r="D114" s="28" t="n"/>
      <c r="E114" s="28" t="n"/>
      <c r="F114" s="28" t="n"/>
      <c r="G114" s="28" t="n"/>
      <c r="H114" s="28" t="n"/>
      <c r="I114" s="28" t="n"/>
      <c r="J114" s="29" t="n"/>
      <c r="K114" s="13">
        <f>IF(T114&gt;0,"O Google leu como fórmula: digite de novo com ' na frente.","")</f>
        <v/>
      </c>
      <c r="T114">
        <f>ISERROR($B$114)*1</f>
        <v/>
      </c>
    </row>
    <row r="115" ht="37" customHeight="1">
      <c r="A115" s="8" t="inlineStr">
        <is>
          <t>Técnica: o que ela faz</t>
        </is>
      </c>
      <c r="B115" s="27" t="n"/>
      <c r="C115" s="28" t="n"/>
      <c r="D115" s="28" t="n"/>
      <c r="E115" s="28" t="n"/>
      <c r="F115" s="28" t="n"/>
      <c r="G115" s="28" t="n"/>
      <c r="H115" s="28" t="n"/>
      <c r="I115" s="28" t="n"/>
      <c r="J115" s="29" t="n"/>
      <c r="K115" s="13">
        <f>IF(T115&gt;0,"O Google leu como fórmula: digite de novo com ' na frente.","")</f>
        <v/>
      </c>
      <c r="T115">
        <f>ISERROR($B$115)*1</f>
        <v/>
      </c>
    </row>
    <row r="116">
      <c r="A116" s="8" t="inlineStr">
        <is>
          <t>Técnica: usos</t>
        </is>
      </c>
      <c r="B116" s="22" t="inlineStr">
        <is>
          <t>2 usos por Descanso Longo, fora de combate (24.6)</t>
        </is>
      </c>
    </row>
    <row r="117" ht="37" customHeight="1">
      <c r="A117" s="8" t="inlineStr">
        <is>
          <t>Aparência e de onde você veio</t>
        </is>
      </c>
      <c r="B117" s="27" t="n"/>
      <c r="C117" s="28" t="n"/>
      <c r="D117" s="28" t="n"/>
      <c r="E117" s="28" t="n"/>
      <c r="F117" s="28" t="n"/>
      <c r="G117" s="28" t="n"/>
      <c r="H117" s="28" t="n"/>
      <c r="I117" s="28" t="n"/>
      <c r="J117" s="29" t="n"/>
      <c r="K117" s="13">
        <f>IF(T117&gt;0,"O Google leu como fórmula: digite de novo com ' na frente.","")</f>
        <v/>
      </c>
      <c r="T117">
        <f>ISERROR($B$117)*1</f>
        <v/>
      </c>
    </row>
    <row r="118" ht="26" customHeight="1">
      <c r="A118" s="8" t="inlineStr">
        <is>
          <t>Uma coisa que você carrega e não serve para nada</t>
        </is>
      </c>
      <c r="B118" s="27" t="n"/>
      <c r="C118" s="28" t="n"/>
      <c r="D118" s="28" t="n"/>
      <c r="E118" s="28" t="n"/>
      <c r="F118" s="28" t="n"/>
      <c r="G118" s="28" t="n"/>
      <c r="H118" s="28" t="n"/>
      <c r="I118" s="28" t="n"/>
      <c r="J118" s="29" t="n"/>
      <c r="K118" s="13">
        <f>IF(T118&gt;0,"O Google leu como fórmula: digite de novo com ' na frente.","")</f>
        <v/>
      </c>
      <c r="T118">
        <f>ISERROR($B$118)*1</f>
        <v/>
      </c>
    </row>
    <row r="119"/>
    <row r="120">
      <c r="A120" s="14" t="inlineStr">
        <is>
          <t>Ligações com outras abas (automático; não editar)</t>
        </is>
      </c>
    </row>
    <row r="121" ht="37" customHeight="1">
      <c r="A121" s="8" t="inlineStr">
        <is>
          <t>PV extra (Relíquia Cabeça, Cone de Luz, Corpo Imortal, Forma Sincronizada)</t>
        </is>
      </c>
      <c r="B121" s="22">
        <f>'Equipamento'!$G$36+'Equipamento'!$A$31+IF((COUNTIF('Caminho'!$I$27:$I$36,"Corpo Imortal")&gt;0),2*$A$14,0)+IF(AND((COUNTIF('Caminho'!$I$27:$I$36,"Avatar da Recordação")&gt;0),'Caminho'!$P$96="Sincronizada"),2*$A$14,0)</f>
        <v/>
      </c>
    </row>
    <row r="122" ht="37" customHeight="1">
      <c r="A122" s="8" t="inlineStr">
        <is>
          <t>Defesa extra (Relíquia Tronco, Cone de Luz, Forma Sincronizada)</t>
        </is>
      </c>
      <c r="B122" s="22">
        <f>'Equipamento'!$G$38+'Equipamento'!$B$31+IF(AND((COUNTIF('Caminho'!$I$27:$I$36,"Avatar da Recordação")&gt;0),'Caminho'!$P$96="Sincronizada"),1,0)</f>
        <v/>
      </c>
    </row>
    <row r="123" ht="37" customHeight="1">
      <c r="A123" s="8" t="inlineStr">
        <is>
          <t>RD extra (Cone de Luz, Conjunto, Pele de Pedra, Corpo Imortal)</t>
        </is>
      </c>
      <c r="B123" s="22">
        <f>'Equipamento'!$G$31+'Equipamento'!$E$48+IF((COUNTIF('Caminho'!$I$27:$I$36,"Pele de Pedra")&gt;0),2,0)+IF((COUNTIF('Caminho'!$I$27:$I$36,"Corpo Imortal")&gt;0),$C$14,0)</f>
        <v/>
      </c>
    </row>
    <row r="124" ht="48" customHeight="1">
      <c r="A124" s="8" t="inlineStr">
        <is>
          <t>Velocidade extra (Botas, Cone de Luz, Conjunto, Ressonância I, Avatar da Caça)</t>
        </is>
      </c>
      <c r="B124" s="22">
        <f>'Equipamento'!$G$39+'Equipamento'!$C$31+'Equipamento'!$C$48+IF('Progressão'!$R$67="Velocidade +1",1,0)+IF((COUNTIF('Caminho'!$I$27:$I$36,"Avatar da Caça")&gt;0),2,0)</f>
        <v/>
      </c>
    </row>
    <row r="125" ht="37" customHeight="1">
      <c r="A125" s="8" t="inlineStr">
        <is>
          <t>Teste de Ataque extra (Cone de Luz + bônus temporários no teto, aba Em Jogo)</t>
        </is>
      </c>
      <c r="B125" s="22">
        <f>'Equipamento'!$H$31+'Em Jogo'!$Q$14</f>
        <v/>
      </c>
    </row>
    <row r="126" ht="26" customHeight="1">
      <c r="A126" s="8" t="inlineStr">
        <is>
          <t>Nome da Habilidade 1 (aba Habilidades)</t>
        </is>
      </c>
      <c r="B126" s="22">
        <f>IF(LEN('Habilidades'!$Y$12)=0,"",""&amp;'Habilidades'!$Y$12)</f>
        <v/>
      </c>
    </row>
    <row r="127" ht="26" customHeight="1">
      <c r="A127" s="8" t="inlineStr">
        <is>
          <t>Nome da Ultimate (aba Habilidades)</t>
        </is>
      </c>
      <c r="B127" s="22">
        <f>IF(LEN('Habilidades'!$Z$54)=0,"",""&amp;'Habilidades'!$Z$54)</f>
        <v/>
      </c>
    </row>
  </sheetData>
  <mergeCells count="131">
    <mergeCell ref="K49:L49"/>
    <mergeCell ref="C33:J33"/>
    <mergeCell ref="K33:L33"/>
    <mergeCell ref="K88:L88"/>
    <mergeCell ref="B34:D34"/>
    <mergeCell ref="K26:L26"/>
    <mergeCell ref="C25:J25"/>
    <mergeCell ref="K76:L76"/>
    <mergeCell ref="K50:L50"/>
    <mergeCell ref="K81:L81"/>
    <mergeCell ref="B40:J40"/>
    <mergeCell ref="K99:L99"/>
    <mergeCell ref="B38:C38"/>
    <mergeCell ref="B104:J104"/>
    <mergeCell ref="K67:L67"/>
    <mergeCell ref="B112:C112"/>
    <mergeCell ref="E97:J97"/>
    <mergeCell ref="K115:L115"/>
    <mergeCell ref="B35:J35"/>
    <mergeCell ref="E96:J96"/>
    <mergeCell ref="C17:D17"/>
    <mergeCell ref="E98:J98"/>
    <mergeCell ref="K28:L28"/>
    <mergeCell ref="K69:L69"/>
    <mergeCell ref="K78:L78"/>
    <mergeCell ref="K118:L118"/>
    <mergeCell ref="B117:J117"/>
    <mergeCell ref="K80:L80"/>
    <mergeCell ref="A120:L120"/>
    <mergeCell ref="A3:L3"/>
    <mergeCell ref="E99:J99"/>
    <mergeCell ref="A12:L12"/>
    <mergeCell ref="B116:J116"/>
    <mergeCell ref="B29:J29"/>
    <mergeCell ref="K79:L79"/>
    <mergeCell ref="C26:J26"/>
    <mergeCell ref="K21:L21"/>
    <mergeCell ref="K51:L51"/>
    <mergeCell ref="B103:J103"/>
    <mergeCell ref="A5:L5"/>
    <mergeCell ref="C10:J10"/>
    <mergeCell ref="K72:L72"/>
    <mergeCell ref="A32:L32"/>
    <mergeCell ref="B118:J118"/>
    <mergeCell ref="A106:L106"/>
    <mergeCell ref="B6:J6"/>
    <mergeCell ref="C9:J9"/>
    <mergeCell ref="K43:L43"/>
    <mergeCell ref="K27:L27"/>
    <mergeCell ref="D57:J57"/>
    <mergeCell ref="K98:L98"/>
    <mergeCell ref="K107:L107"/>
    <mergeCell ref="B7:J7"/>
    <mergeCell ref="D110:E110"/>
    <mergeCell ref="K82:L82"/>
    <mergeCell ref="A24:L24"/>
    <mergeCell ref="K10:L10"/>
    <mergeCell ref="D38:E38"/>
    <mergeCell ref="K6:L6"/>
    <mergeCell ref="B126:F126"/>
    <mergeCell ref="K74:L74"/>
    <mergeCell ref="K68:L68"/>
    <mergeCell ref="K25:L25"/>
    <mergeCell ref="K83:L83"/>
    <mergeCell ref="B107:J107"/>
    <mergeCell ref="K9:L9"/>
    <mergeCell ref="K45:L45"/>
    <mergeCell ref="K54:L54"/>
    <mergeCell ref="D65:E65"/>
    <mergeCell ref="K60:L60"/>
    <mergeCell ref="A42:L42"/>
    <mergeCell ref="K109:L109"/>
    <mergeCell ref="K47:L47"/>
    <mergeCell ref="K44:L44"/>
    <mergeCell ref="K46:L46"/>
    <mergeCell ref="K111:L111"/>
    <mergeCell ref="B30:J30"/>
    <mergeCell ref="B20:J20"/>
    <mergeCell ref="K8:L8"/>
    <mergeCell ref="K71:L71"/>
    <mergeCell ref="C27:J27"/>
    <mergeCell ref="K97:L97"/>
    <mergeCell ref="C8:J8"/>
    <mergeCell ref="A59:L59"/>
    <mergeCell ref="K7:L7"/>
    <mergeCell ref="A64:L64"/>
    <mergeCell ref="K73:L73"/>
    <mergeCell ref="K65:L65"/>
    <mergeCell ref="J2:K2"/>
    <mergeCell ref="D54:E54"/>
    <mergeCell ref="B39:J39"/>
    <mergeCell ref="C111:J111"/>
    <mergeCell ref="E94:J94"/>
    <mergeCell ref="D109:E109"/>
    <mergeCell ref="A90:L90"/>
    <mergeCell ref="B61:D61"/>
    <mergeCell ref="C108:J108"/>
    <mergeCell ref="K108:L108"/>
    <mergeCell ref="K114:L114"/>
    <mergeCell ref="K110:L110"/>
    <mergeCell ref="A101:L101"/>
    <mergeCell ref="E95:J95"/>
    <mergeCell ref="K20:L20"/>
    <mergeCell ref="K91:L91"/>
    <mergeCell ref="K85:L85"/>
    <mergeCell ref="K94:L94"/>
    <mergeCell ref="K75:L75"/>
    <mergeCell ref="K84:L84"/>
    <mergeCell ref="K22:L22"/>
    <mergeCell ref="A53:L53"/>
    <mergeCell ref="B114:J114"/>
    <mergeCell ref="F38:G38"/>
    <mergeCell ref="K77:L77"/>
    <mergeCell ref="C2:D2"/>
    <mergeCell ref="K86:L86"/>
    <mergeCell ref="K117:L117"/>
    <mergeCell ref="E2:F2"/>
    <mergeCell ref="A19:L19"/>
    <mergeCell ref="B50:J50"/>
    <mergeCell ref="C60:J60"/>
    <mergeCell ref="B127:F127"/>
    <mergeCell ref="K70:L70"/>
    <mergeCell ref="K48:L48"/>
    <mergeCell ref="C91:J91"/>
    <mergeCell ref="B22:J22"/>
    <mergeCell ref="B115:J115"/>
    <mergeCell ref="A1:L1"/>
    <mergeCell ref="B102:J102"/>
    <mergeCell ref="D112:J112"/>
    <mergeCell ref="K87:L87"/>
    <mergeCell ref="B21:J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22">
    <cfRule type="expression" priority="4" dxfId="0">
      <formula>LEN(K22)&gt;0</formula>
    </cfRule>
  </conditionalFormatting>
  <conditionalFormatting sqref="K25">
    <cfRule type="expression" priority="5" dxfId="0">
      <formula>LEN(K25)&gt;0</formula>
    </cfRule>
  </conditionalFormatting>
  <conditionalFormatting sqref="K26">
    <cfRule type="expression" priority="6" dxfId="0">
      <formula>LEN(K26)&gt;0</formula>
    </cfRule>
  </conditionalFormatting>
  <conditionalFormatting sqref="K27">
    <cfRule type="expression" priority="7" dxfId="0">
      <formula>LEN(K27)&gt;0</formula>
    </cfRule>
  </conditionalFormatting>
  <conditionalFormatting sqref="K28">
    <cfRule type="expression" priority="8" dxfId="0">
      <formula>LEN(K28)&gt;0</formula>
    </cfRule>
  </conditionalFormatting>
  <conditionalFormatting sqref="K33">
    <cfRule type="expression" priority="9" dxfId="0">
      <formula>LEN(K33)&gt;0</formula>
    </cfRule>
  </conditionalFormatting>
  <conditionalFormatting sqref="K44">
    <cfRule type="expression" priority="10" dxfId="0">
      <formula>LEN(K44)&gt;0</formula>
    </cfRule>
  </conditionalFormatting>
  <conditionalFormatting sqref="K45">
    <cfRule type="expression" priority="11" dxfId="0">
      <formula>LEN(K45)&gt;0</formula>
    </cfRule>
  </conditionalFormatting>
  <conditionalFormatting sqref="K46">
    <cfRule type="expression" priority="12" dxfId="0">
      <formula>LEN(K46)&gt;0</formula>
    </cfRule>
  </conditionalFormatting>
  <conditionalFormatting sqref="K47">
    <cfRule type="expression" priority="13" dxfId="0">
      <formula>LEN(K47)&gt;0</formula>
    </cfRule>
  </conditionalFormatting>
  <conditionalFormatting sqref="K48">
    <cfRule type="expression" priority="14" dxfId="0">
      <formula>LEN(K48)&gt;0</formula>
    </cfRule>
  </conditionalFormatting>
  <conditionalFormatting sqref="K49">
    <cfRule type="expression" priority="15" dxfId="0">
      <formula>LEN(K49)&gt;0</formula>
    </cfRule>
  </conditionalFormatting>
  <conditionalFormatting sqref="K50">
    <cfRule type="expression" priority="16" dxfId="0">
      <formula>LEN(K50)&gt;0</formula>
    </cfRule>
  </conditionalFormatting>
  <conditionalFormatting sqref="K51">
    <cfRule type="expression" priority="17" dxfId="0">
      <formula>LEN(K51)&gt;0</formula>
    </cfRule>
  </conditionalFormatting>
  <conditionalFormatting sqref="K54">
    <cfRule type="expression" priority="18" dxfId="0">
      <formula>LEN(K54)&gt;0</formula>
    </cfRule>
  </conditionalFormatting>
  <conditionalFormatting sqref="K60">
    <cfRule type="expression" priority="19" dxfId="0">
      <formula>LEN(K60)&gt;0</formula>
    </cfRule>
  </conditionalFormatting>
  <conditionalFormatting sqref="K69">
    <cfRule type="expression" priority="20" dxfId="0">
      <formula>LEN(K69)&gt;0</formula>
    </cfRule>
  </conditionalFormatting>
  <conditionalFormatting sqref="K70">
    <cfRule type="expression" priority="21" dxfId="0">
      <formula>LEN(K70)&gt;0</formula>
    </cfRule>
  </conditionalFormatting>
  <conditionalFormatting sqref="K71">
    <cfRule type="expression" priority="22" dxfId="0">
      <formula>LEN(K71)&gt;0</formula>
    </cfRule>
  </conditionalFormatting>
  <conditionalFormatting sqref="K72">
    <cfRule type="expression" priority="23" dxfId="0">
      <formula>LEN(K72)&gt;0</formula>
    </cfRule>
  </conditionalFormatting>
  <conditionalFormatting sqref="K73">
    <cfRule type="expression" priority="24" dxfId="0">
      <formula>LEN(K73)&gt;0</formula>
    </cfRule>
  </conditionalFormatting>
  <conditionalFormatting sqref="K75">
    <cfRule type="expression" priority="25" dxfId="0">
      <formula>LEN(K75)&gt;0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4">
    <cfRule type="expression" priority="33" dxfId="0">
      <formula>LEN(K84)&gt;0</formula>
    </cfRule>
  </conditionalFormatting>
  <conditionalFormatting sqref="K85">
    <cfRule type="expression" priority="34" dxfId="0">
      <formula>LEN(K85)&gt;0</formula>
    </cfRule>
  </conditionalFormatting>
  <conditionalFormatting sqref="K86">
    <cfRule type="expression" priority="35" dxfId="0">
      <formula>LEN(K86)&gt;0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67">
    <cfRule type="expression" priority="38" dxfId="0">
      <formula>LEN(K67)&gt;0</formula>
    </cfRule>
  </conditionalFormatting>
  <conditionalFormatting sqref="K91">
    <cfRule type="expression" priority="39" dxfId="0">
      <formula>LEN(K91)&gt;0</formula>
    </cfRule>
  </conditionalFormatting>
  <conditionalFormatting sqref="K97">
    <cfRule type="expression" priority="40" dxfId="0">
      <formula>LEN(K97)&gt;0</formula>
    </cfRule>
  </conditionalFormatting>
  <conditionalFormatting sqref="K98">
    <cfRule type="expression" priority="41" dxfId="0">
      <formula>LEN(K98)&gt;0</formula>
    </cfRule>
  </conditionalFormatting>
  <conditionalFormatting sqref="K99">
    <cfRule type="expression" priority="42" dxfId="0">
      <formula>LEN(K99)&gt;0</formula>
    </cfRule>
  </conditionalFormatting>
  <conditionalFormatting sqref="K108">
    <cfRule type="expression" priority="43" dxfId="0">
      <formula>LEN(K108)&gt;0</formula>
    </cfRule>
  </conditionalFormatting>
  <conditionalFormatting sqref="K109">
    <cfRule type="expression" priority="44" dxfId="0">
      <formula>LEN(K109)&gt;0</formula>
    </cfRule>
  </conditionalFormatting>
  <conditionalFormatting sqref="K110">
    <cfRule type="expression" priority="45" dxfId="0">
      <formula>LEN(K110)&gt;0</formula>
    </cfRule>
  </conditionalFormatting>
  <conditionalFormatting sqref="K111">
    <cfRule type="expression" priority="46" dxfId="0">
      <formula>LEN(K111)&gt;0</formula>
    </cfRule>
  </conditionalFormatting>
  <conditionalFormatting sqref="K6">
    <cfRule type="expression" priority="47" dxfId="0">
      <formula>LEN(K6)&gt;0</formula>
    </cfRule>
  </conditionalFormatting>
  <conditionalFormatting sqref="K7">
    <cfRule type="expression" priority="48" dxfId="0">
      <formula>LEN(K7)&gt;0</formula>
    </cfRule>
  </conditionalFormatting>
  <conditionalFormatting sqref="K20">
    <cfRule type="expression" priority="49" dxfId="0">
      <formula>LEN(K20)&gt;0</formula>
    </cfRule>
  </conditionalFormatting>
  <conditionalFormatting sqref="K21">
    <cfRule type="expression" priority="50" dxfId="0">
      <formula>LEN(K21)&gt;0</formula>
    </cfRule>
  </conditionalFormatting>
  <conditionalFormatting sqref="K65">
    <cfRule type="expression" priority="51" dxfId="0">
      <formula>LEN(K65)&gt;0</formula>
    </cfRule>
  </conditionalFormatting>
  <conditionalFormatting sqref="K107">
    <cfRule type="expression" priority="52" dxfId="0">
      <formula>LEN(K107)&gt;0</formula>
    </cfRule>
  </conditionalFormatting>
  <conditionalFormatting sqref="K114">
    <cfRule type="expression" priority="53" dxfId="0">
      <formula>LEN(K114)&gt;0</formula>
    </cfRule>
  </conditionalFormatting>
  <conditionalFormatting sqref="K115">
    <cfRule type="expression" priority="54" dxfId="0">
      <formula>LEN(K115)&gt;0</formula>
    </cfRule>
  </conditionalFormatting>
  <conditionalFormatting sqref="K117">
    <cfRule type="expression" priority="55" dxfId="0">
      <formula>LEN(K117)&gt;0</formula>
    </cfRule>
  </conditionalFormatting>
  <conditionalFormatting sqref="K118">
    <cfRule type="expression" priority="56" dxfId="0">
      <formula>LEN(K118)&gt;0</formula>
    </cfRule>
  </conditionalFormatting>
  <dataValidations count="40">
    <dataValidation sqref="B8" showDropDown="0" showInputMessage="0" showErrorMessage="1" allowBlank="1" errorTitle="Valor fora da faixa" error="Nível: use um número inteiro de 1 a 20." type="whole" errorStyle="warning" operator="between">
      <formula1>1</formula1>
      <formula2>20</formula2>
    </dataValidation>
    <dataValidation sqref="B9" showDropDown="0" showInputMessage="0" showErrorMessage="1" allowBlank="1" errorTitle="Valor fora da faixa" error="Nº de jogadores: use um número inteiro de 1 a 6." type="whole" errorStyle="warning" operator="between">
      <formula1>1</formula1>
      <formula2>6</formula2>
    </dataValidation>
    <dataValidation sqref="B10" showDropDown="0" showInputMessage="0" showErrorMessage="1" allowBlank="1" errorTitle="Fora da lista" error="Método de atributos: escolha um valor da lista. A ficha pode não reconhecer outro valor." type="list" errorStyle="warning">
      <formula1>'Dados'!$AH$6:$AH$7</formula1>
    </dataValidation>
    <dataValidation sqref="B25" showDropDown="0" showInputMessage="0" showErrorMessage="1" allowBlank="1" errorTitle="Fora da lista" error="Raça: escolha um valor da lista. A ficha pode não reconhecer outro valor." type="list" errorStyle="warning">
      <formula1>'Dados'!$O$6:$O$12</formula1>
    </dataValidation>
    <dataValidation sqref="B26" showDropDown="0" showInputMessage="0" showErrorMessage="1" allowBlank="1" errorTitle="Fora da lista" error="Bônus racial: escolha um valor da lista. A ficha pode não reconhecer outro valor." type="list" errorStyle="warning">
      <formula1>'Dados'!$AI$6:$AI$7</formula1>
    </dataValidation>
    <dataValidation sqref="B27" showDropDown="0" showInputMessage="0" showErrorMessage="1" allowBlank="1" errorTitle="Fora da lista" error="Atributo do bônus racial: escolha um valor da lista. A ficha pode não reconhecer outro valor." type="list" errorStyle="warning">
      <formula1>$N$25:$N$30</formula1>
    </dataValidation>
    <dataValidation sqref="B28" showDropDown="0" showInputMessage="0" showErrorMessage="1" allowBlank="1" errorTitle="Fora da lista" error="Atributo 2: escolha um valor da lista. A ficha pode não reconhecer outro valor." type="list" errorStyle="warning">
      <formula1>'Dados'!$Q$6:$Q$11</formula1>
    </dataValidation>
    <dataValidation sqref="B33" showDropDown="0" showInputMessage="0" showErrorMessage="1" allowBlank="1" errorTitle="Fora da lista" error="Caminho: escolha um valor da lista. A ficha pode não reconhecer outro valor." type="list" errorStyle="warning">
      <formula1>'Dados'!$P$6:$P$14</formula1>
    </dataValidation>
    <dataValidation sqref="B44" showDropDown="0" showInputMessage="0" showErrorMessage="1" allowBlank="1" errorTitle="Valor fora da faixa" error="Poder: use um número inteiro de 8 a 15." type="whole" errorStyle="warning" operator="between">
      <formula1>8</formula1>
      <formula2>15</formula2>
    </dataValidation>
    <dataValidation sqref="B45" showDropDown="0" showInputMessage="0" showErrorMessage="1" allowBlank="1" errorTitle="Valor fora da faixa" error="Agilidade: use um número inteiro de 8 a 15." type="whole" errorStyle="warning" operator="between">
      <formula1>8</formula1>
      <formula2>15</formula2>
    </dataValidation>
    <dataValidation sqref="B46" showDropDown="0" showInputMessage="0" showErrorMessage="1" allowBlank="1" errorTitle="Valor fora da faixa" error="Vigor: use um número inteiro de 8 a 15." type="whole" errorStyle="warning" operator="between">
      <formula1>8</formula1>
      <formula2>15</formula2>
    </dataValidation>
    <dataValidation sqref="B47" showDropDown="0" showInputMessage="0" showErrorMessage="1" allowBlank="1" errorTitle="Valor fora da faixa" error="Sincronia: use um número inteiro de 8 a 15." type="whole" errorStyle="warning" operator="between">
      <formula1>8</formula1>
      <formula2>15</formula2>
    </dataValidation>
    <dataValidation sqref="B48" showDropDown="0" showInputMessage="0" showErrorMessage="1" allowBlank="1" errorTitle="Valor fora da faixa" error="Discernimento: use um número inteiro de 8 a 15." type="whole" errorStyle="warning" operator="between">
      <formula1>8</formula1>
      <formula2>15</formula2>
    </dataValidation>
    <dataValidation sqref="B49" showDropDown="0" showInputMessage="0" showErrorMessage="1" allowBlank="1" errorTitle="Valor fora da faixa" error="Presença: use um número inteiro de 8 a 15." type="whole" errorStyle="warning" operator="between">
      <formula1>8</formula1>
      <formula2>15</formula2>
    </dataValidation>
    <dataValidation sqref="B54" showDropDown="0" showInputMessage="0" showErrorMessage="1" allowBlank="1" errorTitle="Fora da lista" error="Atributo de Habilidade: escolha um valor da lista. A ficha pode não reconhecer outro valor." type="list" errorStyle="warning">
      <formula1>$N$54:$N$55</formula1>
    </dataValidation>
    <dataValidation sqref="B60" showDropDown="0" showInputMessage="0" showErrorMessage="1" allowBlank="1" errorTitle="Fora da lista" error="Elemento: escolha um valor da lista. A ficha pode não reconhecer outro valor." type="list" errorStyle="warning">
      <formula1>'Dados'!$R$6:$R$12</formula1>
    </dataValidation>
    <dataValidation sqref="B65" showDropDown="0" showInputMessage="0" showErrorMessage="1" allowBlank="1" errorTitle="Fora da lista" error="Sintonia: escolha um valor da lista. A ficha pode não reconhecer outro valor." type="list" errorStyle="warning">
      <formula1>'Dados'!$AL$6:$AL$7</formula1>
    </dataValidation>
    <dataValidation sqref="D69" showDropDown="0" showInputMessage="0" showErrorMessage="1" allowBlank="1" errorTitle="Fora da lista" error="Atletismo: escolha um valor da lista. A ficha pode não reconhecer outro valor." type="list" errorStyle="warning">
      <formula1>'Dados'!$AG$6:$AG$7</formula1>
    </dataValidation>
    <dataValidation sqref="D70" showDropDown="0" showInputMessage="0" showErrorMessage="1" allowBlank="1" errorTitle="Fora da lista" error="Acrobacia: escolha um valor da lista. A ficha pode não reconhecer outro valor." type="list" errorStyle="warning">
      <formula1>'Dados'!$AG$6:$AG$7</formula1>
    </dataValidation>
    <dataValidation sqref="D71" showDropDown="0" showInputMessage="0" showErrorMessage="1" allowBlank="1" errorTitle="Fora da lista" error="Furtividade: escolha um valor da lista. A ficha pode não reconhecer outro valor." type="list" errorStyle="warning">
      <formula1>'Dados'!$AG$6:$AG$7</formula1>
    </dataValidation>
    <dataValidation sqref="D72" showDropDown="0" showInputMessage="0" showErrorMessage="1" allowBlank="1" errorTitle="Fora da lista" error="Pilotagem: escolha um valor da lista. A ficha pode não reconhecer outro valor." type="list" errorStyle="warning">
      <formula1>'Dados'!$AG$6:$AG$7</formula1>
    </dataValidation>
    <dataValidation sqref="D73" showDropDown="0" showInputMessage="0" showErrorMessage="1" allowBlank="1" errorTitle="Fora da lista" error="Resistência: escolha um valor da lista. A ficha pode não reconhecer outro valor." type="list" errorStyle="warning">
      <formula1>'Dados'!$AG$6:$AG$7</formula1>
    </dataValidation>
    <dataValidation sqref="D75" showDropDown="0" showInputMessage="0" showErrorMessage="1" allowBlank="1" errorTitle="Fora da lista" error="Tecnologia: escolha um valor da lista. A ficha pode não reconhecer outro valor." type="list" errorStyle="warning">
      <formula1>'Dados'!$AG$6:$AG$7</formula1>
    </dataValidation>
    <dataValidation sqref="D76" showDropDown="0" showInputMessage="0" showErrorMessage="1" allowBlank="1" errorTitle="Fora da lista" error="Pesquisa: escolha um valor da lista. A ficha pode não reconhecer outro valor." type="list" errorStyle="warning">
      <formula1>'Dados'!$AG$6:$AG$7</formula1>
    </dataValidation>
    <dataValidation sqref="D77" showDropDown="0" showInputMessage="0" showErrorMessage="1" allowBlank="1" errorTitle="Fora da lista" error="Ciência: escolha um valor da lista. A ficha pode não reconhecer outro valor." type="list" errorStyle="warning">
      <formula1>'Dados'!$AG$6:$AG$7</formula1>
    </dataValidation>
    <dataValidation sqref="D78" showDropDown="0" showInputMessage="0" showErrorMessage="1" allowBlank="1" errorTitle="Fora da lista" error="Mecânica: escolha um valor da lista. A ficha pode não reconhecer outro valor." type="list" errorStyle="warning">
      <formula1>'Dados'!$AG$6:$AG$7</formula1>
    </dataValidation>
    <dataValidation sqref="D79" showDropDown="0" showInputMessage="0" showErrorMessage="1" allowBlank="1" errorTitle="Fora da lista" error="Percepção: escolha um valor da lista. A ficha pode não reconhecer outro valor." type="list" errorStyle="warning">
      <formula1>'Dados'!$AG$6:$AG$7</formula1>
    </dataValidation>
    <dataValidation sqref="D80" showDropDown="0" showInputMessage="0" showErrorMessage="1" allowBlank="1" errorTitle="Fora da lista" error="Sobrevivência: escolha um valor da lista. A ficha pode não reconhecer outro valor." type="list" errorStyle="warning">
      <formula1>'Dados'!$AG$6:$AG$7</formula1>
    </dataValidation>
    <dataValidation sqref="D81" showDropDown="0" showInputMessage="0" showErrorMessage="1" allowBlank="1" errorTitle="Fora da lista" error="Intuição: escolha um valor da lista. A ficha pode não reconhecer outro valor." type="list" errorStyle="warning">
      <formula1>'Dados'!$AG$6:$AG$7</formula1>
    </dataValidation>
    <dataValidation sqref="D82" showDropDown="0" showInputMessage="0" showErrorMessage="1" allowBlank="1" errorTitle="Fora da lista" error="Investigação: escolha um valor da lista. A ficha pode não reconhecer outro valor." type="list" errorStyle="warning">
      <formula1>'Dados'!$AG$6:$AG$7</formula1>
    </dataValidation>
    <dataValidation sqref="D84" showDropDown="0" showInputMessage="0" showErrorMessage="1" allowBlank="1" errorTitle="Fora da lista" error="Persuasão: escolha um valor da lista. A ficha pode não reconhecer outro valor." type="list" errorStyle="warning">
      <formula1>'Dados'!$AG$6:$AG$7</formula1>
    </dataValidation>
    <dataValidation sqref="D85" showDropDown="0" showInputMessage="0" showErrorMessage="1" allowBlank="1" errorTitle="Fora da lista" error="Intimidação: escolha um valor da lista. A ficha pode não reconhecer outro valor." type="list" errorStyle="warning">
      <formula1>'Dados'!$AG$6:$AG$7</formula1>
    </dataValidation>
    <dataValidation sqref="D86" showDropDown="0" showInputMessage="0" showErrorMessage="1" allowBlank="1" errorTitle="Fora da lista" error="Enganação: escolha um valor da lista. A ficha pode não reconhecer outro valor." type="list" errorStyle="warning">
      <formula1>'Dados'!$AG$6:$AG$7</formula1>
    </dataValidation>
    <dataValidation sqref="D87" showDropDown="0" showInputMessage="0" showErrorMessage="1" allowBlank="1" errorTitle="Fora da lista" error="Liderança: escolha um valor da lista. A ficha pode não reconhecer outro valor." type="list" errorStyle="warning">
      <formula1>'Dados'!$AG$6:$AG$7</formula1>
    </dataValidation>
    <dataValidation sqref="D88" showDropDown="0" showInputMessage="0" showErrorMessage="1" allowBlank="1" errorTitle="Fora da lista" error="Sintonia: escolha um valor da lista. A ficha pode não reconhecer outro valor." type="list" errorStyle="warning">
      <formula1>'Dados'!$AG$6:$AG$7</formula1>
    </dataValidation>
    <dataValidation sqref="B91" showDropDown="0" showInputMessage="0" showErrorMessage="1" allowBlank="1" errorTitle="Fora da lista" error="Armadura: escolha um valor da lista. A ficha pode não reconhecer outro valor." type="list" errorStyle="warning">
      <formula1>'Dados'!$S$6:$S$8</formula1>
    </dataValidation>
    <dataValidation sqref="B108" showDropDown="0" showInputMessage="0" showErrorMessage="1" allowBlank="1" errorTitle="Fora da lista" error="Categoria da arma: escolha um valor da lista. A ficha pode não reconhecer outro valor." type="list" errorStyle="warning">
      <formula1>'Dados'!$T$6:$T$11</formula1>
    </dataValidation>
    <dataValidation sqref="B109" showDropDown="0" showInputMessage="0" showErrorMessage="1" allowBlank="1" errorTitle="Fora da lista" error="Atributo da arma: escolha um valor da lista. A ficha pode não reconhecer outro valor." type="list" errorStyle="warning">
      <formula1>'Dados'!$U$6:$U$7</formula1>
    </dataValidation>
    <dataValidation sqref="B110" showDropDown="0" showInputMessage="0" showErrorMessage="1" allowBlank="1" errorTitle="Fora da lista" error="Elemento da arma: escolha um valor da lista. A ficha pode não reconhecer outro valor." type="list" errorStyle="warning">
      <formula1>'Dados'!$R$6:$R$12</formula1>
    </dataValidation>
    <dataValidation sqref="B111" showDropDown="0" showInputMessage="0" showErrorMessage="1" allowBlank="1" errorTitle="Fora da lista" error="Propriedade especial: escolha um valor da lista. A ficha pode não reconhecer outro valor." type="list" errorStyle="warning">
      <formula1>'Dados'!$V$6:$V$10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4"/>
  <sheetViews>
    <sheetView showGridLines="1" workbookViewId="0">
      <selection activeCell="A1" sqref="A1"/>
    </sheetView>
  </sheetViews>
  <sheetFormatPr baseColWidth="8" defaultRowHeight="15"/>
  <cols>
    <col width="20.786" customWidth="1" min="1" max="1"/>
    <col width="19.357" customWidth="1" min="2" max="2"/>
    <col width="12.929" customWidth="1" min="3" max="3"/>
    <col width="14.357" customWidth="1" min="4" max="4"/>
    <col width="12.214" customWidth="1" min="5" max="5"/>
    <col width="12.214" customWidth="1" min="6" max="6"/>
    <col width="21.643" customWidth="1" min="7" max="7"/>
    <col width="18.5" customWidth="1" min="8" max="8"/>
    <col width="14.357" customWidth="1" min="9" max="9"/>
    <col width="14.357" customWidth="1" min="10" max="10"/>
    <col width="17.357" customWidth="1" min="11" max="11"/>
    <col width="8.5" customWidth="1" min="12" max="12"/>
    <col width="2" customWidth="1" min="13" max="13"/>
    <col width="150" customWidth="1" min="14" max="14"/>
    <col hidden="1" width="2" customWidth="1" min="15" max="15"/>
    <col hidden="1" width="48" customWidth="1" min="16" max="16"/>
    <col hidden="1" width="10" customWidth="1" min="17" max="17"/>
    <col hidden="1" width="2" customWidth="1" min="18" max="18"/>
    <col hidden="1" width="34" customWidth="1" min="19" max="19"/>
    <col hidden="1" width="30" customWidth="1" min="20" max="20"/>
    <col hidden="1" width="6" customWidth="1" min="21" max="21"/>
    <col hidden="1" width="6" customWidth="1" min="22" max="22"/>
    <col hidden="1" width="16" customWidth="1" min="23" max="23"/>
    <col hidden="1" width="6" customWidth="1" min="24" max="24"/>
    <col hidden="1" width="6" customWidth="1" min="25" max="25"/>
    <col hidden="1" width="12" customWidth="1" min="26" max="26"/>
    <col hidden="1" width="30" customWidth="1" min="27" max="27"/>
    <col hidden="1" width="13" customWidth="1" min="28" max="28"/>
    <col hidden="1" width="13" customWidth="1" min="29" max="29"/>
    <col hidden="1" width="13" customWidth="1" min="30" max="30"/>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ht="14.25" customHeight="1">
      <c r="A1" s="14" t="inlineStr">
        <is>
          <t>Resumo para o Jogador</t>
        </is>
      </c>
      <c r="E1" s="14" t="inlineStr">
        <is>
          <t>Recursos (preencha os amarelos)</t>
        </is>
      </c>
      <c r="I1" s="14" t="inlineStr">
        <is>
          <t>Calculadora de dano (23.1 e 23.3)</t>
        </is>
      </c>
      <c r="N1" s="2" t="inlineStr">
        <is>
          <t>Avisos desta aba (automático; o resumo aparece na linha 13)</t>
        </is>
      </c>
      <c r="P1" s="2" t="inlineStr">
        <is>
          <t>Valores auxiliares (automático)</t>
        </is>
      </c>
      <c r="S1" s="2" t="inlineStr">
        <is>
          <t>Usos (auxiliar): nome</t>
        </is>
      </c>
      <c r="T1" s="2" t="inlineStr">
        <is>
          <t>frequência</t>
        </is>
      </c>
      <c r="U1" s="2" t="inlineStr">
        <is>
          <t>entra?</t>
        </is>
      </c>
      <c r="V1" s="2" t="inlineStr">
        <is>
          <t>ordem</t>
        </is>
      </c>
      <c r="W1" s="2" t="inlineStr">
        <is>
          <t>Perícias (auxiliar)</t>
        </is>
      </c>
      <c r="AC1" s="2" t="inlineStr">
        <is>
          <t>Usos (auxiliar): frequência por linha</t>
        </is>
      </c>
    </row>
    <row r="2" ht="14.25" customHeight="1">
      <c r="A2" s="38" t="inlineStr">
        <is>
          <t>Nome</t>
        </is>
      </c>
      <c r="B2" s="39">
        <f>IF(LEN('Criação'!$Q$6)=0,"(sem nome)",""&amp;'Criação'!$Q$6)</f>
        <v/>
      </c>
      <c r="C2" s="40" t="n"/>
      <c r="D2" s="40" t="n"/>
      <c r="E2" s="41" t="inlineStr">
        <is>
          <t>PV atual</t>
        </is>
      </c>
      <c r="F2" s="42" t="n"/>
      <c r="G2" s="39">
        <f>"de "&amp;'Criação'!$D$95&amp;IF($Q$3="Sim"," · Morrendo"," · vazio = cheio")</f>
        <v/>
      </c>
      <c r="H2" s="40" t="n"/>
      <c r="I2" s="41" t="inlineStr">
        <is>
          <t>Dano recebido</t>
        </is>
      </c>
      <c r="J2" s="42" t="n"/>
      <c r="K2" s="41" t="inlineStr">
        <is>
          <t>depois de dados e bônus</t>
        </is>
      </c>
      <c r="L2" s="40" t="n"/>
      <c r="N2" s="13">
        <f>IF(AP2&gt;0,"O Google leu como fórmula: digite de novo com ' na frente.",IF(LEN($AK$2)=0,"",IF(ISNUMBER($AK$2),IF($AK$2&gt;'Criação'!$D$95,"PV atual acima do máximo ("&amp;'Criação'!$D$95&amp;"). ","")&amp;IF($AK$2&lt;0,"PV não fica abaixo de 0 (23.4). ",""),"PV atual precisa ser um número.")))</f>
        <v/>
      </c>
      <c r="P2" s="43" t="inlineStr">
        <is>
          <t>PV atual usado (vazio = cheio)</t>
        </is>
      </c>
      <c r="Q2" s="25">
        <f>IF(ISNUMBER($AK$2),MAX(0,INT($AK$2)),'Criação'!$D$95)</f>
        <v/>
      </c>
      <c r="S2" s="25">
        <f>"Descanso Curto"</f>
        <v/>
      </c>
      <c r="T2" s="25">
        <f>"2/dia"</f>
        <v/>
      </c>
      <c r="U2" s="25">
        <f>1</f>
        <v/>
      </c>
      <c r="V2" s="25">
        <f>IF(U2=1,0+1,0)</f>
        <v/>
      </c>
      <c r="W2" s="25" t="inlineStr">
        <is>
          <t>Atletismo</t>
        </is>
      </c>
      <c r="X2" s="25">
        <f>0+IF('Criação'!$E$69="Sim",1,0)</f>
        <v/>
      </c>
      <c r="Y2" s="25">
        <f>IF('Criação'!$E$69="Sim",X2,0)</f>
        <v/>
      </c>
      <c r="Z2" s="25">
        <f>'Testes'!$I$16</f>
        <v/>
      </c>
      <c r="AA2" s="25">
        <f>IF(LEN('Testes'!$J$16)&gt;0,"Vantagem","")</f>
        <v/>
      </c>
      <c r="AB2" s="25">
        <f>IFERROR(INDEX($AA$2:$AA$19,MATCH(1,$Y$2:$Y$19,0)),"")</f>
        <v/>
      </c>
      <c r="AC2" s="25">
        <f>IFERROR(INDEX($T$2:$T$16,MATCH(1,$V$2:$V$16,0)),"")</f>
        <v/>
      </c>
      <c r="AD2" s="25">
        <f>IF($AF$37="","",IF($AF$37="Sangramento",IF(ISNUMBER($AI$37),MIN(INT('Criação'!$D$95*5/100),3*IF(ISNUMBER($AI$37),$AI$37,0))&amp;" por turno","5% PV, teto 3×Ef"),IF($AF$37="Queimadura","2d6+"&amp;IF(ISNUMBER($AI$37),IF(ISNUMBER($AI$37),$AI$37,0),"Ef"),IF(OR($AF$37="Choque",$AF$37="Aprisionamento"),"1d6+"&amp;IF(ISNUMBER($AI$37),IF(ISNUMBER($AI$37),$AI$37,0),"Ef"),IF(OR($AF$37="Cisalhamento de Vento",$AF$37="Embaraço"),"1d6 por acúmulo",IF($AF$37="Surpreso","casa pulada no 1º Ciclo","—"))))))</f>
        <v/>
      </c>
      <c r="AK2">
        <f>IF(ISERROR($F$2),"",IF(ISBLANK($F$2),"",$F$2))</f>
        <v/>
      </c>
      <c r="AO2">
        <f>IF(ISERROR($J$2),"",IF(ISBLANK($J$2),"",$J$2))</f>
        <v/>
      </c>
      <c r="AP2">
        <f>ISERROR($F$2)*1+ISERROR($J$2)*1</f>
        <v/>
      </c>
    </row>
    <row r="3" ht="14.25" customHeight="1">
      <c r="A3" s="38" t="inlineStr">
        <is>
          <t>Raça · Caminho</t>
        </is>
      </c>
      <c r="B3" s="39">
        <f>IF('Criação'!$Q$25="","Raça?",'Criação'!$Q$25)&amp;" · "&amp;IF('Criação'!$Q$33="","Caminho?",'Criação'!$Q$33)&amp;" · nível "&amp;'Criação'!$A$14</f>
        <v/>
      </c>
      <c r="C3" s="40" t="n"/>
      <c r="D3" s="40" t="n"/>
      <c r="E3" s="41" t="inlineStr">
        <is>
          <t>Temporários</t>
        </is>
      </c>
      <c r="F3" s="42" t="n"/>
      <c r="G3" s="39">
        <f>"ou Barreira · teto "&amp;'Criação'!$I$14&amp;" · não acumulam"</f>
        <v/>
      </c>
      <c r="H3" s="40" t="n"/>
      <c r="I3" s="41" t="inlineStr">
        <is>
          <t>Contínuo?</t>
        </is>
      </c>
      <c r="J3" s="42" t="n"/>
      <c r="K3" s="41" t="inlineStr">
        <is>
          <t>Contínuo ignora a RD</t>
        </is>
      </c>
      <c r="L3" s="40" t="n"/>
      <c r="N3" s="13">
        <f>IF(AP3&gt;0,"O Google leu como fórmula: escolha de novo ou digite com ' na frente.",IF(LEN($AK$3)=0,"",IF(ISNUMBER($AK$3),IF($AK$3&gt;'Criação'!$I$14,"PV temporários acima do teto ("&amp;'Criação'!$I$14&amp;", 23.3): conta o teto.",""),"PV temporários precisa ser um número.")))</f>
        <v/>
      </c>
      <c r="P3" s="43" t="inlineStr">
        <is>
          <t>Morrendo (PV 0)</t>
        </is>
      </c>
      <c r="Q3" s="25">
        <f>IF($Q$2=0,"Sim","Não")</f>
        <v/>
      </c>
      <c r="S3" s="25">
        <f>"Técnica"</f>
        <v/>
      </c>
      <c r="T3" s="25">
        <f>"2/Desc. Longo"</f>
        <v/>
      </c>
      <c r="U3" s="25">
        <f>1</f>
        <v/>
      </c>
      <c r="V3" s="25">
        <f>IF(U3=1,MAX($V$2:V2)+1,0)</f>
        <v/>
      </c>
      <c r="W3" s="25" t="inlineStr">
        <is>
          <t>Acrobacia</t>
        </is>
      </c>
      <c r="X3" s="25">
        <f>X2+IF('Criação'!$E$70="Sim",1,0)</f>
        <v/>
      </c>
      <c r="Y3" s="25">
        <f>IF('Criação'!$E$70="Sim",X3,0)</f>
        <v/>
      </c>
      <c r="Z3" s="25">
        <f>'Testes'!$I$17</f>
        <v/>
      </c>
      <c r="AA3" s="25">
        <f>IF(LEN('Testes'!$J$17)&gt;0,"Vantagem","")</f>
        <v/>
      </c>
      <c r="AB3" s="25">
        <f>IFERROR(INDEX($AA$2:$AA$19,MATCH(2,$Y$2:$Y$19,0)),"")</f>
        <v/>
      </c>
      <c r="AC3" s="25">
        <f>IFERROR(INDEX($T$2:$T$16,MATCH(2,$V$2:$V$16,0)),"")</f>
        <v/>
      </c>
      <c r="AD3" s="25">
        <f>IF($AF$38="","",IF($AF$38="Sangramento",IF(ISNUMBER($AI$38),MIN(INT('Criação'!$D$95*5/100),3*IF(ISNUMBER($AI$38),$AI$38,0))&amp;" por turno","5% PV, teto 3×Ef"),IF($AF$38="Queimadura","2d6+"&amp;IF(ISNUMBER($AI$38),IF(ISNUMBER($AI$38),$AI$38,0),"Ef"),IF(OR($AF$38="Choque",$AF$38="Aprisionamento"),"1d6+"&amp;IF(ISNUMBER($AI$38),IF(ISNUMBER($AI$38),$AI$38,0),"Ef"),IF(OR($AF$38="Cisalhamento de Vento",$AF$38="Embaraço"),"1d6 por acúmulo",IF($AF$38="Surpreso","casa pulada no 1º Ciclo","—"))))))</f>
        <v/>
      </c>
      <c r="AK3">
        <f>IF(ISERROR($F$3),"",IF(ISBLANK($F$3),"",$F$3))</f>
        <v/>
      </c>
      <c r="AO3">
        <f>IF(ISERROR($J$3),"",IF(ISBLANK($J$3),"",$J$3))</f>
        <v/>
      </c>
      <c r="AP3">
        <f>ISERROR($F$3)*1+ISERROR($J$3)*1</f>
        <v/>
      </c>
    </row>
    <row r="4" ht="14.25" customHeight="1">
      <c r="A4" s="44" t="inlineStr">
        <is>
          <t>Elemento</t>
        </is>
      </c>
      <c r="B4" s="39">
        <f>IF('Criação'!$Q$60="","—",'Criação'!$Q$60)&amp;" (Ataque Básico: "&amp;'Criação'!$D$110&amp;")"</f>
        <v/>
      </c>
      <c r="C4" s="40" t="n"/>
      <c r="D4" s="40" t="n"/>
      <c r="E4" s="41" t="inlineStr">
        <is>
          <t>Energia</t>
        </is>
      </c>
      <c r="F4" s="42" t="n"/>
      <c r="G4" s="39">
        <f>"0 a 100 · Ultimate pronta: "&amp;IF($Q$22="Sim","Sim","Não ("&amp;'Habilidades'!$G$61&amp;")")</f>
        <v/>
      </c>
      <c r="H4" s="40" t="n"/>
      <c r="I4" s="41" t="inlineStr">
        <is>
          <t>RD aplicada</t>
        </is>
      </c>
      <c r="J4" s="45">
        <f>IF($AO$3="Sim",0,'Criação'!$D$98)</f>
        <v/>
      </c>
      <c r="K4" s="40" t="n"/>
      <c r="L4" s="40" t="n"/>
      <c r="N4" s="13">
        <f>IF(AP4&gt;0,"O Google leu como fórmula: digite de novo com ' na frente.",IF(LEN($AK$4)=0,"",IF(ISNUMBER($AK$4),IF($AK$4&gt;100,"Energia acima de 100 é perdida (17.1).","")&amp;IF($AK$4&lt;0,"Energia não fica abaixo de 0.",""),"Energia precisa ser um número.")))</f>
        <v/>
      </c>
      <c r="P4" s="43" t="inlineStr">
        <is>
          <t>PV temporários usados (teto)</t>
        </is>
      </c>
      <c r="Q4" s="25">
        <f>IF(ISNUMBER($AK$3),MAX(0,MIN('Criação'!$I$14,INT($AK$3))),0)</f>
        <v/>
      </c>
      <c r="S4" s="25">
        <f>"To na sua mente"</f>
        <v/>
      </c>
      <c r="T4" s="25">
        <f>"2/dia"</f>
        <v/>
      </c>
      <c r="U4" s="25">
        <f>IF('Criação'!$Q$25="Haloviano",1,0)</f>
        <v/>
      </c>
      <c r="V4" s="25">
        <f>IF(U4=1,MAX($V$2:V3)+1,0)</f>
        <v/>
      </c>
      <c r="W4" s="25" t="inlineStr">
        <is>
          <t>Furtividade</t>
        </is>
      </c>
      <c r="X4" s="25">
        <f>X3+IF('Criação'!$E$71="Sim",1,0)</f>
        <v/>
      </c>
      <c r="Y4" s="25">
        <f>IF('Criação'!$E$71="Sim",X4,0)</f>
        <v/>
      </c>
      <c r="Z4" s="25">
        <f>'Testes'!$I$18</f>
        <v/>
      </c>
      <c r="AA4" s="25">
        <f>IF(LEN('Testes'!$J$18)&gt;0,"Vantagem","")</f>
        <v/>
      </c>
      <c r="AB4" s="25">
        <f>IFERROR(INDEX($AA$2:$AA$19,MATCH(3,$Y$2:$Y$19,0)),"")</f>
        <v/>
      </c>
      <c r="AC4" s="25">
        <f>IFERROR(INDEX($T$2:$T$16,MATCH(3,$V$2:$V$16,0)),"")</f>
        <v/>
      </c>
      <c r="AD4" s="25">
        <f>IF($AF$39="","",IF($AF$39="Sangramento",IF(ISNUMBER($AI$39),MIN(INT('Criação'!$D$95*5/100),3*IF(ISNUMBER($AI$39),$AI$39,0))&amp;" por turno","5% PV, teto 3×Ef"),IF($AF$39="Queimadura","2d6+"&amp;IF(ISNUMBER($AI$39),IF(ISNUMBER($AI$39),$AI$39,0),"Ef"),IF(OR($AF$39="Choque",$AF$39="Aprisionamento"),"1d6+"&amp;IF(ISNUMBER($AI$39),IF(ISNUMBER($AI$39),$AI$39,0),"Ef"),IF(OR($AF$39="Cisalhamento de Vento",$AF$39="Embaraço"),"1d6 por acúmulo",IF($AF$39="Surpreso","casa pulada no 1º Ciclo","—"))))))</f>
        <v/>
      </c>
      <c r="AK4">
        <f>IF(ISERROR($F$4),"",IF(ISBLANK($F$4),"",$F$4))</f>
        <v/>
      </c>
      <c r="AP4">
        <f>ISERROR($F$4)*1</f>
        <v/>
      </c>
    </row>
    <row r="5" ht="14.25" customHeight="1">
      <c r="A5" s="44" t="inlineStr">
        <is>
          <t>PV</t>
        </is>
      </c>
      <c r="B5" s="39">
        <f>$Q$2&amp;" / "&amp;'Criação'!$D$95&amp;IF($Q$4&gt;0," (+"&amp;$Q$4&amp;" temporários)","")&amp;IF($Q$3="Sim"," · Morrendo","")</f>
        <v/>
      </c>
      <c r="C5" s="40" t="n"/>
      <c r="D5" s="40" t="n"/>
      <c r="E5" s="41" t="inlineStr">
        <is>
          <t>PH do grupo</t>
        </is>
      </c>
      <c r="F5" s="42" t="n"/>
      <c r="G5" s="39">
        <f>"máx "&amp;'Criação'!$E$16&amp;" · início "&amp;'Criação'!$F$16&amp;" · +"&amp;'Criação'!$G$16&amp;" por acerto"</f>
        <v/>
      </c>
      <c r="H5" s="40" t="n"/>
      <c r="I5" s="41" t="inlineStr">
        <is>
          <t>Após a RD</t>
        </is>
      </c>
      <c r="J5" s="45">
        <f>IF(ISNUMBER($AO$2),IF($AO$2&lt;=0,0,MAX(1,$AO$2-$J$4)),0)</f>
        <v/>
      </c>
      <c r="K5" s="41" t="inlineStr">
        <is>
          <t>mínimo 1</t>
        </is>
      </c>
      <c r="L5" s="40" t="n"/>
      <c r="N5" s="13">
        <f>IF(AP5&gt;0,"O Google leu como fórmula: digite de novo com ' na frente.",IF(LEN($AK$5)=0,"",IF(ISNUMBER($AK$5),IF($AK$5&gt;'Criação'!$E$16,"PH acima do máximo do grupo ("&amp;'Criação'!$E$16&amp;", 16.2).",""),"PH precisa ser um número.")))</f>
        <v/>
      </c>
      <c r="P5" s="43" t="inlineStr">
        <is>
          <t>Energia usada (0 a 100)</t>
        </is>
      </c>
      <c r="Q5" s="25">
        <f>IF(ISNUMBER($AK$4),MAX(0,MIN(100,INT($AK$4))),0)</f>
        <v/>
      </c>
      <c r="S5" s="25">
        <f>"Efeito do Cone de Luz"</f>
        <v/>
      </c>
      <c r="T5" s="25">
        <f>IF('Equipamento'!$P$28=1,"1/combate","1/Ciclo")</f>
        <v/>
      </c>
      <c r="U5" s="25">
        <f>IF('Equipamento'!$P$28&gt;0,1,0)</f>
        <v/>
      </c>
      <c r="V5" s="25">
        <f>IF(U5=1,MAX($V$2:V4)+1,0)</f>
        <v/>
      </c>
      <c r="W5" s="25" t="inlineStr">
        <is>
          <t>Pilotagem</t>
        </is>
      </c>
      <c r="X5" s="25">
        <f>X4+IF('Criação'!$E$72="Sim",1,0)</f>
        <v/>
      </c>
      <c r="Y5" s="25">
        <f>IF('Criação'!$E$72="Sim",X5,0)</f>
        <v/>
      </c>
      <c r="Z5" s="25">
        <f>'Testes'!$I$19</f>
        <v/>
      </c>
      <c r="AA5" s="25">
        <f>IF(LEN('Testes'!$J$19)&gt;0,"Vantagem","")</f>
        <v/>
      </c>
      <c r="AB5" s="25">
        <f>IFERROR(INDEX($AA$2:$AA$19,MATCH(4,$Y$2:$Y$19,0)),"")</f>
        <v/>
      </c>
      <c r="AC5" s="25">
        <f>IFERROR(INDEX($T$2:$T$16,MATCH(4,$V$2:$V$16,0)),"")</f>
        <v/>
      </c>
      <c r="AD5" s="25">
        <f>IF($AF$40="","",IF($AF$40="Sangramento",IF(ISNUMBER($AI$40),MIN(INT('Criação'!$D$95*5/100),3*IF(ISNUMBER($AI$40),$AI$40,0))&amp;" por turno","5% PV, teto 3×Ef"),IF($AF$40="Queimadura","2d6+"&amp;IF(ISNUMBER($AI$40),IF(ISNUMBER($AI$40),$AI$40,0),"Ef"),IF(OR($AF$40="Choque",$AF$40="Aprisionamento"),"1d6+"&amp;IF(ISNUMBER($AI$40),IF(ISNUMBER($AI$40),$AI$40,0),"Ef"),IF(OR($AF$40="Cisalhamento de Vento",$AF$40="Embaraço"),"1d6 por acúmulo",IF($AF$40="Surpreso","casa pulada no 1º Ciclo","—"))))))</f>
        <v/>
      </c>
      <c r="AK5">
        <f>IF(ISERROR($F$5),"",IF(ISBLANK($F$5),"",$F$5))</f>
        <v/>
      </c>
      <c r="AP5">
        <f>ISERROR($F$5)*1</f>
        <v/>
      </c>
    </row>
    <row r="6" ht="14.25" customHeight="1">
      <c r="A6" s="44" t="inlineStr">
        <is>
          <t>Defesa · Esquiva</t>
        </is>
      </c>
      <c r="B6" s="39">
        <f>'Criação'!$D$96&amp;IF($Q$16&gt;'Criação'!$D$96," ("&amp;$Q$16&amp;" com temporários)","")&amp;" · Esquiva "&amp;IF(ISNUMBER('Criação'!$D$97),'Criação'!$D$97,"proibida")</f>
        <v/>
      </c>
      <c r="C6" s="40" t="n"/>
      <c r="D6" s="40" t="n"/>
      <c r="E6" s="41" t="inlineStr">
        <is>
          <t>Esforço</t>
        </is>
      </c>
      <c r="F6" s="42" t="n"/>
      <c r="G6" s="39">
        <f>IF('Criação'!$Q$25="Humano","máx 1 · volta no Descanso Longo","só para Humano")</f>
        <v/>
      </c>
      <c r="H6" s="40" t="n"/>
      <c r="I6" s="41" t="inlineStr">
        <is>
          <t>Absorvido</t>
        </is>
      </c>
      <c r="J6" s="45">
        <f>MIN($Q$4,$J$5)</f>
        <v/>
      </c>
      <c r="K6" s="41" t="inlineStr">
        <is>
          <t>pelos temporários</t>
        </is>
      </c>
      <c r="L6" s="40" t="n"/>
      <c r="N6" s="13">
        <f>IF(AP6&gt;0,"O Google leu como fórmula: digite de novo com ' na frente.",IF(LEN($AK$6)=0,"",IF(ISNUMBER($AK$6),IF('Criação'!$Q$25&lt;&gt;"Humano","O Esforço é traço do Humano (05). ","")&amp;IF($AK$6&gt;1,"Esforço máximo 1 (05).",""),"Esforço precisa ser um número.")))</f>
        <v/>
      </c>
      <c r="P6" s="43" t="inlineStr">
        <is>
          <t>Memoespírito ativo (só A Recordação)</t>
        </is>
      </c>
      <c r="Q6" s="25">
        <f>IF(AND($AK$7="Sim",'Criação'!$Q$33="A Recordação"),"Sim","Não")</f>
        <v/>
      </c>
      <c r="S6" s="25">
        <f>"Corda de Ligação"</f>
        <v/>
      </c>
      <c r="T6" s="25">
        <f>"1/combate"</f>
        <v/>
      </c>
      <c r="U6" s="25">
        <f>IF('Equipamento'!$G$41&gt;0,1,0)</f>
        <v/>
      </c>
      <c r="V6" s="25">
        <f>IF(U6=1,MAX($V$2:V5)+1,0)</f>
        <v/>
      </c>
      <c r="W6" s="25" t="inlineStr">
        <is>
          <t>Resistência</t>
        </is>
      </c>
      <c r="X6" s="25">
        <f>X5+IF('Criação'!$E$73="Sim",1,0)</f>
        <v/>
      </c>
      <c r="Y6" s="25">
        <f>IF('Criação'!$E$73="Sim",X6,0)</f>
        <v/>
      </c>
      <c r="Z6" s="25">
        <f>'Testes'!$I$20</f>
        <v/>
      </c>
      <c r="AA6" s="25">
        <f>IF(LEN('Testes'!$J$20)&gt;0,"Vantagem","")</f>
        <v/>
      </c>
      <c r="AB6" s="25">
        <f>IFERROR(INDEX($AA$2:$AA$19,MATCH(5,$Y$2:$Y$19,0)),"")</f>
        <v/>
      </c>
      <c r="AC6" s="25">
        <f>IFERROR(INDEX($T$2:$T$16,MATCH(5,$V$2:$V$16,0)),"")</f>
        <v/>
      </c>
      <c r="AK6">
        <f>IF(ISERROR($F$6),"",IF(ISBLANK($F$6),"",$F$6))</f>
        <v/>
      </c>
      <c r="AP6">
        <f>ISERROR($F$6)*1</f>
        <v/>
      </c>
    </row>
    <row r="7" ht="14.25" customHeight="1">
      <c r="A7" s="44" t="inlineStr">
        <is>
          <t>RD · Velocidade</t>
        </is>
      </c>
      <c r="B7" s="39">
        <f>"RD "&amp;'Criação'!$D$98&amp;" · VEL "&amp;'Criação'!$D$99</f>
        <v/>
      </c>
      <c r="C7" s="40" t="n"/>
      <c r="D7" s="40" t="n"/>
      <c r="E7" s="41" t="inlineStr">
        <is>
          <t>Memoespírito</t>
        </is>
      </c>
      <c r="F7" s="42" t="n"/>
      <c r="G7" s="39">
        <f>IF('Criação'!$Q$33="A Recordação","PV dele (máx "&amp;'Caminho'!$B$80&amp;")","só A Recordação")</f>
        <v/>
      </c>
      <c r="H7" s="42" t="n"/>
      <c r="I7" s="41" t="inlineStr">
        <is>
          <t>PV perdidos</t>
        </is>
      </c>
      <c r="J7" s="45">
        <f>$J$5-$J$6</f>
        <v/>
      </c>
      <c r="K7" s="40" t="n"/>
      <c r="L7" s="40" t="n"/>
      <c r="N7" s="13">
        <f>IF(AP7&gt;0,"O Google leu como fórmula: escolha de novo ou digite com ' na frente.",IF(AND(OR($AK$7="Sim",LEN($AM$7)&gt;0),'Criação'!$Q$33&lt;&gt;"A Recordação"),"Memoespírito só na Recordação: não conta. ","")&amp;IF(LEN($AM$7)=0,"",IF(ISNUMBER($AM$7),IF(AND('Criação'!$Q$33="A Recordação",$AM$7&gt;'Caminho'!$B$80),"PV do Memoespírito acima do máximo ("&amp;'Caminho'!$B$80&amp;"). ",""),"PV do Memoespírito precisa ser um número.")))</f>
        <v/>
      </c>
      <c r="P7" s="43" t="inlineStr">
        <is>
          <t>Fúria (Sacrifício Desesperado, máx. 2)</t>
        </is>
      </c>
      <c r="Q7" s="25">
        <f>IF($G$8="Fúria",MIN(2,IF(ISNUMBER($AK$8),MAX(0,INT($AK$8)),0)),0)</f>
        <v/>
      </c>
      <c r="S7" s="25">
        <f>""&amp;'Caminho'!$I$27</f>
        <v/>
      </c>
      <c r="T7" s="25">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25">
        <f>IF(AND(LEN('Caminho'!$I$27)&gt;0,LEN('Caminho'!$H$27)&gt;0,'Caminho'!$H$27&lt;&gt;"Sem limite declarado"),1,0)</f>
        <v/>
      </c>
      <c r="V7" s="25">
        <f>IF(U7=1,MAX($V$2:V6)+1,0)</f>
        <v/>
      </c>
      <c r="W7" s="25" t="inlineStr">
        <is>
          <t>Tecnologia</t>
        </is>
      </c>
      <c r="X7" s="25">
        <f>X6+IF('Criação'!$E$75="Sim",1,0)</f>
        <v/>
      </c>
      <c r="Y7" s="25">
        <f>IF('Criação'!$E$75="Sim",X7,0)</f>
        <v/>
      </c>
      <c r="Z7" s="25">
        <f>'Testes'!$I$22</f>
        <v/>
      </c>
      <c r="AA7" s="25">
        <f>IF(LEN('Testes'!$J$22)&gt;0,"Vantagem","")</f>
        <v/>
      </c>
      <c r="AB7" s="25">
        <f>IFERROR(INDEX($AA$2:$AA$19,MATCH(6,$Y$2:$Y$19,0)),"")</f>
        <v/>
      </c>
      <c r="AC7" s="25">
        <f>IFERROR(INDEX($T$2:$T$16,MATCH(6,$V$2:$V$16,0)),"")</f>
        <v/>
      </c>
      <c r="AK7">
        <f>IF(ISERROR($F$7),"",IF(ISBLANK($F$7),"",$F$7))</f>
        <v/>
      </c>
      <c r="AM7">
        <f>IF(ISERROR($H$7),"",IF(ISBLANK($H$7),"",$H$7))</f>
        <v/>
      </c>
      <c r="AP7">
        <f>ISERROR($F$7)*1+ISERROR($H$7)*1</f>
        <v/>
      </c>
    </row>
    <row r="8" ht="14.25" customHeight="1">
      <c r="A8" s="44" t="inlineStr">
        <is>
          <t>DT das Habilidades</t>
        </is>
      </c>
      <c r="B8" s="39">
        <f>'Criação'!$B$56&amp;" · ataque de Habilidade "&amp;'Criação'!$C$57</f>
        <v/>
      </c>
      <c r="C8" s="40" t="n"/>
      <c r="D8" s="40" t="n"/>
      <c r="E8" s="41" t="inlineStr">
        <is>
          <t>Acúmulos</t>
        </is>
      </c>
      <c r="F8" s="42" t="n"/>
      <c r="G8" s="39">
        <f>IF((COUNTIF('Caminho'!$I$27:$I$36,"Sacrifício Desesperado")&gt;0),"Fúria",IF((COUNTIF('Caminho'!$I$27:$I$36,"Florescimento da Alma")&gt;0),"Florescimento",IF((COUNTIF('Caminho'!$I$27:$I$36,"Memória Devastadora")&gt;0),"Fragmentos de Memória",IF('Criação'!$Q$33="A Erudição","Acúmulos de Cálculo","—"))))</f>
        <v/>
      </c>
      <c r="H8" s="39">
        <f>IF($G$8="—","sem acúmulo","máx "&amp;IF($G$8="Fúria",2,IF($G$8="Acúmulos de Cálculo",IF((COUNTIF('Caminho'!$I$27:$I$36,"Teto Rompido")&gt;0),7,5),IF($G$8="—",0,5))))</f>
        <v/>
      </c>
      <c r="I8" s="41" t="inlineStr">
        <is>
          <t>PV novo</t>
        </is>
      </c>
      <c r="J8" s="45">
        <f>MAX(0,$Q$2-$J$7)</f>
        <v/>
      </c>
      <c r="K8" s="39">
        <f>"PV novo: "&amp;$J$8&amp;" · temp. "&amp;($Q$4-$J$6)</f>
        <v/>
      </c>
      <c r="L8" s="40" t="n"/>
      <c r="N8" s="13">
        <f>IF(AP8&gt;0,"O Google leu como fórmula: digite de novo com ' na frente.",IF(LEN($AK$8)=0,"",IF(ISNUMBER($AK$8),IF($G$8="—","Nenhuma Bênção sua tem acúmulo neste campo.",IF($AK$8&gt;IF($G$8="Fúria",2,IF($G$8="Acúmulos de Cálculo",IF((COUNTIF('Caminho'!$I$27:$I$36,"Teto Rompido")&gt;0),7,5),IF($G$8="—",0,5))),"Máximo "&amp;IF($G$8="Fúria",2,IF($G$8="Acúmulos de Cálculo",IF((COUNTIF('Caminho'!$I$27:$I$36,"Teto Rompido")&gt;0),7,5),IF($G$8="—",0,5)))&amp;" acúmulos de "&amp;$G$8&amp;".","")),"Acúmulos precisa ser um número.")))</f>
        <v/>
      </c>
      <c r="P8" s="43" t="inlineStr">
        <is>
          <t>Florescimento (máx. 5)</t>
        </is>
      </c>
      <c r="Q8" s="25">
        <f>IF($G$8="Florescimento",MIN(5,IF(ISNUMBER($AK$8),MAX(0,INT($AK$8)),0)),0)</f>
        <v/>
      </c>
      <c r="S8" s="25">
        <f>""&amp;'Caminho'!$I$28</f>
        <v/>
      </c>
      <c r="T8" s="25">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25">
        <f>IF(AND(LEN('Caminho'!$I$28)&gt;0,LEN('Caminho'!$H$28)&gt;0,'Caminho'!$H$28&lt;&gt;"Sem limite declarado"),1,0)</f>
        <v/>
      </c>
      <c r="V8" s="25">
        <f>IF(U8=1,MAX($V$2:V7)+1,0)</f>
        <v/>
      </c>
      <c r="W8" s="25" t="inlineStr">
        <is>
          <t>Pesquisa</t>
        </is>
      </c>
      <c r="X8" s="25">
        <f>X7+IF('Criação'!$E$76="Sim",1,0)</f>
        <v/>
      </c>
      <c r="Y8" s="25">
        <f>IF('Criação'!$E$76="Sim",X8,0)</f>
        <v/>
      </c>
      <c r="Z8" s="25">
        <f>'Testes'!$I$23</f>
        <v/>
      </c>
      <c r="AA8" s="25">
        <f>IF(LEN('Testes'!$J$23)&gt;0,"Vantagem","")</f>
        <v/>
      </c>
      <c r="AB8" s="25">
        <f>IFERROR(INDEX($AA$2:$AA$19,MATCH(7,$Y$2:$Y$19,0)),"")</f>
        <v/>
      </c>
      <c r="AC8" s="25">
        <f>IFERROR(INDEX($T$2:$T$16,MATCH(7,$V$2:$V$16,0)),"")</f>
        <v/>
      </c>
      <c r="AK8">
        <f>IF(ISERROR($F$8),"",IF(ISBLANK($F$8),"",$F$8))</f>
        <v/>
      </c>
      <c r="AP8">
        <f>ISERROR($F$8)*1</f>
        <v/>
      </c>
    </row>
    <row r="9" ht="14.25" customHeight="1">
      <c r="A9" s="44" t="inlineStr">
        <is>
          <t>Melhor ataque</t>
        </is>
      </c>
      <c r="B9" s="39">
        <f>IF('Criação'!$Q$108="","Habilidades "&amp;'Criação'!$C$57,"Ataque Básico "&amp;'Equipamento'!$B$13&amp;" · "&amp;'Equipamento'!$C$13&amp;" (média "&amp;'Equipamento'!$D$13&amp;")")</f>
        <v/>
      </c>
      <c r="C9" s="40" t="n"/>
      <c r="D9" s="40" t="n"/>
      <c r="E9" s="41" t="inlineStr">
        <is>
          <t>Marcas</t>
        </is>
      </c>
      <c r="F9" s="42" t="n"/>
      <c r="G9" s="39">
        <f>IF((COUNTIF('Caminho'!$I$27:$I$36,"Cicatriz da Destruição")&gt;0),"Marcas da Ruína","—")</f>
        <v/>
      </c>
      <c r="H9" s="39">
        <f>IF($G$9="—","sem acúmulo","máx 5")</f>
        <v/>
      </c>
      <c r="I9" s="39">
        <f>IF($J$5=0,"Preencha o dano para ver o resultado",IF($Q$3="Sim","Já Morrendo: 1 falha (2 se crítico ou Nível 5+)",IF($J$8=0,"Cai a 0 PV: fica Morrendo (23.4)","Continua de pé")))</f>
        <v/>
      </c>
      <c r="J9" s="40" t="n"/>
      <c r="K9" s="40" t="n"/>
      <c r="L9" s="40" t="n"/>
      <c r="N9" s="13">
        <f>IF(AP9&gt;0,"O Google leu como fórmula: digite de novo com ' na frente.",IF(LEN($AK$9)=0,"",IF(ISNUMBER($AK$9),IF($G$9="—","Nenhuma Bênção sua tem acúmulo neste campo.",IF($AK$9&gt;5,"Máximo 5 Marcas da Ruína.","")),"Acúmulos precisa ser um número.")))</f>
        <v/>
      </c>
      <c r="P9" s="43" t="inlineStr">
        <is>
          <t>Fragmentos de Memória (máx. 5)</t>
        </is>
      </c>
      <c r="Q9" s="25">
        <f>IF($G$8="Fragmentos de Memória",MIN(5,IF(ISNUMBER($AK$8),MAX(0,INT($AK$8)),0)),0)</f>
        <v/>
      </c>
      <c r="S9" s="25">
        <f>""&amp;'Caminho'!$I$29</f>
        <v/>
      </c>
      <c r="T9" s="25">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25">
        <f>IF(AND(LEN('Caminho'!$I$29)&gt;0,LEN('Caminho'!$H$29)&gt;0,'Caminho'!$H$29&lt;&gt;"Sem limite declarado"),1,0)</f>
        <v/>
      </c>
      <c r="V9" s="25">
        <f>IF(U9=1,MAX($V$2:V8)+1,0)</f>
        <v/>
      </c>
      <c r="W9" s="25" t="inlineStr">
        <is>
          <t>Ciência</t>
        </is>
      </c>
      <c r="X9" s="25">
        <f>X8+IF('Criação'!$E$77="Sim",1,0)</f>
        <v/>
      </c>
      <c r="Y9" s="25">
        <f>IF('Criação'!$E$77="Sim",X9,0)</f>
        <v/>
      </c>
      <c r="Z9" s="25">
        <f>'Testes'!$I$24</f>
        <v/>
      </c>
      <c r="AA9" s="25">
        <f>IF(LEN('Testes'!$J$24)&gt;0,"Vantagem","")</f>
        <v/>
      </c>
      <c r="AB9" s="25">
        <f>IFERROR(INDEX($AA$2:$AA$19,MATCH(8,$Y$2:$Y$19,0)),"")</f>
        <v/>
      </c>
      <c r="AC9" s="25">
        <f>IFERROR(INDEX($T$2:$T$16,MATCH(8,$V$2:$V$16,0)),"")</f>
        <v/>
      </c>
      <c r="AK9">
        <f>IF(ISERROR($F$9),"",IF(ISBLANK($F$9),"",$F$9))</f>
        <v/>
      </c>
      <c r="AP9">
        <f>ISERROR($F$9)*1</f>
        <v/>
      </c>
    </row>
    <row r="10" ht="14.25" customHeight="1">
      <c r="A10" s="44" t="inlineStr">
        <is>
          <t>Vantagens raciais</t>
        </is>
      </c>
      <c r="B10" s="39">
        <f>IF('Criação'!$Q$25="Humano","Esforço (1 ponto) e +1 Perícia na criação",IF('Criação'!$Q$25="Intellitron","Tecnologia, Mecânica, Fraqueza; imune a doença",IF('Criação'!$Q$25="Avginiano","Testes mentais; metade da duração ao falhar",IF('Criação'!$Q$25="Haloviano","Controlado 2× por dia; sem dano de queda",IF('Criação'!$Q$25="Vulpes","Presença e Força de Vontade; 1 favor por descanso",IF('Criação'!$Q$25="Vidyadhara","recupera PV 1× por descanso; respira na água",IF('Criação'!$Q$25="Xianzhouíta","todo Teste de Resistência; 1 pergunta por cena","—")))))))</f>
        <v/>
      </c>
      <c r="C10" s="40" t="n"/>
      <c r="D10" s="40" t="n"/>
      <c r="E10" s="39">
        <f>IF('Criação'!$Q$33="","Recurso do Caminho: escolha o Caminho",IF('Criação'!$Q$33="A Destruição","PV como moeda: "&amp;(2*'Criação'!$A$14)&amp;" PV por ativação",IF('Criação'!$Q$33="A Preservação","Barreira: teto "&amp;$Q$17,IF('Criação'!$Q$33="A Erudição","Acúmulos de Cálculo: máx "&amp;IF((COUNTIF('Caminho'!$I$27:$I$36,"Teto Rompido")&gt;0),7,5),IF('Criação'!$Q$33="A Caça","Marcação de Presa: 1 alvo · crítico "&amp;IF((COUNTIF('Caminho'!$I$27:$I$36,"Olho de Lan")&gt;0),"19-20","20"),IF('Criação'!$Q$33="A Euforia","Tabela do Riso: 1d6 (aba Caminho)",IF('Criação'!$Q$33="A Recordação","Memoespírito: ficha na aba Caminho",IF('Criação'!$Q$33="A Inexistência","Recurso: acúmulos de Marca do Vazio e Corrupção",IF('Criação'!$Q$33="A Harmonia","Recurso: acúmulos de Eco da Vitória (máx 3)",IF('Criação'!$Q$33="A Abundância","Recurso: acúmulos de Florescimento (máx 5)","Recurso do Caminho: escolha um Caminho da lista"))))))))))</f>
        <v/>
      </c>
      <c r="F10" s="40" t="n"/>
      <c r="G10" s="40" t="n"/>
      <c r="H10" s="40" t="n"/>
      <c r="I10" s="41" t="inlineStr">
        <is>
          <t>Cura recebida</t>
        </is>
      </c>
      <c r="J10" s="42" t="n"/>
      <c r="K10" s="39">
        <f>"PV depois: "&amp;IF(ISNUMBER($AO$10),MIN('Criação'!$D$95,$Q$2+MAX(0,$AO$10)),$Q$2)</f>
        <v/>
      </c>
      <c r="L10" s="40" t="n"/>
      <c r="N10" s="13">
        <f>IF(AP10&gt;0,"O Google leu como fórmula: digite de novo com ' na frente.",IF(LEN($AO$2)=0,"",IF(ISNUMBER($AO$2),IF($AO$2&lt;0,"Dano não é negativo: use a cura.",""),"Dano recebido precisa ser um número.")))</f>
        <v/>
      </c>
      <c r="P10" s="43" t="inlineStr">
        <is>
          <t>Acúmulos de Cálculo (máx. 5 ou 7)</t>
        </is>
      </c>
      <c r="Q10" s="25">
        <f>IF($G$8="Acúmulos de Cálculo",MIN(IF((COUNTIF('Caminho'!$I$27:$I$36,"Teto Rompido")&gt;0),7,5),IF(ISNUMBER($AK$8),MAX(0,INT($AK$8)),0)),0)</f>
        <v/>
      </c>
      <c r="S10" s="25">
        <f>""&amp;'Caminho'!$I$30</f>
        <v/>
      </c>
      <c r="T10" s="25">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25">
        <f>IF(AND(LEN('Caminho'!$I$30)&gt;0,LEN('Caminho'!$H$30)&gt;0,'Caminho'!$H$30&lt;&gt;"Sem limite declarado"),1,0)</f>
        <v/>
      </c>
      <c r="V10" s="25">
        <f>IF(U10=1,MAX($V$2:V9)+1,0)</f>
        <v/>
      </c>
      <c r="W10" s="25" t="inlineStr">
        <is>
          <t>Mecânica</t>
        </is>
      </c>
      <c r="X10" s="25">
        <f>X9+IF('Criação'!$E$78="Sim",1,0)</f>
        <v/>
      </c>
      <c r="Y10" s="25">
        <f>IF('Criação'!$E$78="Sim",X10,0)</f>
        <v/>
      </c>
      <c r="Z10" s="25">
        <f>'Testes'!$I$25</f>
        <v/>
      </c>
      <c r="AA10" s="25">
        <f>IF(LEN('Testes'!$J$25)&gt;0,"Vantagem","")</f>
        <v/>
      </c>
      <c r="AB10" s="25">
        <f>IFERROR(INDEX($AA$2:$AA$19,MATCH(9,$Y$2:$Y$19,0)),"")</f>
        <v/>
      </c>
      <c r="AO10">
        <f>IF(ISERROR($J$10),"",IF(ISBLANK($J$10),"",$J$10))</f>
        <v/>
      </c>
      <c r="AP10">
        <f>ISERROR($J$10)*1</f>
        <v/>
      </c>
    </row>
    <row r="11" ht="14.25" customHeight="1">
      <c r="A11" s="44" t="inlineStr">
        <is>
          <t>Condições ativas</t>
        </is>
      </c>
      <c r="B11" s="39">
        <f>IF($Q$24=0,"Nenhuma",$Q$25&amp;IF($Q$24&gt;1," + "&amp;($Q$24-1)&amp;" (linhas 37-40)",""))</f>
        <v/>
      </c>
      <c r="C11" s="40" t="n"/>
      <c r="D11" s="40" t="n"/>
      <c r="E11" s="39">
        <f>"Energia de equipamento: "&amp;IF('Equipamento'!$G$41&gt;0,"Corda +"&amp;'Equipamento'!$G$41&amp;" ao entrar na Fila","sem Corda")&amp;IF('Equipamento'!$P$28&gt;=3," · Cone +5 por Ciclo","")</f>
        <v/>
      </c>
      <c r="F11" s="40" t="n"/>
      <c r="G11" s="40" t="n"/>
      <c r="H11" s="40" t="n"/>
      <c r="I11" s="41" t="inlineStr">
        <is>
          <t>Descanso Curto</t>
        </is>
      </c>
      <c r="J11" s="45">
        <f>2*'Criação'!$A$14+'Criação'!$F$46</f>
        <v/>
      </c>
      <c r="K11" s="39">
        <f>"PV depois: "&amp;MIN('Criação'!$D$95,$Q$2+$J$11)</f>
        <v/>
      </c>
      <c r="L11" s="40" t="n"/>
      <c r="N11" s="13">
        <f>IF(AND(LEN($AO$10)&gt;0,NOT(ISNUMBER($AO$10))),"Cura precisa ser um número.","")</f>
        <v/>
      </c>
      <c r="P11" s="43" t="inlineStr">
        <is>
          <t>Marcas da Ruína (máx. 5)</t>
        </is>
      </c>
      <c r="Q11" s="25">
        <f>IF($G$9="Marcas da Ruína",MIN(5,IF(ISNUMBER($AK$9),MAX(0,INT($AK$9)),0)),0)</f>
        <v/>
      </c>
      <c r="S11" s="25">
        <f>""&amp;'Caminho'!$I$31</f>
        <v/>
      </c>
      <c r="T11" s="25">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25">
        <f>IF(AND(LEN('Caminho'!$I$31)&gt;0,LEN('Caminho'!$H$31)&gt;0,'Caminho'!$H$31&lt;&gt;"Sem limite declarado"),1,0)</f>
        <v/>
      </c>
      <c r="V11" s="25">
        <f>IF(U11=1,MAX($V$2:V10)+1,0)</f>
        <v/>
      </c>
      <c r="W11" s="25" t="inlineStr">
        <is>
          <t>Percepção</t>
        </is>
      </c>
      <c r="X11" s="25">
        <f>X10+IF('Criação'!$E$79="Sim",1,0)</f>
        <v/>
      </c>
      <c r="Y11" s="25">
        <f>IF('Criação'!$E$79="Sim",X11,0)</f>
        <v/>
      </c>
      <c r="Z11" s="25">
        <f>'Testes'!$I$26</f>
        <v/>
      </c>
      <c r="AA11" s="25">
        <f>IF(LEN('Testes'!$J$26)&gt;0,"Vantagem","")</f>
        <v/>
      </c>
      <c r="AB11" s="25">
        <f>IFERROR(INDEX($AA$2:$AA$19,MATCH(10,$Y$2:$Y$19,0)),"")</f>
        <v/>
      </c>
    </row>
    <row r="12" ht="14.25" customHeight="1">
      <c r="A12" s="44" t="inlineStr">
        <is>
          <t>Pode ser Executado?</t>
        </is>
      </c>
      <c r="B12" s="39">
        <f>IF('Criação'!$Q$25="Xianzhouíta","Não (Xianzhouíta, 23.5)",IF($Q$3="Sim","Sim: está Morrendo (23.5)","Só se estiver Morrendo (23.5)"))</f>
        <v/>
      </c>
      <c r="C12" s="40" t="n"/>
      <c r="D12" s="40" t="n"/>
      <c r="E12" s="39">
        <f>IF('Equipamento'!$B$58="Não consegue se mover","Movimento: não se move (carga)",IF($Q$20=1,"Movimento: Lentidão, só Esforço Total move 1 passo","Movimento: 1 Distância por ação · Esforço Total: 2"))</f>
        <v/>
      </c>
      <c r="F12" s="40" t="n"/>
      <c r="G12" s="40" t="n"/>
      <c r="H12" s="40" t="n"/>
      <c r="I12" s="39">
        <f>"Descanso Longo: PV cheios, sem condições, Esforço de volta"</f>
        <v/>
      </c>
      <c r="J12" s="40" t="n"/>
      <c r="K12" s="40" t="n"/>
      <c r="L12" s="40" t="n"/>
      <c r="N12" s="13">
        <f>IF(OR(AND(LEN($AI$33)&gt;0,NOT(ISNUMBER($AI$33))),AND(LEN($AK$33)&gt;0,NOT(ISNUMBER($AK$33)))),"Sucessos e falhas precisam ser números de 0 a 3. ",IF(OR(IF(ISNUMBER($AI$33),$AI$33,0)&gt;3,IF(ISNUMBER($AK$33),$AK$33,0)&gt;3),"Sucessos e falhas vão de 0 a 3. ",""))&amp;IF(AND($Q$3="Não",IF(ISNUMBER($AI$33),$AI$33,0)+IF(ISNUMBER($AK$33),$AK$33,0)&gt;0),"Contador de Morrendo preenchido com PV acima de 0: a cura zera o contador (23.4).","")</f>
        <v/>
      </c>
      <c r="P12" s="43" t="inlineStr">
        <is>
          <t>Instinto de Sobrevivência ligado (PV ≤ 1/3)</t>
        </is>
      </c>
      <c r="Q12" s="25">
        <f>IF(AND((COUNTIF('Caminho'!$I$27:$I$36,"Instinto de Sobrevivência")&gt;0),ISNUMBER($AK$2),$Q$2*3&lt;='Criação'!$D$95),1,0)</f>
        <v/>
      </c>
      <c r="S12" s="25">
        <f>""&amp;'Caminho'!$I$32</f>
        <v/>
      </c>
      <c r="T12" s="25">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25">
        <f>IF(AND(LEN('Caminho'!$I$32)&gt;0,LEN('Caminho'!$H$32)&gt;0,'Caminho'!$H$32&lt;&gt;"Sem limite declarado"),1,0)</f>
        <v/>
      </c>
      <c r="V12" s="25">
        <f>IF(U12=1,MAX($V$2:V11)+1,0)</f>
        <v/>
      </c>
      <c r="W12" s="25" t="inlineStr">
        <is>
          <t>Sobrevivência</t>
        </is>
      </c>
      <c r="X12" s="25">
        <f>X11+IF('Criação'!$E$80="Sim",1,0)</f>
        <v/>
      </c>
      <c r="Y12" s="25">
        <f>IF('Criação'!$E$80="Sim",X12,0)</f>
        <v/>
      </c>
      <c r="Z12" s="25">
        <f>'Testes'!$I$27</f>
        <v/>
      </c>
      <c r="AA12" s="25">
        <f>IF(LEN('Testes'!$J$27)&gt;0,"Vantagem","")</f>
        <v/>
      </c>
    </row>
    <row r="13" ht="14.25" customHeight="1">
      <c r="A13" s="46">
        <f>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0,"","Avisos ("&amp;(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amp;"): "&amp;IF(LEN(N2)&gt;0,N2,IF(LEN(N3)&gt;0,N3,IF(LEN(N4)&gt;0,N4,IF(LEN(N5)&gt;0,N5,IF(LEN(N6)&gt;0,N6,IF(LEN(N7)&gt;0,N7,IF(LEN(N8)&gt;0,N8,IF(LEN(N9)&gt;0,N9,IF(LEN(N10)&gt;0,N10,IF(LEN(N11)&gt;0,N11,IF(LEN(N12)&gt;0,N12,IF(LEN(N13)&gt;0,N13,IF(LEN(N14)&gt;0,N14,IF(LEN(N15)&gt;0,N15,IF(LEN(N16)&gt;0,N16,IF(LEN(N17)&gt;0,N17,IF(LEN(N18)&gt;0,N18,IF(LEN(N19)&gt;0,N19,IF(LEN(N20)&gt;0,N20,IF(LEN(N33)&gt;0,N33,IF(LEN(N34)&gt;0,N34,IF(LEN(N35)&gt;0,N35,IF(LEN(N36)&gt;0,N36,IF(LEN(N37)&gt;0,N37,IF(LEN(N38)&gt;0,N38,IF(LEN(N39)&gt;0,N39,IF(LEN(N40)&gt;0,N40,"")))))))))))))))))))))))))))&amp;IF((IF(LEN(N2)&gt;0,1,0)+IF(LEN(N3)&gt;0,1,0)+IF(LEN(N4)&gt;0,1,0)+IF(LEN(N5)&gt;0,1,0)+IF(LEN(N6)&gt;0,1,0)+IF(LEN(N7)&gt;0,1,0)+IF(LEN(N8)&gt;0,1,0)+IF(LEN(N9)&gt;0,1,0)+IF(LEN(N10)&gt;0,1,0)+IF(LEN(N11)&gt;0,1,0)+IF(LEN(N12)&gt;0,1,0)+IF(LEN(N13)&gt;0,1,0)+IF(LEN(N14)&gt;0,1,0)+IF(LEN(N15)&gt;0,1,0)+IF(LEN(N16)&gt;0,1,0)+IF(LEN(N17)&gt;0,1,0)+IF(LEN(N18)&gt;0,1,0)+IF(LEN(N19)&gt;0,1,0)+IF(LEN(N20)&gt;0,1,0)+IF(LEN(N33)&gt;0,1,0)+IF(LEN(N34)&gt;0,1,0)+IF(LEN(N35)&gt;0,1,0)+IF(LEN(N36)&gt;0,1,0)+IF(LEN(N37)&gt;0,1,0)+IF(LEN(N38)&gt;0,1,0)+IF(LEN(N39)&gt;0,1,0)+IF(LEN(N40)&gt;0,1,0))&gt;1," · os outros estão na coluna N",""))</f>
        <v/>
      </c>
      <c r="B13" s="40" t="n"/>
      <c r="C13" s="40" t="n"/>
      <c r="D13" s="40" t="n"/>
      <c r="E13" s="40" t="n"/>
      <c r="F13" s="40" t="n"/>
      <c r="G13" s="40" t="n"/>
      <c r="H13" s="40" t="n"/>
      <c r="I13" s="40" t="n"/>
      <c r="J13" s="40" t="n"/>
      <c r="K13" s="40" t="n"/>
      <c r="L13" s="40" t="n"/>
      <c r="N13" s="13">
        <f>IF($AF$37="","",IF($AF$37="Quebrado","Quebrado é só de inimigos (20.3).",IF($AF$37="Morrendo","Morrendo liga sozinho com PV 0.",IF(COUNTIF('Dados'!$Y$6:$Y$18,$AF$37)=0,"Condição fora da lista de 21.5.",""))))</f>
        <v/>
      </c>
      <c r="P13" s="43" t="inlineStr">
        <is>
          <t>Bônus temporário no Teste de Ataque (antes do teto)</t>
        </is>
      </c>
      <c r="Q13" s="25">
        <f>2*$Q$12+IF(AND(($Q$6="Sim"),'Caminho'!$P$57="Catalisador"),1,0)+IF(AND(($Q$6="Sim"),COUNTIF('Caminho'!$Q$75:$Q$77,"Fusão de Memórias")&gt;0),1,0)+IF(AND(($Q$6="Sim"),(COUNTIF('Caminho'!$I$27:$I$36,"Memória Compartilhada")&gt;0)),1,0)+COUNTIF('Equipamento'!$P$45:$P$47,"Teste de Ataque")</f>
        <v/>
      </c>
      <c r="S13" s="25">
        <f>""&amp;'Caminho'!$I$33</f>
        <v/>
      </c>
      <c r="T13" s="25">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25">
        <f>IF(AND(LEN('Caminho'!$I$33)&gt;0,LEN('Caminho'!$H$33)&gt;0,'Caminho'!$H$33&lt;&gt;"Sem limite declarado"),1,0)</f>
        <v/>
      </c>
      <c r="V13" s="25">
        <f>IF(U13=1,MAX($V$2:V12)+1,0)</f>
        <v/>
      </c>
      <c r="W13" s="25" t="inlineStr">
        <is>
          <t>Intuição</t>
        </is>
      </c>
      <c r="X13" s="25">
        <f>X12+IF('Criação'!$E$81="Sim",1,0)</f>
        <v/>
      </c>
      <c r="Y13" s="25">
        <f>IF('Criação'!$E$81="Sim",X13,0)</f>
        <v/>
      </c>
      <c r="Z13" s="25">
        <f>'Testes'!$I$28</f>
        <v/>
      </c>
      <c r="AA13" s="25">
        <f>IF(LEN('Testes'!$J$28)&gt;0,"Vantagem","")</f>
        <v/>
      </c>
    </row>
    <row r="14" ht="14.25" customHeight="1">
      <c r="A14" s="14" t="inlineStr">
        <is>
          <t>Ações — Ataque Básico (18), Habilidades (16) e Ultimate (17)</t>
        </is>
      </c>
      <c r="N14" s="13">
        <f>IF($AF$38="","",IF($AF$38="Quebrado","Quebrado é só de inimigos (20.3).",IF($AF$38="Morrendo","Morrendo liga sozinho com PV 0.",IF(COUNTIF('Dados'!$Y$6:$Y$18,$AF$38)=0,"Condição fora da lista de 21.5.",""))))</f>
        <v/>
      </c>
      <c r="P14" s="43" t="inlineStr">
        <is>
          <t>Bônus temporário no Teste de Ataque (no teto)</t>
        </is>
      </c>
      <c r="Q14" s="25">
        <f>MIN('Criação'!$J$14,$Q$13)</f>
        <v/>
      </c>
      <c r="S14" s="25">
        <f>""&amp;'Caminho'!$I$34</f>
        <v/>
      </c>
      <c r="T14" s="25">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25">
        <f>IF(AND(LEN('Caminho'!$I$34)&gt;0,LEN('Caminho'!$H$34)&gt;0,'Caminho'!$H$34&lt;&gt;"Sem limite declarado"),1,0)</f>
        <v/>
      </c>
      <c r="V14" s="25">
        <f>IF(U14=1,MAX($V$2:V13)+1,0)</f>
        <v/>
      </c>
      <c r="W14" s="25" t="inlineStr">
        <is>
          <t>Investigação</t>
        </is>
      </c>
      <c r="X14" s="25">
        <f>X13+IF('Criação'!$E$82="Sim",1,0)</f>
        <v/>
      </c>
      <c r="Y14" s="25">
        <f>IF('Criação'!$E$82="Sim",X14,0)</f>
        <v/>
      </c>
      <c r="Z14" s="25">
        <f>'Testes'!$I$29</f>
        <v/>
      </c>
      <c r="AA14" s="25">
        <f>IF(LEN('Testes'!$J$29)&gt;0,"Vantagem","")</f>
        <v/>
      </c>
    </row>
    <row r="15" ht="14.25" customHeight="1">
      <c r="A15" s="47" t="inlineStr">
        <is>
          <t>Ataque Básico</t>
        </is>
      </c>
      <c r="B15" s="48" t="n"/>
      <c r="C15" s="47" t="inlineStr">
        <is>
          <t>Ataque</t>
        </is>
      </c>
      <c r="D15" s="47" t="inlineStr">
        <is>
          <t>Dano</t>
        </is>
      </c>
      <c r="E15" s="47" t="inlineStr">
        <is>
          <t>Média</t>
        </is>
      </c>
      <c r="F15" s="47" t="inlineStr">
        <is>
          <t>Do atributo</t>
        </is>
      </c>
      <c r="G15" s="47" t="inlineStr">
        <is>
          <t>Equipamento</t>
        </is>
      </c>
      <c r="H15" s="47" t="inlineStr">
        <is>
          <t>Contra Fraqueza</t>
        </is>
      </c>
      <c r="I15" s="47" t="inlineStr">
        <is>
          <t>Crítico</t>
        </is>
      </c>
      <c r="J15" s="47" t="inlineStr">
        <is>
          <t>RT</t>
        </is>
      </c>
      <c r="K15" s="47" t="inlineStr">
        <is>
          <t>Alcance · Elemento</t>
        </is>
      </c>
      <c r="L15" s="48" t="n"/>
      <c r="N15" s="13">
        <f>IF($AF$39="","",IF($AF$39="Quebrado","Quebrado é só de inimigos (20.3).",IF($AF$39="Morrendo","Morrendo liga sozinho com PV 0.",IF(COUNTIF('Dados'!$Y$6:$Y$18,$AF$39)=0,"Condição fora da lista de 21.5.",""))))</f>
        <v/>
      </c>
      <c r="P15" s="43" t="inlineStr">
        <is>
          <t>Defesa temporária (Florescimento, Memória da Guarda)</t>
        </is>
      </c>
      <c r="Q15" s="25">
        <f>$Q$8+IF(AND((COUNTIF('Caminho'!$I$27:$I$36,"Fragmentos do Eu Perdido")&gt;0),($Q$6="Sim"),'Caminho'!$P$95="Guarda"),'Criação'!$C$14,0)</f>
        <v/>
      </c>
      <c r="S15" s="25">
        <f>""&amp;'Caminho'!$I$35</f>
        <v/>
      </c>
      <c r="T15" s="25">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25">
        <f>IF(AND(LEN('Caminho'!$I$35)&gt;0,LEN('Caminho'!$H$35)&gt;0,'Caminho'!$H$35&lt;&gt;"Sem limite declarado"),1,0)</f>
        <v/>
      </c>
      <c r="V15" s="25">
        <f>IF(U15=1,MAX($V$2:V14)+1,0)</f>
        <v/>
      </c>
      <c r="W15" s="25" t="inlineStr">
        <is>
          <t>Persuasão</t>
        </is>
      </c>
      <c r="X15" s="25">
        <f>X14+IF('Criação'!$E$84="Sim",1,0)</f>
        <v/>
      </c>
      <c r="Y15" s="25">
        <f>IF('Criação'!$E$84="Sim",X15,0)</f>
        <v/>
      </c>
      <c r="Z15" s="25">
        <f>'Testes'!$I$31</f>
        <v/>
      </c>
      <c r="AA15" s="25">
        <f>IF(LEN('Testes'!$J$31)&gt;0,"Vantagem","")</f>
        <v/>
      </c>
    </row>
    <row r="16" ht="14.25" customHeight="1">
      <c r="A16" s="49">
        <f>IF('Criação'!$Q$108="","Arma principal: —",IF(LEN('Criação'!$Q$107)=0,"Arma "&amp;'Criação'!$Q$108,""&amp;'Criação'!$Q$107))</f>
        <v/>
      </c>
      <c r="B16" s="40" t="n"/>
      <c r="C16" s="45">
        <f>'Equipamento'!$B$13</f>
        <v/>
      </c>
      <c r="D16" s="45">
        <f>'Equipamento'!$C$13</f>
        <v/>
      </c>
      <c r="E16" s="39">
        <f>'Equipamento'!$D$13</f>
        <v/>
      </c>
      <c r="F16" s="39">
        <f>'Equipamento'!$E$13</f>
        <v/>
      </c>
      <c r="G16" s="39">
        <f>'Equipamento'!$F$13</f>
        <v/>
      </c>
      <c r="H16" s="39">
        <f>IF(LEN('Equipamento'!$G$13)=0,"",'Equipamento'!$G$13&amp;" ("&amp;'Equipamento'!$H$13&amp;")")</f>
        <v/>
      </c>
      <c r="I16" s="39">
        <f>'Equipamento'!$I$13</f>
        <v/>
      </c>
      <c r="J16" s="39">
        <f>'Equipamento'!$J$13</f>
        <v/>
      </c>
      <c r="K16" s="39">
        <f>IF(LEN('Equipamento'!$K$13)=0,"",'Equipamento'!$K$13&amp;" · "&amp;'Equipamento'!$L$13)</f>
        <v/>
      </c>
      <c r="L16" s="40" t="n"/>
      <c r="N16" s="13">
        <f>IF($AF$40="","",IF($AF$40="Quebrado","Quebrado é só de inimigos (20.3).",IF($AF$40="Morrendo","Morrendo liga sozinho com PV 0.",IF(COUNTIF('Dados'!$Y$6:$Y$18,$AF$40)=0,"Condição fora da lista de 21.5.",""))))</f>
        <v/>
      </c>
      <c r="P16" s="43" t="inlineStr">
        <is>
          <t>Defesa com temporários</t>
        </is>
      </c>
      <c r="Q16" s="25">
        <f>'Criação'!$D$96+MIN('Criação'!$J$14,$Q$15)</f>
        <v/>
      </c>
      <c r="S16" s="25">
        <f>""&amp;'Caminho'!$I$36</f>
        <v/>
      </c>
      <c r="T16" s="25">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25">
        <f>IF(AND(LEN('Caminho'!$I$36)&gt;0,LEN('Caminho'!$H$36)&gt;0,'Caminho'!$H$36&lt;&gt;"Sem limite declarado"),1,0)</f>
        <v/>
      </c>
      <c r="V16" s="25">
        <f>IF(U16=1,MAX($V$2:V15)+1,0)</f>
        <v/>
      </c>
      <c r="W16" s="25" t="inlineStr">
        <is>
          <t>Intimidação</t>
        </is>
      </c>
      <c r="X16" s="25">
        <f>X15+IF('Criação'!$E$85="Sim",1,0)</f>
        <v/>
      </c>
      <c r="Y16" s="25">
        <f>IF('Criação'!$E$85="Sim",X16,0)</f>
        <v/>
      </c>
      <c r="Z16" s="25">
        <f>'Testes'!$I$32</f>
        <v/>
      </c>
      <c r="AA16" s="25">
        <f>IF(LEN('Testes'!$J$32)&gt;0,"Vantagem","")</f>
        <v/>
      </c>
    </row>
    <row r="17" ht="14.25" customHeight="1">
      <c r="A17" s="50">
        <f>IF('Equipamento'!$AE$8="","Arma secundária: —",IF(LEN('Equipamento'!$AD$8)=0,"Arma "&amp;'Equipamento'!$AE$8,""&amp;'Equipamento'!$AD$8))</f>
        <v/>
      </c>
      <c r="B17" s="40" t="n"/>
      <c r="C17" s="51">
        <f>'Equipamento'!$B$14</f>
        <v/>
      </c>
      <c r="D17" s="51">
        <f>'Equipamento'!$C$14</f>
        <v/>
      </c>
      <c r="E17" s="52">
        <f>'Equipamento'!$D$14</f>
        <v/>
      </c>
      <c r="F17" s="52">
        <f>'Equipamento'!$E$14</f>
        <v/>
      </c>
      <c r="G17" s="52">
        <f>'Equipamento'!$F$14</f>
        <v/>
      </c>
      <c r="H17" s="52">
        <f>IF(LEN('Equipamento'!$G$14)=0,"",'Equipamento'!$G$14&amp;" ("&amp;'Equipamento'!$H$14&amp;")")</f>
        <v/>
      </c>
      <c r="I17" s="52">
        <f>'Equipamento'!$I$14</f>
        <v/>
      </c>
      <c r="J17" s="52">
        <f>'Equipamento'!$J$14</f>
        <v/>
      </c>
      <c r="K17" s="52">
        <f>IF(LEN('Equipamento'!$K$14)=0,"",'Equipamento'!$K$14&amp;" · "&amp;'Equipamento'!$L$14)</f>
        <v/>
      </c>
      <c r="L17" s="40" t="n"/>
      <c r="N17" s="13">
        <f>IF(MAX($V$2:$V$16)&gt;8,"Mais usos do que cabem aqui: veja a frequência das Bênçãos na aba Caminho.","")</f>
        <v/>
      </c>
      <c r="P17" s="43" t="inlineStr">
        <is>
          <t>Teto de Barreira (Preservação)</t>
        </is>
      </c>
      <c r="Q17" s="25">
        <f>IF('Criação'!$Q$33="A Preservação",3*'Criação'!$C$14,"")</f>
        <v/>
      </c>
      <c r="W17" s="25" t="inlineStr">
        <is>
          <t>Enganação</t>
        </is>
      </c>
      <c r="X17" s="25">
        <f>X16+IF('Criação'!$E$86="Sim",1,0)</f>
        <v/>
      </c>
      <c r="Y17" s="25">
        <f>IF('Criação'!$E$86="Sim",X17,0)</f>
        <v/>
      </c>
      <c r="Z17" s="25">
        <f>'Testes'!$I$33</f>
        <v/>
      </c>
      <c r="AA17" s="25">
        <f>IF(LEN('Testes'!$J$33)&gt;0,"Vantagem","")</f>
        <v/>
      </c>
    </row>
    <row r="18" ht="14.25" customHeight="1">
      <c r="A18" s="47" t="inlineStr">
        <is>
          <t>Habilidade</t>
        </is>
      </c>
      <c r="B18" s="48" t="n"/>
      <c r="C18" s="47" t="inlineStr">
        <is>
          <t>Rolagem</t>
        </is>
      </c>
      <c r="D18" s="47" t="inlineStr">
        <is>
          <t>Dano · média</t>
        </is>
      </c>
      <c r="E18" s="47" t="inlineStr">
        <is>
          <t>Nível · PH · RT · alvos</t>
        </is>
      </c>
      <c r="F18" s="48" t="n"/>
      <c r="G18" s="47" t="inlineStr">
        <is>
          <t>Habilidade</t>
        </is>
      </c>
      <c r="H18" s="48" t="n"/>
      <c r="I18" s="47" t="inlineStr">
        <is>
          <t>Rolagem</t>
        </is>
      </c>
      <c r="J18" s="47" t="inlineStr">
        <is>
          <t>Dano · média</t>
        </is>
      </c>
      <c r="K18" s="47" t="inlineStr">
        <is>
          <t>Nível · PH · RT · alvos</t>
        </is>
      </c>
      <c r="L18" s="48" t="n"/>
      <c r="N18" s="13">
        <f>IF(AND(ISNUMBER($AO$33),$AO$33&gt;2),"Descanso Curto: até 2 por dia (23.6).","")</f>
        <v/>
      </c>
      <c r="P18" s="43" t="inlineStr">
        <is>
          <t>Silenciado</t>
        </is>
      </c>
      <c r="Q18" s="25">
        <f>IF(COUNTIF($AF$37:$AF$40,"Silenciado")&gt;0,1,0)</f>
        <v/>
      </c>
      <c r="W18" s="25" t="inlineStr">
        <is>
          <t>Liderança</t>
        </is>
      </c>
      <c r="X18" s="25">
        <f>X17+IF('Criação'!$E$87="Sim",1,0)</f>
        <v/>
      </c>
      <c r="Y18" s="25">
        <f>IF('Criação'!$E$87="Sim",X18,0)</f>
        <v/>
      </c>
      <c r="Z18" s="25">
        <f>'Testes'!$I$34</f>
        <v/>
      </c>
      <c r="AA18" s="25">
        <f>IF(LEN('Testes'!$J$34)&gt;0,"Vantagem","")</f>
        <v/>
      </c>
    </row>
    <row r="19" ht="14.25" customHeight="1">
      <c r="A19" s="49">
        <f>IF('Habilidades'!$P$12=0,"—",'Habilidades'!$B$34)</f>
        <v/>
      </c>
      <c r="B19" s="40" t="n"/>
      <c r="C19" s="45">
        <f>IF('Habilidades'!$P$12=0,"",IF(LEN(IF($Q$19=1,"BLOQUEADA",IF(AND($Q$18=1,'Habilidades'!$S$12&gt;=4),"BLOQUEADA","")))&gt;0,IF($Q$19=1,"BLOQUEADA",IF(AND($Q$18=1,'Habilidades'!$S$12&gt;=4),"BLOQUEADA","")),IF(LEN('Habilidades'!$F$34)=0,IF('Habilidades'!$Z$12="Passiva","Passiva","—"),'Habilidades'!$F$34)))</f>
        <v/>
      </c>
      <c r="D19" s="39">
        <f>IF(LEN('Habilidades'!$D$34)=0,"",'Habilidades'!$D$34&amp;" ("&amp;'Habilidades'!$E$34&amp;")")</f>
        <v/>
      </c>
      <c r="E19" s="39">
        <f>IF('Habilidades'!$P$12=0,"",'Habilidades'!$S$12&amp;" · "&amp;'Habilidades'!$G$34&amp;" PH · RT "&amp;'Habilidades'!$H$34&amp;" · "&amp;'Habilidades'!$J$34&amp;IF('Habilidades'!$J$34=1," alvo"," alvos"))</f>
        <v/>
      </c>
      <c r="F19" s="40" t="n"/>
      <c r="G19" s="39">
        <f>IF('Habilidades'!$P$16=0,"—",'Habilidades'!$B$38)</f>
        <v/>
      </c>
      <c r="H19" s="40" t="n"/>
      <c r="I19" s="45">
        <f>IF('Habilidades'!$P$16=0,"",IF(LEN(IF($Q$19=1,"BLOQUEADA",IF(AND($Q$18=1,'Habilidades'!$S$16&gt;=4),"BLOQUEADA","")))&gt;0,IF($Q$19=1,"BLOQUEADA",IF(AND($Q$18=1,'Habilidades'!$S$16&gt;=4),"BLOQUEADA","")),IF(LEN('Habilidades'!$F$38)=0,IF('Habilidades'!$Z$16="Passiva","Passiva","—"),'Habilidades'!$F$38)))</f>
        <v/>
      </c>
      <c r="J19" s="39">
        <f>IF(LEN('Habilidades'!$D$38)=0,"",'Habilidades'!$D$38&amp;" ("&amp;'Habilidades'!$E$38&amp;")")</f>
        <v/>
      </c>
      <c r="K19" s="39">
        <f>IF('Habilidades'!$P$16=0,"",'Habilidades'!$S$16&amp;" · "&amp;'Habilidades'!$G$38&amp;" PH · RT "&amp;'Habilidades'!$H$38&amp;" · "&amp;'Habilidades'!$J$38&amp;IF('Habilidades'!$J$38=1," alvo"," alvos"))</f>
        <v/>
      </c>
      <c r="L19" s="40" t="n"/>
      <c r="N19" s="13">
        <f>IF($Q$13&gt;'Criação'!$J$14,"Bônus temporário no Teste de Ataque acima do teto (+"&amp;'Criação'!$J$14&amp;"): conta só o teto (26.6). ","")&amp;IF($Q$15&gt;'Criação'!$J$14,"Defesa temporária acima do teto (+"&amp;'Criação'!$J$14&amp;"): conta só o teto (26.6).","")</f>
        <v/>
      </c>
      <c r="P19" s="43" t="inlineStr">
        <is>
          <t>Controlado</t>
        </is>
      </c>
      <c r="Q19" s="25">
        <f>IF(COUNTIF($AF$37:$AF$40,"Controlado")&gt;0,1,0)</f>
        <v/>
      </c>
      <c r="W19" s="25" t="inlineStr">
        <is>
          <t>Sintonia</t>
        </is>
      </c>
      <c r="X19" s="25">
        <f>X18+IF('Criação'!$E$88="Sim",1,0)</f>
        <v/>
      </c>
      <c r="Y19" s="25">
        <f>IF('Criação'!$E$88="Sim",X19,0)</f>
        <v/>
      </c>
      <c r="Z19" s="25">
        <f>'Testes'!$I$35</f>
        <v/>
      </c>
      <c r="AA19" s="25">
        <f>IF(LEN('Testes'!$J$35)&gt;0,"Vantagem","")</f>
        <v/>
      </c>
    </row>
    <row r="20" ht="14.25" customHeight="1">
      <c r="A20" s="50">
        <f>IF('Habilidades'!$P$13=0,"—",'Habilidades'!$B$35)</f>
        <v/>
      </c>
      <c r="B20" s="40" t="n"/>
      <c r="C20" s="51">
        <f>IF('Habilidades'!$P$13=0,"",IF(LEN(IF($Q$19=1,"BLOQUEADA",IF(AND($Q$18=1,'Habilidades'!$S$13&gt;=4),"BLOQUEADA","")))&gt;0,IF($Q$19=1,"BLOQUEADA",IF(AND($Q$18=1,'Habilidades'!$S$13&gt;=4),"BLOQUEADA","")),IF(LEN('Habilidades'!$F$35)=0,IF('Habilidades'!$Z$13="Passiva","Passiva","—"),'Habilidades'!$F$35)))</f>
        <v/>
      </c>
      <c r="D20" s="52">
        <f>IF(LEN('Habilidades'!$D$35)=0,"",'Habilidades'!$D$35&amp;" ("&amp;'Habilidades'!$E$35&amp;")")</f>
        <v/>
      </c>
      <c r="E20" s="52">
        <f>IF('Habilidades'!$P$13=0,"",'Habilidades'!$S$13&amp;" · "&amp;'Habilidades'!$G$35&amp;" PH · RT "&amp;'Habilidades'!$H$35&amp;" · "&amp;'Habilidades'!$J$35&amp;IF('Habilidades'!$J$35=1," alvo"," alvos"))</f>
        <v/>
      </c>
      <c r="F20" s="40" t="n"/>
      <c r="G20" s="52">
        <f>IF('Habilidades'!$P$17=0,"—",'Habilidades'!$B$39)</f>
        <v/>
      </c>
      <c r="H20" s="40" t="n"/>
      <c r="I20" s="51">
        <f>IF('Habilidades'!$P$17=0,"",IF(LEN(IF($Q$19=1,"BLOQUEADA",IF(AND($Q$18=1,'Habilidades'!$S$17&gt;=4),"BLOQUEADA","")))&gt;0,IF($Q$19=1,"BLOQUEADA",IF(AND($Q$18=1,'Habilidades'!$S$17&gt;=4),"BLOQUEADA","")),IF(LEN('Habilidades'!$F$39)=0,IF('Habilidades'!$Z$17="Passiva","Passiva","—"),'Habilidades'!$F$39)))</f>
        <v/>
      </c>
      <c r="J20" s="52">
        <f>IF(LEN('Habilidades'!$D$39)=0,"",'Habilidades'!$D$39&amp;" ("&amp;'Habilidades'!$E$39&amp;")")</f>
        <v/>
      </c>
      <c r="K20" s="52">
        <f>IF('Habilidades'!$P$17=0,"",'Habilidades'!$S$17&amp;" · "&amp;'Habilidades'!$G$39&amp;" PH · RT "&amp;'Habilidades'!$H$39&amp;" · "&amp;'Habilidades'!$J$39&amp;IF('Habilidades'!$J$39=1," alvo"," alvos"))</f>
        <v/>
      </c>
      <c r="L20" s="40" t="n"/>
      <c r="N20" s="13">
        <f>IF($Q$21=1,"Surpreso: a sua casa é pulada no primeiro Ciclo.","")</f>
        <v/>
      </c>
      <c r="P20" s="43" t="inlineStr">
        <is>
          <t>Lentidão (condição ou carga)</t>
        </is>
      </c>
      <c r="Q20" s="25">
        <f>IF(OR(COUNTIF($AF$37:$AF$40,"Lentidão")&gt;0,'Equipamento'!$B$58="Lentidão"),1,0)</f>
        <v/>
      </c>
    </row>
    <row r="21" ht="14.25" customHeight="1">
      <c r="A21" s="49">
        <f>IF('Habilidades'!$P$14=0,"—",'Habilidades'!$B$36)</f>
        <v/>
      </c>
      <c r="B21" s="40" t="n"/>
      <c r="C21" s="45">
        <f>IF('Habilidades'!$P$14=0,"",IF(LEN(IF($Q$19=1,"BLOQUEADA",IF(AND($Q$18=1,'Habilidades'!$S$14&gt;=4),"BLOQUEADA","")))&gt;0,IF($Q$19=1,"BLOQUEADA",IF(AND($Q$18=1,'Habilidades'!$S$14&gt;=4),"BLOQUEADA","")),IF(LEN('Habilidades'!$F$36)=0,IF('Habilidades'!$Z$14="Passiva","Passiva","—"),'Habilidades'!$F$36)))</f>
        <v/>
      </c>
      <c r="D21" s="39">
        <f>IF(LEN('Habilidades'!$D$36)=0,"",'Habilidades'!$D$36&amp;" ("&amp;'Habilidades'!$E$36&amp;")")</f>
        <v/>
      </c>
      <c r="E21" s="39">
        <f>IF('Habilidades'!$P$14=0,"",'Habilidades'!$S$14&amp;" · "&amp;'Habilidades'!$G$36&amp;" PH · RT "&amp;'Habilidades'!$H$36&amp;" · "&amp;'Habilidades'!$J$36&amp;IF('Habilidades'!$J$36=1," alvo"," alvos"))</f>
        <v/>
      </c>
      <c r="F21" s="40" t="n"/>
      <c r="G21" s="39">
        <f>IF('Habilidades'!$P$18=0,"—",'Habilidades'!$B$40)</f>
        <v/>
      </c>
      <c r="H21" s="40" t="n"/>
      <c r="I21" s="45">
        <f>IF('Habilidades'!$P$18=0,"",IF(LEN(IF($Q$19=1,"BLOQUEADA",IF(AND($Q$18=1,'Habilidades'!$S$18&gt;=4),"BLOQUEADA","")))&gt;0,IF($Q$19=1,"BLOQUEADA",IF(AND($Q$18=1,'Habilidades'!$S$18&gt;=4),"BLOQUEADA","")),IF(LEN('Habilidades'!$F$40)=0,IF('Habilidades'!$Z$18="Passiva","Passiva","—"),'Habilidades'!$F$40)))</f>
        <v/>
      </c>
      <c r="J21" s="39">
        <f>IF(LEN('Habilidades'!$D$40)=0,"",'Habilidades'!$D$40&amp;" ("&amp;'Habilidades'!$E$40&amp;")")</f>
        <v/>
      </c>
      <c r="K21" s="39">
        <f>IF('Habilidades'!$P$18=0,"",'Habilidades'!$S$18&amp;" · "&amp;'Habilidades'!$G$40&amp;" PH · RT "&amp;'Habilidades'!$H$40&amp;" · "&amp;'Habilidades'!$J$40&amp;IF('Habilidades'!$J$40=1," alvo"," alvos"))</f>
        <v/>
      </c>
      <c r="L21" s="40" t="n"/>
      <c r="P21" s="43" t="inlineStr">
        <is>
          <t>Surpreso</t>
        </is>
      </c>
      <c r="Q21" s="25">
        <f>IF(COUNTIF($AF$37:$AF$40,"Surpreso")&gt;0,1,0)</f>
        <v/>
      </c>
    </row>
    <row r="22" ht="14.25" customHeight="1">
      <c r="A22" s="50">
        <f>IF('Habilidades'!$P$15=0,"—",'Habilidades'!$B$37)</f>
        <v/>
      </c>
      <c r="B22" s="40" t="n"/>
      <c r="C22" s="51">
        <f>IF('Habilidades'!$P$15=0,"",IF(LEN(IF($Q$19=1,"BLOQUEADA",IF(AND($Q$18=1,'Habilidades'!$S$15&gt;=4),"BLOQUEADA","")))&gt;0,IF($Q$19=1,"BLOQUEADA",IF(AND($Q$18=1,'Habilidades'!$S$15&gt;=4),"BLOQUEADA","")),IF(LEN('Habilidades'!$F$37)=0,IF('Habilidades'!$Z$15="Passiva","Passiva","—"),'Habilidades'!$F$37)))</f>
        <v/>
      </c>
      <c r="D22" s="52">
        <f>IF(LEN('Habilidades'!$D$37)=0,"",'Habilidades'!$D$37&amp;" ("&amp;'Habilidades'!$E$37&amp;")")</f>
        <v/>
      </c>
      <c r="E22" s="52">
        <f>IF('Habilidades'!$P$15=0,"",'Habilidades'!$S$15&amp;" · "&amp;'Habilidades'!$G$37&amp;" PH · RT "&amp;'Habilidades'!$H$37&amp;" · "&amp;'Habilidades'!$J$37&amp;IF('Habilidades'!$J$37=1," alvo"," alvos"))</f>
        <v/>
      </c>
      <c r="F22" s="40" t="n"/>
      <c r="G22" s="52">
        <f>IF('Habilidades'!$P$19=0,"—",'Habilidades'!$B$41)</f>
        <v/>
      </c>
      <c r="H22" s="40" t="n"/>
      <c r="I22" s="51">
        <f>IF('Habilidades'!$P$19=0,"",IF(LEN(IF($Q$19=1,"BLOQUEADA",IF(AND($Q$18=1,'Habilidades'!$S$19&gt;=4),"BLOQUEADA","")))&gt;0,IF($Q$19=1,"BLOQUEADA",IF(AND($Q$18=1,'Habilidades'!$S$19&gt;=4),"BLOQUEADA","")),IF(LEN('Habilidades'!$F$41)=0,IF('Habilidades'!$Z$19="Passiva","Passiva","—"),'Habilidades'!$F$41)))</f>
        <v/>
      </c>
      <c r="J22" s="52">
        <f>IF(LEN('Habilidades'!$D$41)=0,"",'Habilidades'!$D$41&amp;" ("&amp;'Habilidades'!$E$41&amp;")")</f>
        <v/>
      </c>
      <c r="K22" s="52">
        <f>IF('Habilidades'!$P$19=0,"",'Habilidades'!$S$19&amp;" · "&amp;'Habilidades'!$G$41&amp;" PH · RT "&amp;'Habilidades'!$H$41&amp;" · "&amp;'Habilidades'!$J$41&amp;IF('Habilidades'!$J$41=1," alvo"," alvos"))</f>
        <v/>
      </c>
      <c r="L22" s="40" t="n"/>
      <c r="P22" s="43" t="inlineStr">
        <is>
          <t>Ultimate pronta</t>
        </is>
      </c>
      <c r="Q22" s="25">
        <f>IF($Q$5&gt;='Habilidades'!$G$61,"Sim","Não")</f>
        <v/>
      </c>
    </row>
    <row r="23" ht="14.25" customHeight="1">
      <c r="A23" s="49">
        <f>IF(LEN('Habilidades'!$Z$54)=0,"Ultimate: —",""&amp;'Habilidades'!$Z$54)</f>
        <v/>
      </c>
      <c r="B23" s="40" t="n"/>
      <c r="C23" s="45">
        <f>IF(LEN(IF($Q$19=1,"BLOQUEADA",""))&gt;0,IF($Q$19=1,"BLOQUEADA",""),IF(LEN('Habilidades'!$F$61)=0,"—",'Habilidades'!$F$61))</f>
        <v/>
      </c>
      <c r="D23" s="39">
        <f>IF(LEN('Habilidades'!$D$61)=0,"",'Habilidades'!$D$61&amp;" ("&amp;'Habilidades'!$E$61&amp;")")</f>
        <v/>
      </c>
      <c r="E23" s="39">
        <f>"RT "&amp;'Habilidades'!$H$61&amp;" · "&amp;'Habilidades'!$I$61&amp;IF('Habilidades'!$I$61=1," alvo"," alvos")</f>
        <v/>
      </c>
      <c r="F23" s="40" t="n"/>
      <c r="G23" s="39">
        <f>"Ultimate ("&amp;$Q$5&amp;"/"&amp;'Habilidades'!$G$61&amp;" de Energia): "&amp;IF(LEN(IF($Q$19=1,"BLOQUEADA",""))&gt;0,"BLOQUEADA (Controlado)",IF($Q$22="Sim","pronta, diga o nome em voz alta","faltam "&amp;('Habilidades'!$G$61-$Q$5)))</f>
        <v/>
      </c>
      <c r="H23" s="40" t="n"/>
      <c r="I23" s="40" t="n"/>
      <c r="J23" s="40" t="n"/>
      <c r="K23" s="40" t="n"/>
      <c r="L23" s="40" t="n"/>
      <c r="P23" s="43" t="inlineStr">
        <is>
          <t>Condições ativas (texto inteiro)</t>
        </is>
      </c>
      <c r="Q23" s="25">
        <f>""&amp;$AF$37&amp;IF(LEN(""&amp;$AF$38)&gt;0,IF(LEN(""&amp;$AF$37)&gt;0," · ","")&amp;""&amp;$AF$38,"")&amp;IF(LEN(""&amp;$AF$39)&gt;0,IF(LEN(""&amp;$AF$37&amp;""&amp;$AF$38)&gt;0," · ","")&amp;""&amp;$AF$39,"")&amp;IF(LEN(""&amp;$AF$40)&gt;0,IF(LEN(""&amp;$AF$37&amp;""&amp;$AF$38&amp;""&amp;$AF$39)&gt;0," · ","")&amp;""&amp;$AF$40,"")&amp;IF(LEN(IF($Q$3="Sim","Morrendo",""))&gt;0,IF(LEN(""&amp;$AF$37&amp;""&amp;$AF$38&amp;""&amp;$AF$39&amp;""&amp;$AF$40)&gt;0," · ","")&amp;IF($Q$3="Sim","Morrendo",""),"")&amp;IF(LEN(IF('Equipamento'!$B$58&lt;&gt;"Normal","Lentidão (carga)",""))&gt;0,IF(LEN(""&amp;$AF$37&amp;""&amp;$AF$38&amp;""&amp;$AF$39&amp;""&amp;$AF$40&amp;IF($Q$3="Sim","Morrendo",""))&gt;0," · ","")&amp;IF('Equipamento'!$B$58&lt;&gt;"Normal","Lentidão (carga)",""),"")</f>
        <v/>
      </c>
    </row>
    <row r="24" ht="14.25" customHeight="1">
      <c r="A24" s="50">
        <f>"Neste ataque: "&amp;IF(AND(($Q$6="Sim"),(COUNTIF('Caminho'!$I$27:$I$36,"Memória Compartilhada")&gt;0)),"+1d6 (Memória Compartilhada) · ","")&amp;IF(AND(($Q$6="Sim"),(COUNTIF('Caminho'!$I$27:$I$36,"Fragmentos do Eu Perdido")&gt;0),'Caminho'!$P$95="Fúria"),"+1d8 (Memória da Fúria) · ","")&amp;IF($Q$7&gt;0,"+"&amp;$Q$7&amp;"d6 (Fúria) · ","")&amp;IF($Q$11&gt;0,"+"&amp;MIN('Criação'!$J$14,$Q$11)&amp;" de dano (Cicatriz) · ","")&amp;IF($Q$12=1,"+2 no ataque, já somado (Instinto) · ","")&amp;"temporários: no máximo +3 por rolagem, fora a Fraqueza (26.6)"</f>
        <v/>
      </c>
      <c r="B24" s="40" t="n"/>
      <c r="C24" s="40" t="n"/>
      <c r="D24" s="40" t="n"/>
      <c r="E24" s="40" t="n"/>
      <c r="F24" s="40" t="n"/>
      <c r="G24" s="40" t="n"/>
      <c r="H24" s="40" t="n"/>
      <c r="I24" s="40" t="n"/>
      <c r="J24" s="40" t="n"/>
      <c r="K24" s="40" t="n"/>
      <c r="L24" s="40" t="n"/>
      <c r="P24" s="43" t="inlineStr">
        <is>
          <t>Condições ativas (quantas)</t>
        </is>
      </c>
      <c r="Q24" s="25">
        <f>IF(LEN(""&amp;$AF$37)&gt;0,1,0)+IF(LEN(""&amp;$AF$38)&gt;0,1,0)+IF(LEN(""&amp;$AF$39)&gt;0,1,0)+IF(LEN(""&amp;$AF$40)&gt;0,1,0)+IF(LEN(IF($Q$3="Sim","Morrendo",""))&gt;0,1,0)+IF(LEN(IF('Equipamento'!$B$58&lt;&gt;"Normal","Lentidão (carga)",""))&gt;0,1,0)</f>
        <v/>
      </c>
    </row>
    <row r="25" ht="14.25" customHeight="1">
      <c r="A25" s="40" t="n"/>
      <c r="B25" s="40" t="n"/>
      <c r="C25" s="40" t="n"/>
      <c r="D25" s="40" t="n"/>
      <c r="E25" s="40" t="n"/>
      <c r="F25" s="40" t="n"/>
      <c r="G25" s="40" t="n"/>
      <c r="H25" s="40" t="n"/>
      <c r="I25" s="40" t="n"/>
      <c r="J25" s="40" t="n"/>
      <c r="K25" s="40" t="n"/>
      <c r="L25" s="40" t="n"/>
      <c r="P25" s="43" t="inlineStr">
        <is>
          <t>Condições ativas (a primeira)</t>
        </is>
      </c>
      <c r="Q25" s="25">
        <f>IF(LEN(""&amp;$AF$37)&gt;0,""&amp;$AF$37,IF(LEN(""&amp;$AF$38)&gt;0,""&amp;$AF$38,IF(LEN(""&amp;$AF$39)&gt;0,""&amp;$AF$39,IF(LEN(""&amp;$AF$40)&gt;0,""&amp;$AF$40,IF(LEN(IF($Q$3="Sim","Morrendo",""))&gt;0,IF($Q$3="Sim","Morrendo",""),IF(LEN(IF('Equipamento'!$B$58&lt;&gt;"Normal","Lentidão (carga)",""))&gt;0,IF('Equipamento'!$B$58&lt;&gt;"Normal","Lentidão (carga)",""),""))))))</f>
        <v/>
      </c>
    </row>
    <row r="26" ht="14.25" customHeight="1">
      <c r="A26" s="14" t="inlineStr">
        <is>
          <t>Testes de Resistência (d20 + Bônus + Eficiência)</t>
        </is>
      </c>
      <c r="G26" s="14" t="inlineStr">
        <is>
          <t>Perícias com Eficiência (rolagem pronta)</t>
        </is>
      </c>
    </row>
    <row r="27" ht="14.25" customHeight="1">
      <c r="A27" s="44" t="inlineStr">
        <is>
          <t>Potência Física</t>
        </is>
      </c>
      <c r="B27" s="45">
        <f>'Testes'!$I$40</f>
        <v/>
      </c>
      <c r="C27" s="39">
        <f>IF(OR('Criação'!$Q$25="Xianzhouíta"),"Vantagem ("&amp;'Criação'!$Q$25&amp;")","")</f>
        <v/>
      </c>
      <c r="D27" s="40" t="n"/>
      <c r="E27" s="39">
        <f>IF('Testes'!$G$40=0,"",IF('Testes'!$G$40&gt;=0,"+","")&amp;'Testes'!$G$40&amp;" de equipamento/Bênção")</f>
        <v/>
      </c>
      <c r="F27" s="40" t="n"/>
      <c r="G27" s="45">
        <f>IFERROR(INDEX($W$2:$W$19,MATCH(1,$Y$2:$Y$19,0))&amp;IF(LEN($AB$2)&gt;0," · Vantagem",""),"")</f>
        <v/>
      </c>
      <c r="H27" s="40" t="n"/>
      <c r="I27" s="45">
        <f>IFERROR(INDEX($Z$2:$Z$19,MATCH(1,$Y$2:$Y$19,0)),"")</f>
        <v/>
      </c>
      <c r="J27" s="45">
        <f>IFERROR(INDEX($W$2:$W$19,MATCH(6,$Y$2:$Y$19,0))&amp;IF(LEN($AB$7)&gt;0," · Vantagem",""),"")</f>
        <v/>
      </c>
      <c r="K27" s="40" t="n"/>
      <c r="L27" s="45">
        <f>IFERROR(INDEX($Z$2:$Z$19,MATCH(6,$Y$2:$Y$19,0)),"")</f>
        <v/>
      </c>
    </row>
    <row r="28" ht="14.25" customHeight="1">
      <c r="A28" s="44" t="inlineStr">
        <is>
          <t>Reflexos</t>
        </is>
      </c>
      <c r="B28" s="45">
        <f>'Testes'!$I$41</f>
        <v/>
      </c>
      <c r="C28" s="39">
        <f>IF(OR('Criação'!$Q$25="Xianzhouíta"),"Vantagem ("&amp;'Criação'!$Q$25&amp;")","")</f>
        <v/>
      </c>
      <c r="D28" s="40" t="n"/>
      <c r="E28" s="39">
        <f>IF('Testes'!$G$41=0,"",IF('Testes'!$G$41&gt;=0,"+","")&amp;'Testes'!$G$41&amp;" de equipamento/Bênção")</f>
        <v/>
      </c>
      <c r="F28" s="40" t="n"/>
      <c r="G28" s="45">
        <f>IFERROR(INDEX($W$2:$W$19,MATCH(2,$Y$2:$Y$19,0))&amp;IF(LEN($AB$3)&gt;0," · Vantagem",""),"")</f>
        <v/>
      </c>
      <c r="H28" s="40" t="n"/>
      <c r="I28" s="45">
        <f>IFERROR(INDEX($Z$2:$Z$19,MATCH(2,$Y$2:$Y$19,0)),"")</f>
        <v/>
      </c>
      <c r="J28" s="45">
        <f>IFERROR(INDEX($W$2:$W$19,MATCH(7,$Y$2:$Y$19,0))&amp;IF(LEN($AB$8)&gt;0," · Vantagem",""),"")</f>
        <v/>
      </c>
      <c r="K28" s="40" t="n"/>
      <c r="L28" s="45">
        <f>IFERROR(INDEX($Z$2:$Z$19,MATCH(7,$Y$2:$Y$19,0)),"")</f>
        <v/>
      </c>
    </row>
    <row r="29" ht="14.25" customHeight="1">
      <c r="A29" s="44" t="inlineStr">
        <is>
          <t>Resistência Física</t>
        </is>
      </c>
      <c r="B29" s="45">
        <f>'Testes'!$I$42</f>
        <v/>
      </c>
      <c r="C29" s="39">
        <f>IF(OR('Criação'!$Q$25="Xianzhouíta"),"Vantagem ("&amp;'Criação'!$Q$25&amp;")","")</f>
        <v/>
      </c>
      <c r="D29" s="40" t="n"/>
      <c r="E29" s="39">
        <f>IF('Testes'!$G$42=0,"",IF('Testes'!$G$42&gt;=0,"+","")&amp;'Testes'!$G$42&amp;" de equipamento/Bênção")</f>
        <v/>
      </c>
      <c r="F29" s="40" t="n"/>
      <c r="G29" s="45">
        <f>IFERROR(INDEX($W$2:$W$19,MATCH(3,$Y$2:$Y$19,0))&amp;IF(LEN($AB$4)&gt;0," · Vantagem",""),"")</f>
        <v/>
      </c>
      <c r="H29" s="40" t="n"/>
      <c r="I29" s="45">
        <f>IFERROR(INDEX($Z$2:$Z$19,MATCH(3,$Y$2:$Y$19,0)),"")</f>
        <v/>
      </c>
      <c r="J29" s="45">
        <f>IFERROR(INDEX($W$2:$W$19,MATCH(8,$Y$2:$Y$19,0))&amp;IF(LEN($AB$9)&gt;0," · Vantagem",""),"")</f>
        <v/>
      </c>
      <c r="K29" s="40" t="n"/>
      <c r="L29" s="45">
        <f>IFERROR(INDEX($Z$2:$Z$19,MATCH(8,$Y$2:$Y$19,0)),"")</f>
        <v/>
      </c>
    </row>
    <row r="30" ht="14.25" customHeight="1">
      <c r="A30" s="44" t="inlineStr">
        <is>
          <t>Resistência Mental</t>
        </is>
      </c>
      <c r="B30" s="45">
        <f>'Testes'!$I$43</f>
        <v/>
      </c>
      <c r="C30" s="39">
        <f>IF(OR('Criação'!$Q$25="Xianzhouíta",'Criação'!$Q$25="Avginiano"),"Vantagem ("&amp;'Criação'!$Q$25&amp;")","")</f>
        <v/>
      </c>
      <c r="D30" s="40" t="n"/>
      <c r="E30" s="39">
        <f>IF('Testes'!$G$43=0,"",IF('Testes'!$G$43&gt;=0,"+","")&amp;'Testes'!$G$43&amp;" de equipamento/Bênção")</f>
        <v/>
      </c>
      <c r="F30" s="40" t="n"/>
      <c r="G30" s="45">
        <f>IFERROR(INDEX($W$2:$W$19,MATCH(4,$Y$2:$Y$19,0))&amp;IF(LEN($AB$5)&gt;0," · Vantagem",""),"")</f>
        <v/>
      </c>
      <c r="H30" s="40" t="n"/>
      <c r="I30" s="45">
        <f>IFERROR(INDEX($Z$2:$Z$19,MATCH(4,$Y$2:$Y$19,0)),"")</f>
        <v/>
      </c>
      <c r="J30" s="45">
        <f>IFERROR(INDEX($W$2:$W$19,MATCH(9,$Y$2:$Y$19,0))&amp;IF(LEN($AB$10)&gt;0," · Vantagem",""),"")</f>
        <v/>
      </c>
      <c r="K30" s="40" t="n"/>
      <c r="L30" s="45">
        <f>IFERROR(INDEX($Z$2:$Z$19,MATCH(9,$Y$2:$Y$19,0)),"")</f>
        <v/>
      </c>
    </row>
    <row r="31" ht="14.25" customHeight="1">
      <c r="A31" s="44" t="inlineStr">
        <is>
          <t>Percepção Mental</t>
        </is>
      </c>
      <c r="B31" s="45">
        <f>'Testes'!$I$44</f>
        <v/>
      </c>
      <c r="C31" s="39">
        <f>IF(OR('Criação'!$Q$25="Xianzhouíta",'Criação'!$Q$25="Avginiano"),"Vantagem ("&amp;'Criação'!$Q$25&amp;")","")</f>
        <v/>
      </c>
      <c r="D31" s="40" t="n"/>
      <c r="E31" s="39">
        <f>IF('Testes'!$G$44=0,"",IF('Testes'!$G$44&gt;=0,"+","")&amp;'Testes'!$G$44&amp;" de equipamento/Bênção")</f>
        <v/>
      </c>
      <c r="F31" s="40" t="n"/>
      <c r="G31" s="45">
        <f>IFERROR(INDEX($W$2:$W$19,MATCH(5,$Y$2:$Y$19,0))&amp;IF(LEN($AB$6)&gt;0," · Vantagem",""),"")</f>
        <v/>
      </c>
      <c r="H31" s="40" t="n"/>
      <c r="I31" s="45">
        <f>IFERROR(INDEX($Z$2:$Z$19,MATCH(5,$Y$2:$Y$19,0)),"")</f>
        <v/>
      </c>
      <c r="J31" s="45">
        <f>IFERROR(INDEX($W$2:$W$19,MATCH(10,$Y$2:$Y$19,0))&amp;IF(LEN($AB$11)&gt;0," · Vantagem",""),"")</f>
        <v/>
      </c>
      <c r="K31" s="40" t="n"/>
      <c r="L31" s="45">
        <f>IFERROR(INDEX($Z$2:$Z$19,MATCH(10,$Y$2:$Y$19,0)),"")</f>
        <v/>
      </c>
    </row>
    <row r="32" ht="14.25" customHeight="1">
      <c r="A32" s="44" t="inlineStr">
        <is>
          <t>Força de Vontade</t>
        </is>
      </c>
      <c r="B32" s="45">
        <f>'Testes'!$I$45</f>
        <v/>
      </c>
      <c r="C32" s="39">
        <f>IF(OR('Criação'!$Q$25="Xianzhouíta",'Criação'!$Q$25="Vulpes",'Criação'!$Q$25="Avginiano"),"Vantagem ("&amp;'Criação'!$Q$25&amp;")","")</f>
        <v/>
      </c>
      <c r="D32" s="40" t="n"/>
      <c r="E32" s="39">
        <f>IF('Testes'!$G$45=0,"",IF('Testes'!$G$45&gt;=0,"+","")&amp;'Testes'!$G$45&amp;" de equipamento/Bênção")</f>
        <v/>
      </c>
      <c r="F32" s="40" t="n"/>
      <c r="G32" s="14" t="inlineStr">
        <is>
          <t>Usos por combate e descanso (preencha os usados)</t>
        </is>
      </c>
    </row>
    <row r="33" ht="14.25" customHeight="1">
      <c r="A33" s="44" t="inlineStr">
        <is>
          <t>Morrendo (DT 10)</t>
        </is>
      </c>
      <c r="B33" s="45">
        <f>'Testes'!$I$46</f>
        <v/>
      </c>
      <c r="C33" s="41" t="inlineStr">
        <is>
          <t>Sucessos</t>
        </is>
      </c>
      <c r="D33" s="42" t="n"/>
      <c r="E33" s="41" t="inlineStr">
        <is>
          <t>Falhas</t>
        </is>
      </c>
      <c r="F33" s="42" t="n"/>
      <c r="G33" s="39">
        <f>IFERROR(INDEX($S$2:$S$16,MATCH(1,$V$2:$V$16,0))&amp;IF(LEN($AC$2)&gt;0," · "&amp;$AC$2,""),"—")</f>
        <v/>
      </c>
      <c r="H33" s="40" t="n"/>
      <c r="I33" s="40" t="n"/>
      <c r="J33" s="42" t="n"/>
      <c r="K33" s="40" t="n"/>
      <c r="L33" s="40" t="n"/>
      <c r="N33" s="13">
        <f>IF(AP33&gt;0,"O Google leu como fórmula: digite de novo com ' na frente.","")</f>
        <v/>
      </c>
      <c r="AI33">
        <f>IF(ISERROR($D$33),"",IF(ISBLANK($D$33),"",$D$33))</f>
        <v/>
      </c>
      <c r="AK33">
        <f>IF(ISERROR($F$33),"",IF(ISBLANK($F$33),"",$F$33))</f>
        <v/>
      </c>
      <c r="AO33">
        <f>IF(ISERROR($J$33),"",IF(ISBLANK($J$33),"",$J$33))</f>
        <v/>
      </c>
      <c r="AP33">
        <f>ISERROR($D$33)*1+ISERROR($F$33)*1+ISERROR($J$33)*1</f>
        <v/>
      </c>
    </row>
    <row r="34" ht="14.25" customHeight="1">
      <c r="A34" s="44" t="inlineStr">
        <is>
          <t>Morrendo agora</t>
        </is>
      </c>
      <c r="B34" s="39">
        <f>IF(IF(ISNUMBER($AI$33),$AI$33,0)&gt;=3,"Estabiliza com 1 PV",IF(IF(ISNUMBER($AK$33),$AK$33,0)&gt;=3,"Morre",IF($Q$3="Sim",IF(ISNUMBER($AI$33),$AI$33,0)&amp;" sucesso(s), "&amp;IF(ISNUMBER($AK$33),$AK$33,0)&amp;" falha(s) (0 a 3 cada)","Não está Morrendo")))&amp;IF(LEN('Testes'!$J$46)&gt;0," · Vantagem","")</f>
        <v/>
      </c>
      <c r="C34" s="40" t="n"/>
      <c r="D34" s="40" t="n"/>
      <c r="E34" s="40" t="n"/>
      <c r="F34" s="40" t="n"/>
      <c r="G34" s="39">
        <f>IFERROR(INDEX($S$2:$S$16,MATCH(2,$V$2:$V$16,0))&amp;IF(LEN($AC$3)&gt;0," · "&amp;$AC$3,""),"—")</f>
        <v/>
      </c>
      <c r="H34" s="40" t="n"/>
      <c r="I34" s="40" t="n"/>
      <c r="J34" s="42" t="n"/>
      <c r="K34" s="40" t="n"/>
      <c r="L34" s="40" t="n"/>
      <c r="N34" s="13">
        <f>IF(AP34&gt;0,"O Google leu como fórmula: digite de novo com ' na frente.","")</f>
        <v/>
      </c>
      <c r="AP34">
        <f>ISERROR($J$34)*1</f>
        <v/>
      </c>
    </row>
    <row r="35" ht="14.25" customHeight="1">
      <c r="A35" s="14" t="inlineStr">
        <is>
          <t>Condições ativas (21.5) — Quebrado é só de inimigos</t>
        </is>
      </c>
      <c r="G35" s="39">
        <f>IFERROR(INDEX($S$2:$S$16,MATCH(3,$V$2:$V$16,0))&amp;IF(LEN($AC$4)&gt;0," · "&amp;$AC$4,""),"—")</f>
        <v/>
      </c>
      <c r="H35" s="40" t="n"/>
      <c r="I35" s="40" t="n"/>
      <c r="J35" s="42" t="n"/>
      <c r="K35" s="40" t="n"/>
      <c r="L35" s="40" t="n"/>
      <c r="N35" s="13">
        <f>IF(AP35&gt;0,"O Google leu como fórmula: digite de novo com ' na frente.","")</f>
        <v/>
      </c>
      <c r="AP35">
        <f>ISERROR($J$35)*1</f>
        <v/>
      </c>
    </row>
    <row r="36" ht="14.25" customHeight="1">
      <c r="A36" s="47" t="inlineStr">
        <is>
          <t>Condição (preencha)</t>
        </is>
      </c>
      <c r="B36" s="48" t="n"/>
      <c r="C36" s="47" t="inlineStr">
        <is>
          <t>Turnos</t>
        </is>
      </c>
      <c r="D36" s="47" t="inlineStr">
        <is>
          <t>Ef. aplicador</t>
        </is>
      </c>
      <c r="E36" s="47" t="inlineStr">
        <is>
          <t>Efeito (tique por turno)</t>
        </is>
      </c>
      <c r="F36" s="48" t="n"/>
      <c r="G36" s="39">
        <f>IFERROR(INDEX($S$2:$S$16,MATCH(4,$V$2:$V$16,0))&amp;IF(LEN($AC$5)&gt;0," · "&amp;$AC$5,""),"—")</f>
        <v/>
      </c>
      <c r="H36" s="40" t="n"/>
      <c r="I36" s="40" t="n"/>
      <c r="J36" s="42" t="n"/>
      <c r="K36" s="40" t="n"/>
      <c r="L36" s="40" t="n"/>
      <c r="N36" s="13">
        <f>IF(AP36&gt;0,"O Google leu como fórmula: digite de novo com ' na frente.","")</f>
        <v/>
      </c>
      <c r="AP36">
        <f>ISERROR($J$36)*1</f>
        <v/>
      </c>
    </row>
    <row r="37" ht="14.25" customHeight="1">
      <c r="A37" s="53" t="n"/>
      <c r="B37" s="54" t="n"/>
      <c r="C37" s="42" t="n"/>
      <c r="D37" s="42" t="n"/>
      <c r="E37" s="39">
        <f>IF($AF$37="","",IF(AND(ISNUMBER($AI$37),OR($AF$37="Sangramento",$AF$37="Queimadura",$AF$37="Choque",$AF$37="Aprisionamento")),IF($AF$37="Sangramento",$AD$2,$AD$2&amp;" por turno")&amp;IF($AF$37="Aprisionamento"," · Atrasa 2",""),IF($AF$37="Sangramento","5% dos PV máx. por turno",IF($AF$37="Queimadura","Contínuo 2d6 + Eficiência",IF($AF$37="Choque","Contínuo 1d6 + Eficiência",IF($AF$37="Cisalhamento de Vento","Contínuo 1d6 por acúmulo",IF($AF$37="Embaraço","1d6/acúmulo · Atrasa 1 casa",IF($AF$37="Aprisionamento","1d6 + Ef. · Atrasa 2 casas",IF($AF$37="Lentidão","só move com Esforço Total",IF($AF$37="Marcado","+1 Ataque de quem marcou",IF($AF$37="Silenciado","sem Habilidade de Nível 4+",IF($AF$37="Vulnerável","+1 dado de dano da fonte",IF($AF$37="Controlado","quem aplicou decide ações",IF($AF$37="Corrupção","+1 em toda DC do aplicador",IF($AF$37="Surpreso","casa pulada no 1º Ciclo","veja Regras Rápidas (21.5)")))))))))))))))</f>
        <v/>
      </c>
      <c r="F37" s="40" t="n"/>
      <c r="G37" s="39">
        <f>IFERROR(INDEX($S$2:$S$16,MATCH(5,$V$2:$V$16,0))&amp;IF(LEN($AC$6)&gt;0," · "&amp;$AC$6,""),"—")</f>
        <v/>
      </c>
      <c r="H37" s="40" t="n"/>
      <c r="I37" s="40" t="n"/>
      <c r="J37" s="42" t="n"/>
      <c r="K37" s="40" t="n"/>
      <c r="L37" s="40" t="n"/>
      <c r="N37" s="13">
        <f>IF(AP37&gt;0,"O Google leu como fórmula: escolha de novo ou digite com ' na frente.","")</f>
        <v/>
      </c>
      <c r="AF37">
        <f>IF(ISERROR($A$37),"",IF(ISBLANK($A$37),"",$A$37))</f>
        <v/>
      </c>
      <c r="AI37">
        <f>IF(ISERROR($D$37),"",IF(ISBLANK($D$37),"",$D$37))</f>
        <v/>
      </c>
      <c r="AP37">
        <f>ISERROR($A$37)*1+ISERROR($C$37)*1+ISERROR($D$37)*1+ISERROR($J$37)*1</f>
        <v/>
      </c>
    </row>
    <row r="38" ht="14.25" customHeight="1">
      <c r="A38" s="55" t="n"/>
      <c r="B38" s="54" t="n"/>
      <c r="C38" s="56" t="n"/>
      <c r="D38" s="56" t="n"/>
      <c r="E38" s="52">
        <f>IF($AF$38="","",IF(AND(ISNUMBER($AI$38),OR($AF$38="Sangramento",$AF$38="Queimadura",$AF$38="Choque",$AF$38="Aprisionamento")),IF($AF$38="Sangramento",$AD$3,$AD$3&amp;" por turno")&amp;IF($AF$38="Aprisionamento"," · Atrasa 2",""),IF($AF$38="Sangramento","5% dos PV máx. por turno",IF($AF$38="Queimadura","Contínuo 2d6 + Eficiência",IF($AF$38="Choque","Contínuo 1d6 + Eficiência",IF($AF$38="Cisalhamento de Vento","Contínuo 1d6 por acúmulo",IF($AF$38="Embaraço","1d6/acúmulo · Atrasa 1 casa",IF($AF$38="Aprisionamento","1d6 + Ef. · Atrasa 2 casas",IF($AF$38="Lentidão","só move com Esforço Total",IF($AF$38="Marcado","+1 Ataque de quem marcou",IF($AF$38="Silenciado","sem Habilidade de Nível 4+",IF($AF$38="Vulnerável","+1 dado de dano da fonte",IF($AF$38="Controlado","quem aplicou decide ações",IF($AF$38="Corrupção","+1 em toda DC do aplicador",IF($AF$38="Surpreso","casa pulada no 1º Ciclo","veja Regras Rápidas (21.5)")))))))))))))))</f>
        <v/>
      </c>
      <c r="F38" s="40" t="n"/>
      <c r="G38" s="39">
        <f>IFERROR(INDEX($S$2:$S$16,MATCH(6,$V$2:$V$16,0))&amp;IF(LEN($AC$7)&gt;0," · "&amp;$AC$7,""),"—")</f>
        <v/>
      </c>
      <c r="H38" s="40" t="n"/>
      <c r="I38" s="40" t="n"/>
      <c r="J38" s="42" t="n"/>
      <c r="K38" s="40" t="n"/>
      <c r="L38" s="40" t="n"/>
      <c r="N38" s="13">
        <f>IF(AP38&gt;0,"O Google leu como fórmula: escolha de novo ou digite com ' na frente.","")</f>
        <v/>
      </c>
      <c r="AF38">
        <f>IF(ISERROR($A$38),"",IF(ISBLANK($A$38),"",$A$38))</f>
        <v/>
      </c>
      <c r="AI38">
        <f>IF(ISERROR($D$38),"",IF(ISBLANK($D$38),"",$D$38))</f>
        <v/>
      </c>
      <c r="AP38">
        <f>ISERROR($A$38)*1+ISERROR($C$38)*1+ISERROR($D$38)*1+ISERROR($J$38)*1</f>
        <v/>
      </c>
    </row>
    <row r="39" ht="14.25" customHeight="1">
      <c r="A39" s="53" t="n"/>
      <c r="B39" s="54" t="n"/>
      <c r="C39" s="42" t="n"/>
      <c r="D39" s="42" t="n"/>
      <c r="E39" s="39">
        <f>IF($AF$39="","",IF(AND(ISNUMBER($AI$39),OR($AF$39="Sangramento",$AF$39="Queimadura",$AF$39="Choque",$AF$39="Aprisionamento")),IF($AF$39="Sangramento",$AD$4,$AD$4&amp;" por turno")&amp;IF($AF$39="Aprisionamento"," · Atrasa 2",""),IF($AF$39="Sangramento","5% dos PV máx. por turno",IF($AF$39="Queimadura","Contínuo 2d6 + Eficiência",IF($AF$39="Choque","Contínuo 1d6 + Eficiência",IF($AF$39="Cisalhamento de Vento","Contínuo 1d6 por acúmulo",IF($AF$39="Embaraço","1d6/acúmulo · Atrasa 1 casa",IF($AF$39="Aprisionamento","1d6 + Ef. · Atrasa 2 casas",IF($AF$39="Lentidão","só move com Esforço Total",IF($AF$39="Marcado","+1 Ataque de quem marcou",IF($AF$39="Silenciado","sem Habilidade de Nível 4+",IF($AF$39="Vulnerável","+1 dado de dano da fonte",IF($AF$39="Controlado","quem aplicou decide ações",IF($AF$39="Corrupção","+1 em toda DC do aplicador",IF($AF$39="Surpreso","casa pulada no 1º Ciclo","veja Regras Rápidas (21.5)")))))))))))))))</f>
        <v/>
      </c>
      <c r="F39" s="40" t="n"/>
      <c r="G39" s="39">
        <f>IFERROR(INDEX($S$2:$S$16,MATCH(7,$V$2:$V$16,0))&amp;IF(LEN($AC$8)&gt;0," · "&amp;$AC$8,""),"—")</f>
        <v/>
      </c>
      <c r="H39" s="40" t="n"/>
      <c r="I39" s="40" t="n"/>
      <c r="J39" s="42" t="n"/>
      <c r="K39" s="40" t="n"/>
      <c r="L39" s="40" t="n"/>
      <c r="N39" s="13">
        <f>IF(AP39&gt;0,"O Google leu como fórmula: escolha de novo ou digite com ' na frente.","")</f>
        <v/>
      </c>
      <c r="AF39">
        <f>IF(ISERROR($A$39),"",IF(ISBLANK($A$39),"",$A$39))</f>
        <v/>
      </c>
      <c r="AI39">
        <f>IF(ISERROR($D$39),"",IF(ISBLANK($D$39),"",$D$39))</f>
        <v/>
      </c>
      <c r="AP39">
        <f>ISERROR($A$39)*1+ISERROR($C$39)*1+ISERROR($D$39)*1+ISERROR($J$39)*1</f>
        <v/>
      </c>
    </row>
    <row r="40" ht="14.25" customHeight="1">
      <c r="A40" s="55" t="n"/>
      <c r="B40" s="54" t="n"/>
      <c r="C40" s="56" t="n"/>
      <c r="D40" s="56" t="n"/>
      <c r="E40" s="52">
        <f>IF($AF$40="","",IF(AND(ISNUMBER($AI$40),OR($AF$40="Sangramento",$AF$40="Queimadura",$AF$40="Choque",$AF$40="Aprisionamento")),IF($AF$40="Sangramento",$AD$5,$AD$5&amp;" por turno")&amp;IF($AF$40="Aprisionamento"," · Atrasa 2",""),IF($AF$40="Sangramento","5% dos PV máx. por turno",IF($AF$40="Queimadura","Contínuo 2d6 + Eficiência",IF($AF$40="Choque","Contínuo 1d6 + Eficiência",IF($AF$40="Cisalhamento de Vento","Contínuo 1d6 por acúmulo",IF($AF$40="Embaraço","1d6/acúmulo · Atrasa 1 casa",IF($AF$40="Aprisionamento","1d6 + Ef. · Atrasa 2 casas",IF($AF$40="Lentidão","só move com Esforço Total",IF($AF$40="Marcado","+1 Ataque de quem marcou",IF($AF$40="Silenciado","sem Habilidade de Nível 4+",IF($AF$40="Vulnerável","+1 dado de dano da fonte",IF($AF$40="Controlado","quem aplicou decide ações",IF($AF$40="Corrupção","+1 em toda DC do aplicador",IF($AF$40="Surpreso","casa pulada no 1º Ciclo","veja Regras Rápidas (21.5)")))))))))))))))</f>
        <v/>
      </c>
      <c r="F40" s="40" t="n"/>
      <c r="G40" s="39">
        <f>IFERROR(INDEX($S$2:$S$16,MATCH(8,$V$2:$V$16,0))&amp;IF(LEN($AC$9)&gt;0," · "&amp;$AC$9,""),"—")</f>
        <v/>
      </c>
      <c r="H40" s="40" t="n"/>
      <c r="I40" s="40" t="n"/>
      <c r="J40" s="42" t="n"/>
      <c r="K40" s="40" t="n"/>
      <c r="L40" s="40" t="n"/>
      <c r="N40" s="13">
        <f>IF(AP40&gt;0,"O Google leu como fórmula: escolha de novo ou digite com ' na frente.","")</f>
        <v/>
      </c>
      <c r="AF40">
        <f>IF(ISERROR($A$40),"",IF(ISBLANK($A$40),"",$A$40))</f>
        <v/>
      </c>
      <c r="AI40">
        <f>IF(ISERROR($D$40),"",IF(ISBLANK($D$40),"",$D$40))</f>
        <v/>
      </c>
      <c r="AP40">
        <f>ISERROR($A$40)*1+ISERROR($C$40)*1+ISERROR($D$40)*1+ISERROR($J$40)*1</f>
        <v/>
      </c>
    </row>
    <row r="41"/>
    <row r="42" ht="24" customHeight="1">
      <c r="A42" s="1" t="inlineStr">
        <is>
          <t>Em Jogo — Explorando Galáxias v1.2</t>
        </is>
      </c>
    </row>
    <row r="43" ht="26" customHeight="1">
      <c r="A43" s="16" t="inlineStr">
        <is>
          <t>Legenda:</t>
        </is>
      </c>
      <c r="B43" s="3" t="inlineStr">
        <is>
          <t>Entrada (preencha)</t>
        </is>
      </c>
      <c r="C43" s="4" t="inlineStr">
        <is>
          <t>Calculada (automático)</t>
        </is>
      </c>
      <c r="D43" s="5" t="inlineStr">
        <is>
          <t>Aviso (texto em vermelho)</t>
        </is>
      </c>
      <c r="E43" s="6" t="inlineStr">
        <is>
          <t>Título de bloco</t>
        </is>
      </c>
      <c r="F43" s="7" t="inlineStr">
        <is>
          <t>Cabeçalho de coluna</t>
        </is>
      </c>
      <c r="G43" s="8" t="inlineStr">
        <is>
          <t>Rótulo da linha</t>
        </is>
      </c>
      <c r="H43" s="9" t="inlineStr">
        <is>
          <t>Linha alternada (outro tom)</t>
        </is>
      </c>
      <c r="I43" s="10" t="inlineStr">
        <is>
          <t>Não se aplica</t>
        </is>
      </c>
    </row>
    <row r="44">
      <c r="A44" s="11" t="inlineStr">
        <is>
          <t>Tudo que se usa na mesa, numa tela só.</t>
        </is>
      </c>
    </row>
  </sheetData>
  <mergeCells count="110">
    <mergeCell ref="B11:D11"/>
    <mergeCell ref="G21:H21"/>
    <mergeCell ref="G38:I38"/>
    <mergeCell ref="A15:B15"/>
    <mergeCell ref="I1:L1"/>
    <mergeCell ref="E23:F23"/>
    <mergeCell ref="J28:K28"/>
    <mergeCell ref="G18:H18"/>
    <mergeCell ref="B6:D6"/>
    <mergeCell ref="G32:L32"/>
    <mergeCell ref="B34:F34"/>
    <mergeCell ref="K2:L2"/>
    <mergeCell ref="C27:D27"/>
    <mergeCell ref="B4:D4"/>
    <mergeCell ref="E27:F27"/>
    <mergeCell ref="E36:F36"/>
    <mergeCell ref="J31:K31"/>
    <mergeCell ref="A17:B17"/>
    <mergeCell ref="E1:H1"/>
    <mergeCell ref="E10:H10"/>
    <mergeCell ref="A22:B22"/>
    <mergeCell ref="G20:H20"/>
    <mergeCell ref="G36:I36"/>
    <mergeCell ref="A19:B19"/>
    <mergeCell ref="C28:D28"/>
    <mergeCell ref="E22:F22"/>
    <mergeCell ref="G22:H22"/>
    <mergeCell ref="A39:B39"/>
    <mergeCell ref="C30:D30"/>
    <mergeCell ref="G37:I37"/>
    <mergeCell ref="B8:D8"/>
    <mergeCell ref="K15:L15"/>
    <mergeCell ref="K21:L21"/>
    <mergeCell ref="B10:D10"/>
    <mergeCell ref="E38:F38"/>
    <mergeCell ref="E12:H12"/>
    <mergeCell ref="A37:B37"/>
    <mergeCell ref="B9:D9"/>
    <mergeCell ref="A14:L14"/>
    <mergeCell ref="J27:K27"/>
    <mergeCell ref="A35:F35"/>
    <mergeCell ref="E40:F40"/>
    <mergeCell ref="B5:D5"/>
    <mergeCell ref="K17:L17"/>
    <mergeCell ref="A24:L24"/>
    <mergeCell ref="K10:L10"/>
    <mergeCell ref="K19:L19"/>
    <mergeCell ref="G23:L23"/>
    <mergeCell ref="K6:L6"/>
    <mergeCell ref="E18:F18"/>
    <mergeCell ref="K3:L3"/>
    <mergeCell ref="K16:L16"/>
    <mergeCell ref="J29:K29"/>
    <mergeCell ref="G2:H2"/>
    <mergeCell ref="K5:L5"/>
    <mergeCell ref="A36:B36"/>
    <mergeCell ref="G34:I34"/>
    <mergeCell ref="A26:F26"/>
    <mergeCell ref="E39:F39"/>
    <mergeCell ref="K11:L11"/>
    <mergeCell ref="E20:F20"/>
    <mergeCell ref="C29:D29"/>
    <mergeCell ref="I9:L9"/>
    <mergeCell ref="E29:F29"/>
    <mergeCell ref="A42:L42"/>
    <mergeCell ref="C31:D31"/>
    <mergeCell ref="E31:F31"/>
    <mergeCell ref="A1:D1"/>
    <mergeCell ref="A21:B21"/>
    <mergeCell ref="K8:L8"/>
    <mergeCell ref="A13:L13"/>
    <mergeCell ref="G40:I40"/>
    <mergeCell ref="A44:L44"/>
    <mergeCell ref="A23:B23"/>
    <mergeCell ref="A38:B38"/>
    <mergeCell ref="C32:D32"/>
    <mergeCell ref="E32:F32"/>
    <mergeCell ref="A40:B40"/>
    <mergeCell ref="B12:D12"/>
    <mergeCell ref="K18:L18"/>
    <mergeCell ref="G27:H27"/>
    <mergeCell ref="G33:I33"/>
    <mergeCell ref="J30:K30"/>
    <mergeCell ref="A16:B16"/>
    <mergeCell ref="K20:L20"/>
    <mergeCell ref="E19:F19"/>
    <mergeCell ref="G19:H19"/>
    <mergeCell ref="E28:F28"/>
    <mergeCell ref="G35:I35"/>
    <mergeCell ref="G28:H28"/>
    <mergeCell ref="G6:H6"/>
    <mergeCell ref="A18:B18"/>
    <mergeCell ref="K22:L22"/>
    <mergeCell ref="G26:L26"/>
    <mergeCell ref="G3:H3"/>
    <mergeCell ref="E30:F30"/>
    <mergeCell ref="G30:H30"/>
    <mergeCell ref="G5:H5"/>
    <mergeCell ref="B7:D7"/>
    <mergeCell ref="G29:H29"/>
    <mergeCell ref="G4:H4"/>
    <mergeCell ref="A20:B20"/>
    <mergeCell ref="B3:D3"/>
    <mergeCell ref="I12:L12"/>
    <mergeCell ref="G39:I39"/>
    <mergeCell ref="E37:F37"/>
    <mergeCell ref="G31:H31"/>
    <mergeCell ref="E11:H11"/>
    <mergeCell ref="B2:D2"/>
    <mergeCell ref="E21:F21"/>
  </mergeCells>
  <conditionalFormatting sqref="A13">
    <cfRule type="expression" priority="1" dxfId="0">
      <formula>LEN(A13)&gt;0</formula>
    </cfRule>
  </conditionalFormatting>
  <conditionalFormatting sqref="N2">
    <cfRule type="expression" priority="2" dxfId="0">
      <formula>LEN(N2)&gt;0</formula>
    </cfRule>
  </conditionalFormatting>
  <conditionalFormatting sqref="N3">
    <cfRule type="expression" priority="3" dxfId="0">
      <formula>LEN(N3)&gt;0</formula>
    </cfRule>
  </conditionalFormatting>
  <conditionalFormatting sqref="N4">
    <cfRule type="expression" priority="4" dxfId="0">
      <formula>LEN(N4)&gt;0</formula>
    </cfRule>
  </conditionalFormatting>
  <conditionalFormatting sqref="N5">
    <cfRule type="expression" priority="5" dxfId="0">
      <formula>LEN(N5)&gt;0</formula>
    </cfRule>
  </conditionalFormatting>
  <conditionalFormatting sqref="N6">
    <cfRule type="expression" priority="6" dxfId="0">
      <formula>LEN(N6)&gt;0</formula>
    </cfRule>
  </conditionalFormatting>
  <conditionalFormatting sqref="N7">
    <cfRule type="expression" priority="7" dxfId="0">
      <formula>LEN(N7)&gt;0</formula>
    </cfRule>
  </conditionalFormatting>
  <conditionalFormatting sqref="N8">
    <cfRule type="expression" priority="8" dxfId="0">
      <formula>LEN(N8)&gt;0</formula>
    </cfRule>
  </conditionalFormatting>
  <conditionalFormatting sqref="N9">
    <cfRule type="expression" priority="9" dxfId="0">
      <formula>LEN(N9)&gt;0</formula>
    </cfRule>
  </conditionalFormatting>
  <conditionalFormatting sqref="N10">
    <cfRule type="expression" priority="10" dxfId="0">
      <formula>LEN(N10)&gt;0</formula>
    </cfRule>
  </conditionalFormatting>
  <conditionalFormatting sqref="N11">
    <cfRule type="expression" priority="11" dxfId="0">
      <formula>LEN(N11)&gt;0</formula>
    </cfRule>
  </conditionalFormatting>
  <conditionalFormatting sqref="N12">
    <cfRule type="expression" priority="12" dxfId="0">
      <formula>LEN(N12)&gt;0</formula>
    </cfRule>
  </conditionalFormatting>
  <conditionalFormatting sqref="N13">
    <cfRule type="expression" priority="13" dxfId="0">
      <formula>LEN(N13)&gt;0</formula>
    </cfRule>
  </conditionalFormatting>
  <conditionalFormatting sqref="N14">
    <cfRule type="expression" priority="14" dxfId="0">
      <formula>LEN(N14)&gt;0</formula>
    </cfRule>
  </conditionalFormatting>
  <conditionalFormatting sqref="N15">
    <cfRule type="expression" priority="15" dxfId="0">
      <formula>LEN(N15)&gt;0</formula>
    </cfRule>
  </conditionalFormatting>
  <conditionalFormatting sqref="N16">
    <cfRule type="expression" priority="16" dxfId="0">
      <formula>LEN(N16)&gt;0</formula>
    </cfRule>
  </conditionalFormatting>
  <conditionalFormatting sqref="N17">
    <cfRule type="expression" priority="17" dxfId="0">
      <formula>LEN(N17)&gt;0</formula>
    </cfRule>
  </conditionalFormatting>
  <conditionalFormatting sqref="N18">
    <cfRule type="expression" priority="18" dxfId="0">
      <formula>LEN(N18)&gt;0</formula>
    </cfRule>
  </conditionalFormatting>
  <conditionalFormatting sqref="N19">
    <cfRule type="expression" priority="19" dxfId="0">
      <formula>LEN(N19)&gt;0</formula>
    </cfRule>
  </conditionalFormatting>
  <conditionalFormatting sqref="N20">
    <cfRule type="expression" priority="20" dxfId="0">
      <formula>LEN(N20)&gt;0</formula>
    </cfRule>
  </conditionalFormatting>
  <conditionalFormatting sqref="N33">
    <cfRule type="expression" priority="21" dxfId="0">
      <formula>LEN(N33)&gt;0</formula>
    </cfRule>
  </conditionalFormatting>
  <conditionalFormatting sqref="N34">
    <cfRule type="expression" priority="22" dxfId="0">
      <formula>LEN(N34)&gt;0</formula>
    </cfRule>
  </conditionalFormatting>
  <conditionalFormatting sqref="N35">
    <cfRule type="expression" priority="23" dxfId="0">
      <formula>LEN(N35)&gt;0</formula>
    </cfRule>
  </conditionalFormatting>
  <conditionalFormatting sqref="N36">
    <cfRule type="expression" priority="24" dxfId="0">
      <formula>LEN(N36)&gt;0</formula>
    </cfRule>
  </conditionalFormatting>
  <conditionalFormatting sqref="N37">
    <cfRule type="expression" priority="25" dxfId="0">
      <formula>LEN(N37)&gt;0</formula>
    </cfRule>
  </conditionalFormatting>
  <conditionalFormatting sqref="N38">
    <cfRule type="expression" priority="26" dxfId="0">
      <formula>LEN(N38)&gt;0</formula>
    </cfRule>
  </conditionalFormatting>
  <conditionalFormatting sqref="N39">
    <cfRule type="expression" priority="27" dxfId="0">
      <formula>LEN(N39)&gt;0</formula>
    </cfRule>
  </conditionalFormatting>
  <conditionalFormatting sqref="N40">
    <cfRule type="expression" priority="28" dxfId="0">
      <formula>LEN(N40)&gt;0</formula>
    </cfRule>
  </conditionalFormatting>
  <dataValidations count="34">
    <dataValidation sqref="F2" showDropDown="0" showInputMessage="0" showErrorMessage="1" allowBlank="1" errorTitle="Valor fora da faixa" error="PV atual: use um número inteiro de 0 a 9999." type="whole" errorStyle="warning" operator="between">
      <formula1>0</formula1>
      <formula2>9999</formula2>
    </dataValidation>
    <dataValidation sqref="F3" showDropDown="0" showInputMessage="0" showErrorMessage="1" allowBlank="1" errorTitle="Valor fora da faixa" error="PV temporários: use um número inteiro de 0 a 99." type="whole" errorStyle="warning" operator="between">
      <formula1>0</formula1>
      <formula2>99</formula2>
    </dataValidation>
    <dataValidation sqref="F4" showDropDown="0" showInputMessage="0" showErrorMessage="1" allowBlank="1" errorTitle="Valor fora da faixa" error="Energia: use um número inteiro de 0 a 100." type="whole" errorStyle="warning" operator="between">
      <formula1>0</formula1>
      <formula2>100</formula2>
    </dataValidation>
    <dataValidation sqref="F5" showDropDown="0" showInputMessage="0" showErrorMessage="1" allowBlank="1" errorTitle="Valor fora da faixa" error="PH do grupo: use um número inteiro de 0 a 20." type="whole" errorStyle="warning" operator="between">
      <formula1>0</formula1>
      <formula2>20</formula2>
    </dataValidation>
    <dataValidation sqref="F6" showDropDown="0" showInputMessage="0" showErrorMessage="1" allowBlank="1" errorTitle="Valor fora da faixa" error="Esforço: use um número inteiro de 0 a 1." type="whole" errorStyle="warning" operator="between">
      <formula1>0</formula1>
      <formula2>1</formula2>
    </dataValidation>
    <dataValidation sqref="F7" showDropDown="0" showInputMessage="0" showErrorMessage="1" allowBlank="1" errorTitle="Fora da lista" error="Memoespírito ativo: escolha um valor da lista. A ficha pode não reconhecer outro valor." type="list" errorStyle="warning">
      <formula1>'Dados'!$AG$6:$AG$7</formula1>
    </dataValidation>
    <dataValidation sqref="H7" showDropDown="0" showInputMessage="0" showErrorMessage="1" allowBlank="1" errorTitle="Valor fora da faixa" error="PV atual do Memoespírito: use um número inteiro de 0 a 999." type="whole" errorStyle="warning" operator="between">
      <formula1>0</formula1>
      <formula2>999</formula2>
    </dataValidation>
    <dataValidation sqref="F8" showDropDown="0" showInputMessage="0" showErrorMessage="1" allowBlank="1" errorTitle="Valor fora da faixa" error="Acúmulos: use um número inteiro de 0 a 7." type="whole" errorStyle="warning" operator="between">
      <formula1>0</formula1>
      <formula2>7</formula2>
    </dataValidation>
    <dataValidation sqref="F9" showDropDown="0" showInputMessage="0" showErrorMessage="1" allowBlank="1" errorTitle="Valor fora da faixa" error="Marcas da Ruína: use um número inteiro de 0 a 5." type="whole" errorStyle="warning" operator="between">
      <formula1>0</formula1>
      <formula2>5</formula2>
    </dataValidation>
    <dataValidation sqref="J2" showDropDown="0" showInputMessage="0" showErrorMessage="1" allowBlank="1" errorTitle="Valor fora da faixa" error="Dano recebido: use um número inteiro de 0 a 9999." type="whole" errorStyle="warning" operator="between">
      <formula1>0</formula1>
      <formula2>9999</formula2>
    </dataValidation>
    <dataValidation sqref="J3" showDropDown="0" showInputMessage="0" showErrorMessage="1" allowBlank="1" errorTitle="Fora da lista" error="Dano Contínuo: escolha um valor da lista. A ficha pode não reconhecer outro valor." type="list" errorStyle="warning">
      <formula1>'Dados'!$AG$6:$AG$7</formula1>
    </dataValidation>
    <dataValidation sqref="J10" showDropDown="0" showInputMessage="0" showErrorMessage="1" allowBlank="1" errorTitle="Valor fora da faixa" error="Cura recebida: use um número inteiro de 0 a 9999." type="whole" errorStyle="warning" operator="between">
      <formula1>0</formula1>
      <formula2>9999</formula2>
    </dataValidation>
    <dataValidation sqref="D33" showDropDown="0" showInputMessage="0" showErrorMessage="1" allowBlank="1" errorTitle="Valor fora da faixa" error="Sucessos no Teste de Morrendo: use um número inteiro de 0 a 3." type="whole" errorStyle="warning" operator="between">
      <formula1>0</formula1>
      <formula2>3</formula2>
    </dataValidation>
    <dataValidation sqref="F33" showDropDown="0" showInputMessage="0" showErrorMessage="1" allowBlank="1" errorTitle="Valor fora da faixa" error="Falhas no Teste de Morrendo: use um número inteiro de 0 a 3." type="whole" errorStyle="warning" operator="between">
      <formula1>0</formula1>
      <formula2>3</formula2>
    </dataValidation>
    <dataValidation sqref="A37" showDropDown="0" showInputMessage="0" showErrorMessage="1" allowBlank="1" errorTitle="Fora da lista" error="Condição 1: escolha um valor da lista. A ficha pode não reconhecer outro valor." type="list" errorStyle="warning">
      <formula1>'Dados'!$Y$6:$Y$18</formula1>
    </dataValidation>
    <dataValidation sqref="C37" showDropDown="0" showInputMessage="0" showErrorMessage="1" allowBlank="1" errorTitle="Valor fora da faixa" error="Turnos: use um número inteiro de 0 a 99." type="whole" errorStyle="warning" operator="between">
      <formula1>0</formula1>
      <formula2>99</formula2>
    </dataValidation>
    <dataValidation sqref="D37" showDropDown="0" showInputMessage="0" showErrorMessage="1" allowBlank="1" errorTitle="Valor fora da faixa" error="Eficiência de quem aplicou: use um número inteiro de 2 a 8." type="whole" errorStyle="warning" operator="between">
      <formula1>2</formula1>
      <formula2>8</formula2>
    </dataValidation>
    <dataValidation sqref="A38" showDropDown="0" showInputMessage="0" showErrorMessage="1" allowBlank="1" errorTitle="Fora da lista" error="Condição 2: escolha um valor da lista. A ficha pode não reconhecer outro valor." type="list" errorStyle="warning">
      <formula1>'Dados'!$Y$6:$Y$18</formula1>
    </dataValidation>
    <dataValidation sqref="C38" showDropDown="0" showInputMessage="0" showErrorMessage="1" allowBlank="1" errorTitle="Valor fora da faixa" error="Turnos: use um número inteiro de 0 a 99." type="whole" errorStyle="warning" operator="between">
      <formula1>0</formula1>
      <formula2>99</formula2>
    </dataValidation>
    <dataValidation sqref="D38" showDropDown="0" showInputMessage="0" showErrorMessage="1" allowBlank="1" errorTitle="Valor fora da faixa" error="Eficiência de quem aplicou: use um número inteiro de 2 a 8." type="whole" errorStyle="warning" operator="between">
      <formula1>2</formula1>
      <formula2>8</formula2>
    </dataValidation>
    <dataValidation sqref="A39" showDropDown="0" showInputMessage="0" showErrorMessage="1" allowBlank="1" errorTitle="Fora da lista" error="Condição 3: escolha um valor da lista. A ficha pode não reconhecer outro valor." type="list" errorStyle="warning">
      <formula1>'Dados'!$Y$6:$Y$18</formula1>
    </dataValidation>
    <dataValidation sqref="C39" showDropDown="0" showInputMessage="0" showErrorMessage="1" allowBlank="1" errorTitle="Valor fora da faixa" error="Turnos: use um número inteiro de 0 a 99." type="whole" errorStyle="warning" operator="between">
      <formula1>0</formula1>
      <formula2>99</formula2>
    </dataValidation>
    <dataValidation sqref="D39" showDropDown="0" showInputMessage="0" showErrorMessage="1" allowBlank="1" errorTitle="Valor fora da faixa" error="Eficiência de quem aplicou: use um número inteiro de 2 a 8." type="whole" errorStyle="warning" operator="between">
      <formula1>2</formula1>
      <formula2>8</formula2>
    </dataValidation>
    <dataValidation sqref="A40" showDropDown="0" showInputMessage="0" showErrorMessage="1" allowBlank="1" errorTitle="Fora da lista" error="Condição 4: escolha um valor da lista. A ficha pode não reconhecer outro valor." type="list" errorStyle="warning">
      <formula1>'Dados'!$Y$6:$Y$18</formula1>
    </dataValidation>
    <dataValidation sqref="C40" showDropDown="0" showInputMessage="0" showErrorMessage="1" allowBlank="1" errorTitle="Valor fora da faixa" error="Turnos: use um número inteiro de 0 a 99." type="whole" errorStyle="warning" operator="between">
      <formula1>0</formula1>
      <formula2>99</formula2>
    </dataValidation>
    <dataValidation sqref="D40" showDropDown="0" showInputMessage="0" showErrorMessage="1" allowBlank="1" errorTitle="Valor fora da faixa" error="Eficiência de quem aplicou: use um número inteiro de 2 a 8." type="whole" errorStyle="warning" operator="between">
      <formula1>2</formula1>
      <formula2>8</formula2>
    </dataValidation>
    <dataValidation sqref="J33" showDropDown="0" showInputMessage="0" showErrorMessage="1" allowBlank="1" errorTitle="Valor fora da faixa" error="Usados: use um número inteiro de 0 a 9." type="whole" errorStyle="warning" operator="between">
      <formula1>0</formula1>
      <formula2>9</formula2>
    </dataValidation>
    <dataValidation sqref="J34" showDropDown="0" showInputMessage="0" showErrorMessage="1" allowBlank="1" errorTitle="Valor fora da faixa" error="Usados: use um número inteiro de 0 a 9." type="whole" errorStyle="warning" operator="between">
      <formula1>0</formula1>
      <formula2>9</formula2>
    </dataValidation>
    <dataValidation sqref="J35" showDropDown="0" showInputMessage="0" showErrorMessage="1" allowBlank="1" errorTitle="Valor fora da faixa" error="Usados: use um número inteiro de 0 a 9." type="whole" errorStyle="warning" operator="between">
      <formula1>0</formula1>
      <formula2>9</formula2>
    </dataValidation>
    <dataValidation sqref="J36" showDropDown="0" showInputMessage="0" showErrorMessage="1" allowBlank="1" errorTitle="Valor fora da faixa" error="Usados: use um número inteiro de 0 a 9." type="whole" errorStyle="warning" operator="between">
      <formula1>0</formula1>
      <formula2>9</formula2>
    </dataValidation>
    <dataValidation sqref="J37" showDropDown="0" showInputMessage="0" showErrorMessage="1" allowBlank="1" errorTitle="Valor fora da faixa" error="Usados: use um número inteiro de 0 a 9." type="whole" errorStyle="warning" operator="between">
      <formula1>0</formula1>
      <formula2>9</formula2>
    </dataValidation>
    <dataValidation sqref="J38" showDropDown="0" showInputMessage="0" showErrorMessage="1" allowBlank="1" errorTitle="Valor fora da faixa" error="Usados: use um número inteiro de 0 a 9." type="whole" errorStyle="warning" operator="between">
      <formula1>0</formula1>
      <formula2>9</formula2>
    </dataValidation>
    <dataValidation sqref="J39" showDropDown="0" showInputMessage="0" showErrorMessage="1" allowBlank="1" errorTitle="Valor fora da faixa" error="Usados: use um número inteiro de 0 a 9." type="whole" errorStyle="warning" operator="between">
      <formula1>0</formula1>
      <formula2>9</formula2>
    </dataValidation>
    <dataValidation sqref="J40" showDropDown="0" showInputMessage="0" showErrorMessage="1" allowBlank="1" errorTitle="Valor fora da faixa" error="Usados: use um número inteiro de 0 a 9." type="whole" errorStyle="warning" operator="between">
      <formula1>0</formula1>
      <formula2>9</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showGridLines="1" workbookViewId="0">
      <selection activeCell="A1" sqref="A1"/>
    </sheetView>
  </sheetViews>
  <sheetFormatPr baseColWidth="8" defaultRowHeight="15"/>
  <cols>
    <col width="22" customWidth="1" min="1" max="1"/>
    <col width="14" customWidth="1" min="2" max="2"/>
    <col width="7" customWidth="1" min="3" max="3"/>
    <col width="15" customWidth="1" min="4" max="4"/>
    <col width="12" customWidth="1" min="5" max="5"/>
    <col width="11.5" customWidth="1" min="6" max="6"/>
    <col width="14.6" customWidth="1" min="7" max="7"/>
    <col width="7" customWidth="1" min="8" max="8"/>
    <col width="11" customWidth="1" min="9" max="9"/>
    <col width="30" customWidth="1" min="10" max="10"/>
    <col width="16" customWidth="1" min="11" max="11"/>
    <col width="25.786" customWidth="1" min="12" max="12"/>
    <col hidden="1" width="13" customWidth="1" min="14" max="14"/>
    <col hidden="1" width="13" customWidth="1" min="15" max="15"/>
  </cols>
  <sheetData>
    <row r="1" ht="24" customHeight="1">
      <c r="A1" s="1" t="inlineStr">
        <is>
          <t>Testes — Explorando Galáxias v1.2</t>
        </is>
      </c>
    </row>
    <row r="2" ht="37" customHeight="1">
      <c r="A2" s="2" t="inlineStr">
        <is>
          <t>Legenda:</t>
        </is>
      </c>
      <c r="B2" s="3" t="inlineStr">
        <is>
          <t>Entrada (preencha)</t>
        </is>
      </c>
      <c r="C2" s="4" t="inlineStr">
        <is>
          <t>Calculada (automático)</t>
        </is>
      </c>
      <c r="E2" s="5" t="inlineStr">
        <is>
          <t>Aviso (texto em vermelho)</t>
        </is>
      </c>
      <c r="G2" s="6" t="inlineStr">
        <is>
          <t>Título de bloco</t>
        </is>
      </c>
      <c r="H2" s="57" t="inlineStr">
        <is>
          <t>Cabeçalho de coluna</t>
        </is>
      </c>
      <c r="I2" s="15" t="n"/>
      <c r="J2" s="8" t="inlineStr">
        <is>
          <t>Rótulo da linha</t>
        </is>
      </c>
      <c r="K2" s="9" t="inlineStr">
        <is>
          <t>Linha alternada (outro tom)</t>
        </is>
      </c>
      <c r="L2" s="10" t="inlineStr">
        <is>
          <t>Não se aplica</t>
        </is>
      </c>
    </row>
    <row r="3">
      <c r="A3" s="11" t="inlineStr">
        <is>
          <t>As 18 Perícias e os 6 Testes de Resistência com a rolagem pronta.</t>
        </is>
      </c>
    </row>
    <row r="4"/>
    <row r="5">
      <c r="A5" s="14" t="inlineStr">
        <is>
          <t>DT por faixa — 27.2 (a sua faixa)</t>
        </is>
      </c>
      <c r="F5" s="12" t="inlineStr">
        <is>
          <t>DT das suas Habilidades:</t>
        </is>
      </c>
      <c r="I5" s="17">
        <f>'Criação'!$B$56</f>
        <v/>
      </c>
      <c r="J5" s="12" t="inlineStr">
        <is>
          <t>Sucesso Automático: bônus total ≥ DT → não rola (só Perícia, 27.2)</t>
        </is>
      </c>
    </row>
    <row r="6">
      <c r="A6" s="7" t="inlineStr">
        <is>
          <t>Dificuldade</t>
        </is>
      </c>
      <c r="B6" s="7" t="inlineStr">
        <is>
          <t>DT</t>
        </is>
      </c>
    </row>
    <row r="7">
      <c r="A7" s="58">
        <f>INDEX('Dados'!$A$424:$A$429,1)</f>
        <v/>
      </c>
      <c r="B7" s="17">
        <f>INDEX('Dados'!$A$424:$F$429,1,'Criação'!$B$14+1)</f>
        <v/>
      </c>
    </row>
    <row r="8">
      <c r="A8" s="59">
        <f>INDEX('Dados'!$A$424:$A$429,2)</f>
        <v/>
      </c>
      <c r="B8" s="19">
        <f>INDEX('Dados'!$A$424:$F$429,2,'Criação'!$B$14+1)</f>
        <v/>
      </c>
    </row>
    <row r="9">
      <c r="A9" s="58">
        <f>INDEX('Dados'!$A$424:$A$429,3)</f>
        <v/>
      </c>
      <c r="B9" s="17">
        <f>INDEX('Dados'!$A$424:$F$429,3,'Criação'!$B$14+1)</f>
        <v/>
      </c>
    </row>
    <row r="10">
      <c r="A10" s="59">
        <f>INDEX('Dados'!$A$424:$A$429,4)</f>
        <v/>
      </c>
      <c r="B10" s="19">
        <f>INDEX('Dados'!$A$424:$F$429,4,'Criação'!$B$14+1)</f>
        <v/>
      </c>
    </row>
    <row r="11">
      <c r="A11" s="58">
        <f>INDEX('Dados'!$A$424:$A$429,5)</f>
        <v/>
      </c>
      <c r="B11" s="17">
        <f>INDEX('Dados'!$A$424:$F$429,5,'Criação'!$B$14+1)</f>
        <v/>
      </c>
    </row>
    <row r="12">
      <c r="A12" s="59">
        <f>INDEX('Dados'!$A$424:$A$429,6)</f>
        <v/>
      </c>
      <c r="B12" s="19">
        <f>INDEX('Dados'!$A$424:$F$429,6,'Criação'!$B$14+1)</f>
        <v/>
      </c>
    </row>
    <row r="13"/>
    <row r="14">
      <c r="A14" s="14" t="inlineStr">
        <is>
          <t>Perícias — 04.4 (rolagem pronta: d20 + Bônus + Eficiência)</t>
        </is>
      </c>
    </row>
    <row r="15" ht="40" customHeight="1">
      <c r="A15" s="7" t="inlineStr">
        <is>
          <t>Perícia (Poder, Agilidade e Vigor)</t>
        </is>
      </c>
      <c r="B15" s="7" t="inlineStr">
        <is>
          <t>Atributo</t>
        </is>
      </c>
      <c r="C15" s="7" t="inlineStr">
        <is>
          <t>Bônus</t>
        </is>
      </c>
      <c r="D15" s="7" t="inlineStr">
        <is>
          <t>Eficiência (origem)</t>
        </is>
      </c>
      <c r="E15" s="7" t="inlineStr">
        <is>
          <t>Eficácia (preencha Sim)</t>
        </is>
      </c>
      <c r="F15" s="7" t="inlineStr">
        <is>
          <t>Penalidade (Armadura Pesada)</t>
        </is>
      </c>
      <c r="G15" s="7" t="inlineStr">
        <is>
          <t>Extra (equipamento)</t>
        </is>
      </c>
      <c r="H15" s="7" t="inlineStr">
        <is>
          <t>Total</t>
        </is>
      </c>
      <c r="I15" s="7" t="inlineStr">
        <is>
          <t>Rolagem</t>
        </is>
      </c>
      <c r="J15" s="7" t="inlineStr">
        <is>
          <t>Vantagem racial</t>
        </is>
      </c>
      <c r="K15" s="7" t="inlineStr">
        <is>
          <t>Sucesso Automático até</t>
        </is>
      </c>
      <c r="L15" s="7" t="inlineStr">
        <is>
          <t>Aviso</t>
        </is>
      </c>
    </row>
    <row r="16" ht="37" customHeight="1">
      <c r="A16" s="16" t="inlineStr">
        <is>
          <t>Atletismo</t>
        </is>
      </c>
      <c r="B16" s="22">
        <f>'Criação'!$B$69</f>
        <v/>
      </c>
      <c r="C16" s="22">
        <f>IFERROR(INDEX('Criação'!$F$44:$F$49,MATCH($B$16,'Criação'!$A$44:$A$49,0)),0)</f>
        <v/>
      </c>
      <c r="D16" s="22">
        <f>IF('Criação'!$E$69="Sim","Sim ("&amp;'Criação'!$F$69&amp;")","Não")</f>
        <v/>
      </c>
      <c r="E16" s="23" t="n"/>
      <c r="F16" s="22">
        <f>IF($B$16="Agilidade",'Criação'!$E$93,0)</f>
        <v/>
      </c>
      <c r="G16" s="22">
        <f>IF('Equipamento'!$L$31="Atletismo",'Equipamento'!$K$31,0)+MIN('Criação'!$J$14,COUNTIF('Equipamento'!$P$45:$P$47,"Atletismo"))</f>
        <v/>
      </c>
      <c r="H16" s="17">
        <f>$C$16+IF('Criação'!$E$69="Sim",IF(AND($N$16="Sim",'Criação'!$E$69="Sim",COUNTIF($N$16,"Sim")&lt;='Criação'!$E$14),2*'Criação'!$C$14,'Criação'!$C$14),0)+$F$16+$G$16</f>
        <v/>
      </c>
      <c r="I16" s="17">
        <f>"d20"&amp;IF($H$16&gt;=0,"+","")&amp;$H$16</f>
        <v/>
      </c>
      <c r="J16" s="4">
        <f>""</f>
        <v/>
      </c>
      <c r="K16" s="4">
        <f>IF($H$16&gt;=$B$12,"Heroica ("&amp;$B$12&amp;")",IF($H$16&gt;=$B$11,"Muito Difícil ("&amp;$B$11&amp;")",IF($H$16&gt;=$B$10,"Difícil ("&amp;$B$10&amp;")",IF($H$16&gt;=$B$9,"Média ("&amp;$B$9&amp;")",IF($H$16&gt;=$B$8,"Fácil ("&amp;$B$8&amp;")",IF($H$16&gt;=$B$7,"Trivial ("&amp;$B$7&amp;")","—"))))))</f>
        <v/>
      </c>
      <c r="L16" s="13">
        <f>IF(O16&gt;0,"O Google leu como fórmula: escolha de novo na lista.",IF($N$16&lt;&gt;"Sim","",IF('Criação'!$E$69&lt;&gt;"Sim","Eficácia exige Eficiência nesta Perícia",IF(COUNTIF($N$16,"Sim")&gt;'Criação'!$E$14,"Acima dos slots de Eficácia em Perícias ("&amp;'Criação'!$E$14&amp;")",""))))</f>
        <v/>
      </c>
      <c r="N16">
        <f>IF(ISERROR($E$16),"",IF(ISBLANK($E$16),"",$E$16))</f>
        <v/>
      </c>
      <c r="O16">
        <f>ISERROR($E$16)*1</f>
        <v/>
      </c>
    </row>
    <row r="17" ht="37" customHeight="1">
      <c r="A17" s="18" t="inlineStr">
        <is>
          <t>Acrobacia</t>
        </is>
      </c>
      <c r="B17" s="21">
        <f>'Criação'!$B$70</f>
        <v/>
      </c>
      <c r="C17" s="21">
        <f>IFERROR(INDEX('Criação'!$F$44:$F$49,MATCH($B$17,'Criação'!$A$44:$A$49,0)),0)</f>
        <v/>
      </c>
      <c r="D17" s="21">
        <f>IF('Criação'!$E$70="Sim","Sim ("&amp;'Criação'!$F$70&amp;")","Não")</f>
        <v/>
      </c>
      <c r="E17" s="36" t="n"/>
      <c r="F17" s="21">
        <f>IF($B$17="Agilidade",'Criação'!$E$93,0)</f>
        <v/>
      </c>
      <c r="G17" s="21">
        <f>IF('Equipamento'!$L$31="Acrobacia",'Equipamento'!$K$31,0)+MIN('Criação'!$J$14,COUNTIF('Equipamento'!$P$45:$P$47,"Acrobacia"))</f>
        <v/>
      </c>
      <c r="H17" s="19">
        <f>$C$17+IF('Criação'!$E$70="Sim",IF(AND($N$17="Sim",'Criação'!$E$70="Sim",COUNTIF($N$16:$N$17,"Sim")&lt;='Criação'!$E$14),2*'Criação'!$C$14,'Criação'!$C$14),0)+$F$17+$G$17</f>
        <v/>
      </c>
      <c r="I17" s="19">
        <f>"d20"&amp;IF($H$17&gt;=0,"+","")&amp;$H$17</f>
        <v/>
      </c>
      <c r="J17" s="9">
        <f>""</f>
        <v/>
      </c>
      <c r="K17" s="9">
        <f>IF($H$17&gt;=$B$12,"Heroica ("&amp;$B$12&amp;")",IF($H$17&gt;=$B$11,"Muito Difícil ("&amp;$B$11&amp;")",IF($H$17&gt;=$B$10,"Difícil ("&amp;$B$10&amp;")",IF($H$17&gt;=$B$9,"Média ("&amp;$B$9&amp;")",IF($H$17&gt;=$B$8,"Fácil ("&amp;$B$8&amp;")",IF($H$17&gt;=$B$7,"Trivial ("&amp;$B$7&amp;")","—"))))))</f>
        <v/>
      </c>
      <c r="L17" s="20">
        <f>IF(O17&gt;0,"O Google leu como fórmula: escolha de novo na lista.",IF($N$17&lt;&gt;"Sim","",IF('Criação'!$E$70&lt;&gt;"Sim","Eficácia exige Eficiência nesta Perícia",IF(COUNTIF($N$16:$N$17,"Sim")&gt;'Criação'!$E$14,"Acima dos slots de Eficácia em Perícias ("&amp;'Criação'!$E$14&amp;")",""))))</f>
        <v/>
      </c>
      <c r="N17">
        <f>IF(ISERROR($E$17),"",IF(ISBLANK($E$17),"",$E$17))</f>
        <v/>
      </c>
      <c r="O17">
        <f>ISERROR($E$17)*1</f>
        <v/>
      </c>
    </row>
    <row r="18" ht="37" customHeight="1">
      <c r="A18" s="16" t="inlineStr">
        <is>
          <t>Furtividade</t>
        </is>
      </c>
      <c r="B18" s="22">
        <f>'Criação'!$B$71</f>
        <v/>
      </c>
      <c r="C18" s="22">
        <f>IFERROR(INDEX('Criação'!$F$44:$F$49,MATCH($B$18,'Criação'!$A$44:$A$49,0)),0)</f>
        <v/>
      </c>
      <c r="D18" s="22">
        <f>IF('Criação'!$E$71="Sim","Sim ("&amp;'Criação'!$F$71&amp;")","Não")</f>
        <v/>
      </c>
      <c r="E18" s="23" t="n"/>
      <c r="F18" s="22">
        <f>IF($B$18="Agilidade",'Criação'!$E$93,0)</f>
        <v/>
      </c>
      <c r="G18" s="22">
        <f>IF('Equipamento'!$L$31="Furtividade",'Equipamento'!$K$31,0)+MIN('Criação'!$J$14,COUNTIF('Equipamento'!$P$45:$P$47,"Furtividade"))</f>
        <v/>
      </c>
      <c r="H18" s="17">
        <f>$C$18+IF('Criação'!$E$71="Sim",IF(AND($N$18="Sim",'Criação'!$E$71="Sim",COUNTIF($N$16:$N$18,"Sim")&lt;='Criação'!$E$14),2*'Criação'!$C$14,'Criação'!$C$14),0)+$F$18+$G$18</f>
        <v/>
      </c>
      <c r="I18" s="17">
        <f>"d20"&amp;IF($H$18&gt;=0,"+","")&amp;$H$18</f>
        <v/>
      </c>
      <c r="J18" s="4">
        <f>""</f>
        <v/>
      </c>
      <c r="K18" s="4">
        <f>IF($H$18&gt;=$B$12,"Heroica ("&amp;$B$12&amp;")",IF($H$18&gt;=$B$11,"Muito Difícil ("&amp;$B$11&amp;")",IF($H$18&gt;=$B$10,"Difícil ("&amp;$B$10&amp;")",IF($H$18&gt;=$B$9,"Média ("&amp;$B$9&amp;")",IF($H$18&gt;=$B$8,"Fácil ("&amp;$B$8&amp;")",IF($H$18&gt;=$B$7,"Trivial ("&amp;$B$7&amp;")","—"))))))</f>
        <v/>
      </c>
      <c r="L18" s="13">
        <f>IF(O18&gt;0,"O Google leu como fórmula: escolha de novo na lista.",IF($N$18&lt;&gt;"Sim","",IF('Criação'!$E$71&lt;&gt;"Sim","Eficácia exige Eficiência nesta Perícia",IF(COUNTIF($N$16:$N$18,"Sim")&gt;'Criação'!$E$14,"Acima dos slots de Eficácia em Perícias ("&amp;'Criação'!$E$14&amp;")",""))))</f>
        <v/>
      </c>
      <c r="N18">
        <f>IF(ISERROR($E$18),"",IF(ISBLANK($E$18),"",$E$18))</f>
        <v/>
      </c>
      <c r="O18">
        <f>ISERROR($E$18)*1</f>
        <v/>
      </c>
    </row>
    <row r="19" ht="37" customHeight="1">
      <c r="A19" s="18" t="inlineStr">
        <is>
          <t>Pilotagem</t>
        </is>
      </c>
      <c r="B19" s="21">
        <f>'Criação'!$B$72</f>
        <v/>
      </c>
      <c r="C19" s="21">
        <f>IFERROR(INDEX('Criação'!$F$44:$F$49,MATCH($B$19,'Criação'!$A$44:$A$49,0)),0)</f>
        <v/>
      </c>
      <c r="D19" s="21">
        <f>IF('Criação'!$E$72="Sim","Sim ("&amp;'Criação'!$F$72&amp;")","Não")</f>
        <v/>
      </c>
      <c r="E19" s="36" t="n"/>
      <c r="F19" s="21">
        <f>IF($B$19="Agilidade",'Criação'!$E$93,0)</f>
        <v/>
      </c>
      <c r="G19" s="21">
        <f>IF('Equipamento'!$L$31="Pilotagem",'Equipamento'!$K$31,0)+MIN('Criação'!$J$14,COUNTIF('Equipamento'!$P$45:$P$47,"Pilotagem"))</f>
        <v/>
      </c>
      <c r="H19" s="19">
        <f>$C$19+IF('Criação'!$E$72="Sim",IF(AND($N$19="Sim",'Criação'!$E$72="Sim",COUNTIF($N$16:$N$19,"Sim")&lt;='Criação'!$E$14),2*'Criação'!$C$14,'Criação'!$C$14),0)+$F$19+$G$19</f>
        <v/>
      </c>
      <c r="I19" s="19">
        <f>"d20"&amp;IF($H$19&gt;=0,"+","")&amp;$H$19</f>
        <v/>
      </c>
      <c r="J19" s="9">
        <f>""</f>
        <v/>
      </c>
      <c r="K19" s="9">
        <f>IF($H$19&gt;=$B$12,"Heroica ("&amp;$B$12&amp;")",IF($H$19&gt;=$B$11,"Muito Difícil ("&amp;$B$11&amp;")",IF($H$19&gt;=$B$10,"Difícil ("&amp;$B$10&amp;")",IF($H$19&gt;=$B$9,"Média ("&amp;$B$9&amp;")",IF($H$19&gt;=$B$8,"Fácil ("&amp;$B$8&amp;")",IF($H$19&gt;=$B$7,"Trivial ("&amp;$B$7&amp;")","—"))))))</f>
        <v/>
      </c>
      <c r="L19" s="20">
        <f>IF(O19&gt;0,"O Google leu como fórmula: escolha de novo na lista.",IF($N$19&lt;&gt;"Sim","",IF('Criação'!$E$72&lt;&gt;"Sim","Eficácia exige Eficiência nesta Perícia",IF(COUNTIF($N$16:$N$19,"Sim")&gt;'Criação'!$E$14,"Acima dos slots de Eficácia em Perícias ("&amp;'Criação'!$E$14&amp;")",""))))</f>
        <v/>
      </c>
      <c r="N19">
        <f>IF(ISERROR($E$19),"",IF(ISBLANK($E$19),"",$E$19))</f>
        <v/>
      </c>
      <c r="O19">
        <f>ISERROR($E$19)*1</f>
        <v/>
      </c>
    </row>
    <row r="20" ht="37" customHeight="1">
      <c r="A20" s="16" t="inlineStr">
        <is>
          <t>Resistência</t>
        </is>
      </c>
      <c r="B20" s="22">
        <f>'Criação'!$B$73</f>
        <v/>
      </c>
      <c r="C20" s="22">
        <f>IFERROR(INDEX('Criação'!$F$44:$F$49,MATCH($B$20,'Criação'!$A$44:$A$49,0)),0)</f>
        <v/>
      </c>
      <c r="D20" s="22">
        <f>IF('Criação'!$E$73="Sim","Sim ("&amp;'Criação'!$F$73&amp;")","Não")</f>
        <v/>
      </c>
      <c r="E20" s="23" t="n"/>
      <c r="F20" s="22">
        <f>IF($B$20="Agilidade",'Criação'!$E$93,0)</f>
        <v/>
      </c>
      <c r="G20" s="22">
        <f>IF('Equipamento'!$L$31="Resistência",'Equipamento'!$K$31,0)+MIN('Criação'!$J$14,COUNTIF('Equipamento'!$P$45:$P$47,"Resistência"))</f>
        <v/>
      </c>
      <c r="H20" s="17">
        <f>$C$20+IF('Criação'!$E$73="Sim",IF(AND($N$20="Sim",'Criação'!$E$73="Sim",COUNTIF($N$16:$N$20,"Sim")&lt;='Criação'!$E$14),2*'Criação'!$C$14,'Criação'!$C$14),0)+$F$20+$G$20</f>
        <v/>
      </c>
      <c r="I20" s="17">
        <f>"d20"&amp;IF($H$20&gt;=0,"+","")&amp;$H$20</f>
        <v/>
      </c>
      <c r="J20" s="4">
        <f>""</f>
        <v/>
      </c>
      <c r="K20" s="4">
        <f>IF($H$20&gt;=$B$12,"Heroica ("&amp;$B$12&amp;")",IF($H$20&gt;=$B$11,"Muito Difícil ("&amp;$B$11&amp;")",IF($H$20&gt;=$B$10,"Difícil ("&amp;$B$10&amp;")",IF($H$20&gt;=$B$9,"Média ("&amp;$B$9&amp;")",IF($H$20&gt;=$B$8,"Fácil ("&amp;$B$8&amp;")",IF($H$20&gt;=$B$7,"Trivial ("&amp;$B$7&amp;")","—"))))))</f>
        <v/>
      </c>
      <c r="L20" s="13">
        <f>IF(O20&gt;0,"O Google leu como fórmula: escolha de novo na lista.",IF($N$20&lt;&gt;"Sim","",IF('Criação'!$E$73&lt;&gt;"Sim","Eficácia exige Eficiência nesta Perícia",IF(COUNTIF($N$16:$N$20,"Sim")&gt;'Criação'!$E$14,"Acima dos slots de Eficácia em Perícias ("&amp;'Criação'!$E$14&amp;")",""))))</f>
        <v/>
      </c>
      <c r="N20">
        <f>IF(ISERROR($E$20),"",IF(ISBLANK($E$20),"",$E$20))</f>
        <v/>
      </c>
      <c r="O20">
        <f>ISERROR($E$20)*1</f>
        <v/>
      </c>
    </row>
    <row r="21" ht="40" customHeight="1">
      <c r="A21" s="7" t="inlineStr">
        <is>
          <t>Perícia (Sincronia e Discernimento)</t>
        </is>
      </c>
      <c r="B21" s="7" t="inlineStr">
        <is>
          <t>Atributo</t>
        </is>
      </c>
      <c r="C21" s="7" t="inlineStr">
        <is>
          <t>Bônus</t>
        </is>
      </c>
      <c r="D21" s="7" t="inlineStr">
        <is>
          <t>Eficiência (origem)</t>
        </is>
      </c>
      <c r="E21" s="7" t="inlineStr">
        <is>
          <t>Eficácia (preencha Sim)</t>
        </is>
      </c>
      <c r="F21" s="7" t="inlineStr">
        <is>
          <t>Penalidade (Armadura Pesada)</t>
        </is>
      </c>
      <c r="G21" s="7" t="inlineStr">
        <is>
          <t>Extra (equipamento)</t>
        </is>
      </c>
      <c r="H21" s="7" t="inlineStr">
        <is>
          <t>Total</t>
        </is>
      </c>
      <c r="I21" s="7" t="inlineStr">
        <is>
          <t>Rolagem</t>
        </is>
      </c>
      <c r="J21" s="7" t="inlineStr">
        <is>
          <t>Vantagem racial</t>
        </is>
      </c>
      <c r="K21" s="7" t="inlineStr">
        <is>
          <t>Sucesso Automático até</t>
        </is>
      </c>
      <c r="L21" s="7" t="inlineStr">
        <is>
          <t>Aviso</t>
        </is>
      </c>
      <c r="N21">
        <f>IF(ISERROR($E$21),"",IF(ISBLANK($E$21),"",$E$21))</f>
        <v/>
      </c>
    </row>
    <row r="22" ht="37" customHeight="1">
      <c r="A22" s="16" t="inlineStr">
        <is>
          <t>Tecnologia</t>
        </is>
      </c>
      <c r="B22" s="22">
        <f>'Criação'!$B$75</f>
        <v/>
      </c>
      <c r="C22" s="22">
        <f>IFERROR(INDEX('Criação'!$F$44:$F$49,MATCH($B$22,'Criação'!$A$44:$A$49,0)),0)</f>
        <v/>
      </c>
      <c r="D22" s="22">
        <f>IF('Criação'!$E$75="Sim","Sim ("&amp;'Criação'!$F$75&amp;")","Não")</f>
        <v/>
      </c>
      <c r="E22" s="23" t="n"/>
      <c r="F22" s="22">
        <f>IF($B$22="Agilidade",'Criação'!$E$93,0)</f>
        <v/>
      </c>
      <c r="G22" s="22">
        <f>IF('Equipamento'!$L$31="Tecnologia",'Equipamento'!$K$31,0)+MIN('Criação'!$J$14,COUNTIF('Equipamento'!$P$45:$P$47,"Tecnologia"))</f>
        <v/>
      </c>
      <c r="H22" s="17">
        <f>$C$22+IF('Criação'!$E$75="Sim",IF(AND($N$22="Sim",'Criação'!$E$75="Sim",COUNTIF($N$16:$N$22,"Sim")&lt;='Criação'!$E$14),2*'Criação'!$C$14,'Criação'!$C$14),0)+$F$22+$G$22</f>
        <v/>
      </c>
      <c r="I22" s="17">
        <f>"d20"&amp;IF($H$22&gt;=0,"+","")&amp;$H$22</f>
        <v/>
      </c>
      <c r="J22" s="4">
        <f>IF(OR('Criação'!$Q$25="Intellitron"),"Vantagem ("&amp;'Criação'!$Q$25&amp;")","")</f>
        <v/>
      </c>
      <c r="K22" s="4">
        <f>IF($H$22&gt;=$B$12,"Heroica ("&amp;$B$12&amp;")",IF($H$22&gt;=$B$11,"Muito Difícil ("&amp;$B$11&amp;")",IF($H$22&gt;=$B$10,"Difícil ("&amp;$B$10&amp;")",IF($H$22&gt;=$B$9,"Média ("&amp;$B$9&amp;")",IF($H$22&gt;=$B$8,"Fácil ("&amp;$B$8&amp;")",IF($H$22&gt;=$B$7,"Trivial ("&amp;$B$7&amp;")","—"))))))</f>
        <v/>
      </c>
      <c r="L22" s="13">
        <f>IF(O22&gt;0,"O Google leu como fórmula: escolha de novo na lista.",IF($N$22&lt;&gt;"Sim","",IF('Criação'!$E$75&lt;&gt;"Sim","Eficácia exige Eficiência nesta Perícia",IF(COUNTIF($N$16:$N$22,"Sim")&gt;'Criação'!$E$14,"Acima dos slots de Eficácia em Perícias ("&amp;'Criação'!$E$14&amp;")",""))))</f>
        <v/>
      </c>
      <c r="N22">
        <f>IF(ISERROR($E$22),"",IF(ISBLANK($E$22),"",$E$22))</f>
        <v/>
      </c>
      <c r="O22">
        <f>ISERROR($E$22)*1</f>
        <v/>
      </c>
    </row>
    <row r="23" ht="37" customHeight="1">
      <c r="A23" s="18" t="inlineStr">
        <is>
          <t>Pesquisa</t>
        </is>
      </c>
      <c r="B23" s="21">
        <f>'Criação'!$B$76</f>
        <v/>
      </c>
      <c r="C23" s="21">
        <f>IFERROR(INDEX('Criação'!$F$44:$F$49,MATCH($B$23,'Criação'!$A$44:$A$49,0)),0)</f>
        <v/>
      </c>
      <c r="D23" s="21">
        <f>IF('Criação'!$E$76="Sim","Sim ("&amp;'Criação'!$F$76&amp;")","Não")</f>
        <v/>
      </c>
      <c r="E23" s="36" t="n"/>
      <c r="F23" s="21">
        <f>IF($B$23="Agilidade",'Criação'!$E$93,0)</f>
        <v/>
      </c>
      <c r="G23" s="21">
        <f>IF('Equipamento'!$L$31="Pesquisa",'Equipamento'!$K$31,0)+MIN('Criação'!$J$14,COUNTIF('Equipamento'!$P$45:$P$47,"Pesquisa"))</f>
        <v/>
      </c>
      <c r="H23" s="19">
        <f>$C$23+IF('Criação'!$E$76="Sim",IF(AND($N$23="Sim",'Criação'!$E$76="Sim",COUNTIF($N$16:$N$23,"Sim")&lt;='Criação'!$E$14),2*'Criação'!$C$14,'Criação'!$C$14),0)+$F$23+$G$23</f>
        <v/>
      </c>
      <c r="I23" s="19">
        <f>"d20"&amp;IF($H$23&gt;=0,"+","")&amp;$H$23</f>
        <v/>
      </c>
      <c r="J23" s="9">
        <f>""</f>
        <v/>
      </c>
      <c r="K23" s="9">
        <f>IF($H$23&gt;=$B$12,"Heroica ("&amp;$B$12&amp;")",IF($H$23&gt;=$B$11,"Muito Difícil ("&amp;$B$11&amp;")",IF($H$23&gt;=$B$10,"Difícil ("&amp;$B$10&amp;")",IF($H$23&gt;=$B$9,"Média ("&amp;$B$9&amp;")",IF($H$23&gt;=$B$8,"Fácil ("&amp;$B$8&amp;")",IF($H$23&gt;=$B$7,"Trivial ("&amp;$B$7&amp;")","—"))))))</f>
        <v/>
      </c>
      <c r="L23" s="20">
        <f>IF(O23&gt;0,"O Google leu como fórmula: escolha de novo na lista.",IF($N$23&lt;&gt;"Sim","",IF('Criação'!$E$76&lt;&gt;"Sim","Eficácia exige Eficiência nesta Perícia",IF(COUNTIF($N$16:$N$23,"Sim")&gt;'Criação'!$E$14,"Acima dos slots de Eficácia em Perícias ("&amp;'Criação'!$E$14&amp;")",""))))</f>
        <v/>
      </c>
      <c r="N23">
        <f>IF(ISERROR($E$23),"",IF(ISBLANK($E$23),"",$E$23))</f>
        <v/>
      </c>
      <c r="O23">
        <f>ISERROR($E$23)*1</f>
        <v/>
      </c>
    </row>
    <row r="24" ht="37" customHeight="1">
      <c r="A24" s="16" t="inlineStr">
        <is>
          <t>Ciência</t>
        </is>
      </c>
      <c r="B24" s="22">
        <f>'Criação'!$B$77</f>
        <v/>
      </c>
      <c r="C24" s="22">
        <f>IFERROR(INDEX('Criação'!$F$44:$F$49,MATCH($B$24,'Criação'!$A$44:$A$49,0)),0)</f>
        <v/>
      </c>
      <c r="D24" s="22">
        <f>IF('Criação'!$E$77="Sim","Sim ("&amp;'Criação'!$F$77&amp;")","Não")</f>
        <v/>
      </c>
      <c r="E24" s="23" t="n"/>
      <c r="F24" s="22">
        <f>IF($B$24="Agilidade",'Criação'!$E$93,0)</f>
        <v/>
      </c>
      <c r="G24" s="22">
        <f>IF('Equipamento'!$L$31="Ciência",'Equipamento'!$K$31,0)+MIN('Criação'!$J$14,COUNTIF('Equipamento'!$P$45:$P$47,"Ciência"))</f>
        <v/>
      </c>
      <c r="H24" s="17">
        <f>$C$24+IF('Criação'!$E$77="Sim",IF(AND($N$24="Sim",'Criação'!$E$77="Sim",COUNTIF($N$16:$N$24,"Sim")&lt;='Criação'!$E$14),2*'Criação'!$C$14,'Criação'!$C$14),0)+$F$24+$G$24</f>
        <v/>
      </c>
      <c r="I24" s="17">
        <f>"d20"&amp;IF($H$24&gt;=0,"+","")&amp;$H$24</f>
        <v/>
      </c>
      <c r="J24" s="4">
        <f>""</f>
        <v/>
      </c>
      <c r="K24" s="4">
        <f>IF($H$24&gt;=$B$12,"Heroica ("&amp;$B$12&amp;")",IF($H$24&gt;=$B$11,"Muito Difícil ("&amp;$B$11&amp;")",IF($H$24&gt;=$B$10,"Difícil ("&amp;$B$10&amp;")",IF($H$24&gt;=$B$9,"Média ("&amp;$B$9&amp;")",IF($H$24&gt;=$B$8,"Fácil ("&amp;$B$8&amp;")",IF($H$24&gt;=$B$7,"Trivial ("&amp;$B$7&amp;")","—"))))))</f>
        <v/>
      </c>
      <c r="L24" s="13">
        <f>IF(O24&gt;0,"O Google leu como fórmula: escolha de novo na lista.",IF($N$24&lt;&gt;"Sim","",IF('Criação'!$E$77&lt;&gt;"Sim","Eficácia exige Eficiência nesta Perícia",IF(COUNTIF($N$16:$N$24,"Sim")&gt;'Criação'!$E$14,"Acima dos slots de Eficácia em Perícias ("&amp;'Criação'!$E$14&amp;")",""))))</f>
        <v/>
      </c>
      <c r="N24">
        <f>IF(ISERROR($E$24),"",IF(ISBLANK($E$24),"",$E$24))</f>
        <v/>
      </c>
      <c r="O24">
        <f>ISERROR($E$24)*1</f>
        <v/>
      </c>
    </row>
    <row r="25" ht="37" customHeight="1">
      <c r="A25" s="18" t="inlineStr">
        <is>
          <t>Mecânica</t>
        </is>
      </c>
      <c r="B25" s="21">
        <f>'Criação'!$B$78</f>
        <v/>
      </c>
      <c r="C25" s="21">
        <f>IFERROR(INDEX('Criação'!$F$44:$F$49,MATCH($B$25,'Criação'!$A$44:$A$49,0)),0)</f>
        <v/>
      </c>
      <c r="D25" s="21">
        <f>IF('Criação'!$E$78="Sim","Sim ("&amp;'Criação'!$F$78&amp;")","Não")</f>
        <v/>
      </c>
      <c r="E25" s="36" t="n"/>
      <c r="F25" s="21">
        <f>IF($B$25="Agilidade",'Criação'!$E$93,0)</f>
        <v/>
      </c>
      <c r="G25" s="21">
        <f>IF('Equipamento'!$L$31="Mecânica",'Equipamento'!$K$31,0)+MIN('Criação'!$J$14,COUNTIF('Equipamento'!$P$45:$P$47,"Mecânica"))</f>
        <v/>
      </c>
      <c r="H25" s="19">
        <f>$C$25+IF('Criação'!$E$78="Sim",IF(AND($N$25="Sim",'Criação'!$E$78="Sim",COUNTIF($N$16:$N$25,"Sim")&lt;='Criação'!$E$14),2*'Criação'!$C$14,'Criação'!$C$14),0)+$F$25+$G$25</f>
        <v/>
      </c>
      <c r="I25" s="19">
        <f>"d20"&amp;IF($H$25&gt;=0,"+","")&amp;$H$25</f>
        <v/>
      </c>
      <c r="J25" s="9">
        <f>IF(OR('Criação'!$Q$25="Intellitron"),"Vantagem ("&amp;'Criação'!$Q$25&amp;")","")</f>
        <v/>
      </c>
      <c r="K25" s="9">
        <f>IF($H$25&gt;=$B$12,"Heroica ("&amp;$B$12&amp;")",IF($H$25&gt;=$B$11,"Muito Difícil ("&amp;$B$11&amp;")",IF($H$25&gt;=$B$10,"Difícil ("&amp;$B$10&amp;")",IF($H$25&gt;=$B$9,"Média ("&amp;$B$9&amp;")",IF($H$25&gt;=$B$8,"Fácil ("&amp;$B$8&amp;")",IF($H$25&gt;=$B$7,"Trivial ("&amp;$B$7&amp;")","—"))))))</f>
        <v/>
      </c>
      <c r="L25" s="20">
        <f>IF(O25&gt;0,"O Google leu como fórmula: escolha de novo na lista.",IF($N$25&lt;&gt;"Sim","",IF('Criação'!$E$78&lt;&gt;"Sim","Eficácia exige Eficiência nesta Perícia",IF(COUNTIF($N$16:$N$25,"Sim")&gt;'Criação'!$E$14,"Acima dos slots de Eficácia em Perícias ("&amp;'Criação'!$E$14&amp;")",""))))</f>
        <v/>
      </c>
      <c r="N25">
        <f>IF(ISERROR($E$25),"",IF(ISBLANK($E$25),"",$E$25))</f>
        <v/>
      </c>
      <c r="O25">
        <f>ISERROR($E$25)*1</f>
        <v/>
      </c>
    </row>
    <row r="26" ht="37" customHeight="1">
      <c r="A26" s="16" t="inlineStr">
        <is>
          <t>Percepção</t>
        </is>
      </c>
      <c r="B26" s="22">
        <f>'Criação'!$B$79</f>
        <v/>
      </c>
      <c r="C26" s="22">
        <f>IFERROR(INDEX('Criação'!$F$44:$F$49,MATCH($B$26,'Criação'!$A$44:$A$49,0)),0)</f>
        <v/>
      </c>
      <c r="D26" s="22">
        <f>IF('Criação'!$E$79="Sim","Sim ("&amp;'Criação'!$F$79&amp;")","Não")</f>
        <v/>
      </c>
      <c r="E26" s="23" t="n"/>
      <c r="F26" s="22">
        <f>IF($B$26="Agilidade",'Criação'!$E$93,0)</f>
        <v/>
      </c>
      <c r="G26" s="22">
        <f>IF('Equipamento'!$L$31="Percepção",'Equipamento'!$K$31,0)+MIN('Criação'!$J$14,COUNTIF('Equipamento'!$P$45:$P$47,"Percepção"))</f>
        <v/>
      </c>
      <c r="H26" s="17">
        <f>$C$26+IF('Criação'!$E$79="Sim",IF(AND($N$26="Sim",'Criação'!$E$79="Sim",COUNTIF($N$16:$N$26,"Sim")&lt;='Criação'!$E$14),2*'Criação'!$C$14,'Criação'!$C$14),0)+$F$26+$G$26</f>
        <v/>
      </c>
      <c r="I26" s="17">
        <f>"d20"&amp;IF($H$26&gt;=0,"+","")&amp;$H$26</f>
        <v/>
      </c>
      <c r="J26" s="4">
        <f>""</f>
        <v/>
      </c>
      <c r="K26" s="4">
        <f>IF($H$26&gt;=$B$12,"Heroica ("&amp;$B$12&amp;")",IF($H$26&gt;=$B$11,"Muito Difícil ("&amp;$B$11&amp;")",IF($H$26&gt;=$B$10,"Difícil ("&amp;$B$10&amp;")",IF($H$26&gt;=$B$9,"Média ("&amp;$B$9&amp;")",IF($H$26&gt;=$B$8,"Fácil ("&amp;$B$8&amp;")",IF($H$26&gt;=$B$7,"Trivial ("&amp;$B$7&amp;")","—"))))))</f>
        <v/>
      </c>
      <c r="L26" s="13">
        <f>IF(O26&gt;0,"O Google leu como fórmula: escolha de novo na lista.",IF($N$26&lt;&gt;"Sim","",IF('Criação'!$E$79&lt;&gt;"Sim","Eficácia exige Eficiência nesta Perícia",IF(COUNTIF($N$16:$N$26,"Sim")&gt;'Criação'!$E$14,"Acima dos slots de Eficácia em Perícias ("&amp;'Criação'!$E$14&amp;")",""))))</f>
        <v/>
      </c>
      <c r="N26">
        <f>IF(ISERROR($E$26),"",IF(ISBLANK($E$26),"",$E$26))</f>
        <v/>
      </c>
      <c r="O26">
        <f>ISERROR($E$26)*1</f>
        <v/>
      </c>
    </row>
    <row r="27" ht="37" customHeight="1">
      <c r="A27" s="18" t="inlineStr">
        <is>
          <t>Sobrevivência</t>
        </is>
      </c>
      <c r="B27" s="21">
        <f>'Criação'!$B$80</f>
        <v/>
      </c>
      <c r="C27" s="21">
        <f>IFERROR(INDEX('Criação'!$F$44:$F$49,MATCH($B$27,'Criação'!$A$44:$A$49,0)),0)</f>
        <v/>
      </c>
      <c r="D27" s="21">
        <f>IF('Criação'!$E$80="Sim","Sim ("&amp;'Criação'!$F$80&amp;")","Não")</f>
        <v/>
      </c>
      <c r="E27" s="36" t="n"/>
      <c r="F27" s="21">
        <f>IF($B$27="Agilidade",'Criação'!$E$93,0)</f>
        <v/>
      </c>
      <c r="G27" s="21">
        <f>IF('Equipamento'!$L$31="Sobrevivência",'Equipamento'!$K$31,0)+MIN('Criação'!$J$14,COUNTIF('Equipamento'!$P$45:$P$47,"Sobrevivência"))</f>
        <v/>
      </c>
      <c r="H27" s="19">
        <f>$C$27+IF('Criação'!$E$80="Sim",IF(AND($N$27="Sim",'Criação'!$E$80="Sim",COUNTIF($N$16:$N$27,"Sim")&lt;='Criação'!$E$14),2*'Criação'!$C$14,'Criação'!$C$14),0)+$F$27+$G$27</f>
        <v/>
      </c>
      <c r="I27" s="19">
        <f>"d20"&amp;IF($H$27&gt;=0,"+","")&amp;$H$27</f>
        <v/>
      </c>
      <c r="J27" s="9">
        <f>""</f>
        <v/>
      </c>
      <c r="K27" s="9">
        <f>IF($H$27&gt;=$B$12,"Heroica ("&amp;$B$12&amp;")",IF($H$27&gt;=$B$11,"Muito Difícil ("&amp;$B$11&amp;")",IF($H$27&gt;=$B$10,"Difícil ("&amp;$B$10&amp;")",IF($H$27&gt;=$B$9,"Média ("&amp;$B$9&amp;")",IF($H$27&gt;=$B$8,"Fácil ("&amp;$B$8&amp;")",IF($H$27&gt;=$B$7,"Trivial ("&amp;$B$7&amp;")","—"))))))</f>
        <v/>
      </c>
      <c r="L27" s="20">
        <f>IF(O27&gt;0,"O Google leu como fórmula: escolha de novo na lista.",IF($N$27&lt;&gt;"Sim","",IF('Criação'!$E$80&lt;&gt;"Sim","Eficácia exige Eficiência nesta Perícia",IF(COUNTIF($N$16:$N$27,"Sim")&gt;'Criação'!$E$14,"Acima dos slots de Eficácia em Perícias ("&amp;'Criação'!$E$14&amp;")",""))))</f>
        <v/>
      </c>
      <c r="N27">
        <f>IF(ISERROR($E$27),"",IF(ISBLANK($E$27),"",$E$27))</f>
        <v/>
      </c>
      <c r="O27">
        <f>ISERROR($E$27)*1</f>
        <v/>
      </c>
    </row>
    <row r="28" ht="37" customHeight="1">
      <c r="A28" s="16" t="inlineStr">
        <is>
          <t>Intuição</t>
        </is>
      </c>
      <c r="B28" s="22">
        <f>'Criação'!$B$81</f>
        <v/>
      </c>
      <c r="C28" s="22">
        <f>IFERROR(INDEX('Criação'!$F$44:$F$49,MATCH($B$28,'Criação'!$A$44:$A$49,0)),0)</f>
        <v/>
      </c>
      <c r="D28" s="22">
        <f>IF('Criação'!$E$81="Sim","Sim ("&amp;'Criação'!$F$81&amp;")","Não")</f>
        <v/>
      </c>
      <c r="E28" s="23" t="n"/>
      <c r="F28" s="22">
        <f>IF($B$28="Agilidade",'Criação'!$E$93,0)</f>
        <v/>
      </c>
      <c r="G28" s="22">
        <f>IF('Equipamento'!$L$31="Intuição",'Equipamento'!$K$31,0)+MIN('Criação'!$J$14,COUNTIF('Equipamento'!$P$45:$P$47,"Intuição"))</f>
        <v/>
      </c>
      <c r="H28" s="17">
        <f>$C$28+IF('Criação'!$E$81="Sim",IF(AND($N$28="Sim",'Criação'!$E$81="Sim",COUNTIF($N$16:$N$28,"Sim")&lt;='Criação'!$E$14),2*'Criação'!$C$14,'Criação'!$C$14),0)+$F$28+$G$28</f>
        <v/>
      </c>
      <c r="I28" s="17">
        <f>"d20"&amp;IF($H$28&gt;=0,"+","")&amp;$H$28</f>
        <v/>
      </c>
      <c r="J28" s="4">
        <f>""</f>
        <v/>
      </c>
      <c r="K28" s="4">
        <f>IF($H$28&gt;=$B$12,"Heroica ("&amp;$B$12&amp;")",IF($H$28&gt;=$B$11,"Muito Difícil ("&amp;$B$11&amp;")",IF($H$28&gt;=$B$10,"Difícil ("&amp;$B$10&amp;")",IF($H$28&gt;=$B$9,"Média ("&amp;$B$9&amp;")",IF($H$28&gt;=$B$8,"Fácil ("&amp;$B$8&amp;")",IF($H$28&gt;=$B$7,"Trivial ("&amp;$B$7&amp;")","—"))))))</f>
        <v/>
      </c>
      <c r="L28" s="13">
        <f>IF(O28&gt;0,"O Google leu como fórmula: escolha de novo na lista.",IF($N$28&lt;&gt;"Sim","",IF('Criação'!$E$81&lt;&gt;"Sim","Eficácia exige Eficiência nesta Perícia",IF(COUNTIF($N$16:$N$28,"Sim")&gt;'Criação'!$E$14,"Acima dos slots de Eficácia em Perícias ("&amp;'Criação'!$E$14&amp;")",""))))</f>
        <v/>
      </c>
      <c r="N28">
        <f>IF(ISERROR($E$28),"",IF(ISBLANK($E$28),"",$E$28))</f>
        <v/>
      </c>
      <c r="O28">
        <f>ISERROR($E$28)*1</f>
        <v/>
      </c>
    </row>
    <row r="29" ht="37" customHeight="1">
      <c r="A29" s="18" t="inlineStr">
        <is>
          <t>Investigação</t>
        </is>
      </c>
      <c r="B29" s="21">
        <f>'Criação'!$B$82</f>
        <v/>
      </c>
      <c r="C29" s="21">
        <f>IFERROR(INDEX('Criação'!$F$44:$F$49,MATCH($B$29,'Criação'!$A$44:$A$49,0)),0)</f>
        <v/>
      </c>
      <c r="D29" s="21">
        <f>IF('Criação'!$E$82="Sim","Sim ("&amp;'Criação'!$F$82&amp;")","Não")</f>
        <v/>
      </c>
      <c r="E29" s="36" t="n"/>
      <c r="F29" s="21">
        <f>IF($B$29="Agilidade",'Criação'!$E$93,0)</f>
        <v/>
      </c>
      <c r="G29" s="21">
        <f>IF('Equipamento'!$L$31="Investigação",'Equipamento'!$K$31,0)+MIN('Criação'!$J$14,COUNTIF('Equipamento'!$P$45:$P$47,"Investigação"))</f>
        <v/>
      </c>
      <c r="H29" s="19">
        <f>$C$29+IF('Criação'!$E$82="Sim",IF(AND($N$29="Sim",'Criação'!$E$82="Sim",COUNTIF($N$16:$N$29,"Sim")&lt;='Criação'!$E$14),2*'Criação'!$C$14,'Criação'!$C$14),0)+$F$29+$G$29</f>
        <v/>
      </c>
      <c r="I29" s="19">
        <f>"d20"&amp;IF($H$29&gt;=0,"+","")&amp;$H$29</f>
        <v/>
      </c>
      <c r="J29" s="9">
        <f>""</f>
        <v/>
      </c>
      <c r="K29" s="9">
        <f>IF($H$29&gt;=$B$12,"Heroica ("&amp;$B$12&amp;")",IF($H$29&gt;=$B$11,"Muito Difícil ("&amp;$B$11&amp;")",IF($H$29&gt;=$B$10,"Difícil ("&amp;$B$10&amp;")",IF($H$29&gt;=$B$9,"Média ("&amp;$B$9&amp;")",IF($H$29&gt;=$B$8,"Fácil ("&amp;$B$8&amp;")",IF($H$29&gt;=$B$7,"Trivial ("&amp;$B$7&amp;")","—"))))))</f>
        <v/>
      </c>
      <c r="L29" s="20">
        <f>IF(O29&gt;0,"O Google leu como fórmula: escolha de novo na lista.",IF($N$29&lt;&gt;"Sim","",IF('Criação'!$E$82&lt;&gt;"Sim","Eficácia exige Eficiência nesta Perícia",IF(COUNTIF($N$16:$N$29,"Sim")&gt;'Criação'!$E$14,"Acima dos slots de Eficácia em Perícias ("&amp;'Criação'!$E$14&amp;")",""))))</f>
        <v/>
      </c>
      <c r="N29">
        <f>IF(ISERROR($E$29),"",IF(ISBLANK($E$29),"",$E$29))</f>
        <v/>
      </c>
      <c r="O29">
        <f>ISERROR($E$29)*1</f>
        <v/>
      </c>
    </row>
    <row r="30" ht="40" customHeight="1">
      <c r="A30" s="7" t="inlineStr">
        <is>
          <t>Perícia (Presença e Sintonia)</t>
        </is>
      </c>
      <c r="B30" s="7" t="inlineStr">
        <is>
          <t>Atributo</t>
        </is>
      </c>
      <c r="C30" s="7" t="inlineStr">
        <is>
          <t>Bônus</t>
        </is>
      </c>
      <c r="D30" s="7" t="inlineStr">
        <is>
          <t>Eficiência (origem)</t>
        </is>
      </c>
      <c r="E30" s="7" t="inlineStr">
        <is>
          <t>Eficácia (preencha Sim)</t>
        </is>
      </c>
      <c r="F30" s="7" t="inlineStr">
        <is>
          <t>Penalidade (Armadura Pesada)</t>
        </is>
      </c>
      <c r="G30" s="7" t="inlineStr">
        <is>
          <t>Extra (equipamento)</t>
        </is>
      </c>
      <c r="H30" s="7" t="inlineStr">
        <is>
          <t>Total</t>
        </is>
      </c>
      <c r="I30" s="7" t="inlineStr">
        <is>
          <t>Rolagem</t>
        </is>
      </c>
      <c r="J30" s="7" t="inlineStr">
        <is>
          <t>Vantagem racial</t>
        </is>
      </c>
      <c r="K30" s="7" t="inlineStr">
        <is>
          <t>Sucesso Automático até</t>
        </is>
      </c>
      <c r="L30" s="7" t="inlineStr">
        <is>
          <t>Aviso</t>
        </is>
      </c>
      <c r="N30">
        <f>IF(ISERROR($E$30),"",IF(ISBLANK($E$30),"",$E$30))</f>
        <v/>
      </c>
    </row>
    <row r="31" ht="37" customHeight="1">
      <c r="A31" s="16" t="inlineStr">
        <is>
          <t>Persuasão</t>
        </is>
      </c>
      <c r="B31" s="22">
        <f>'Criação'!$B$84</f>
        <v/>
      </c>
      <c r="C31" s="22">
        <f>IFERROR(INDEX('Criação'!$F$44:$F$49,MATCH($B$31,'Criação'!$A$44:$A$49,0)),0)</f>
        <v/>
      </c>
      <c r="D31" s="22">
        <f>IF('Criação'!$E$84="Sim","Sim ("&amp;'Criação'!$F$84&amp;")","Não")</f>
        <v/>
      </c>
      <c r="E31" s="23" t="n"/>
      <c r="F31" s="22">
        <f>IF($B$31="Agilidade",'Criação'!$E$93,0)</f>
        <v/>
      </c>
      <c r="G31" s="22">
        <f>IF('Equipamento'!$L$31="Persuasão",'Equipamento'!$K$31,0)+MIN('Criação'!$J$14,COUNTIF('Equipamento'!$P$45:$P$47,"Persuasão"))</f>
        <v/>
      </c>
      <c r="H31" s="17">
        <f>$C$31+IF('Criação'!$E$84="Sim",IF(AND($N$31="Sim",'Criação'!$E$84="Sim",COUNTIF($N$16:$N$31,"Sim")&lt;='Criação'!$E$14),2*'Criação'!$C$14,'Criação'!$C$14),0)+$F$31+$G$31</f>
        <v/>
      </c>
      <c r="I31" s="17">
        <f>"d20"&amp;IF($H$31&gt;=0,"+","")&amp;$H$31</f>
        <v/>
      </c>
      <c r="J31" s="4">
        <f>IF(OR('Criação'!$Q$25="Vulpes"),"Vantagem ("&amp;'Criação'!$Q$25&amp;")","")</f>
        <v/>
      </c>
      <c r="K31" s="4">
        <f>IF($H$31&gt;=$B$12,"Heroica ("&amp;$B$12&amp;")",IF($H$31&gt;=$B$11,"Muito Difícil ("&amp;$B$11&amp;")",IF($H$31&gt;=$B$10,"Difícil ("&amp;$B$10&amp;")",IF($H$31&gt;=$B$9,"Média ("&amp;$B$9&amp;")",IF($H$31&gt;=$B$8,"Fácil ("&amp;$B$8&amp;")",IF($H$31&gt;=$B$7,"Trivial ("&amp;$B$7&amp;")","—"))))))</f>
        <v/>
      </c>
      <c r="L31" s="13">
        <f>IF(O31&gt;0,"O Google leu como fórmula: escolha de novo na lista.",IF($N$31&lt;&gt;"Sim","",IF('Criação'!$E$84&lt;&gt;"Sim","Eficácia exige Eficiência nesta Perícia",IF(COUNTIF($N$16:$N$31,"Sim")&gt;'Criação'!$E$14,"Acima dos slots de Eficácia em Perícias ("&amp;'Criação'!$E$14&amp;")",""))))</f>
        <v/>
      </c>
      <c r="N31">
        <f>IF(ISERROR($E$31),"",IF(ISBLANK($E$31),"",$E$31))</f>
        <v/>
      </c>
      <c r="O31">
        <f>ISERROR($E$31)*1</f>
        <v/>
      </c>
    </row>
    <row r="32" ht="37" customHeight="1">
      <c r="A32" s="18" t="inlineStr">
        <is>
          <t>Intimidação</t>
        </is>
      </c>
      <c r="B32" s="21">
        <f>'Criação'!$B$85</f>
        <v/>
      </c>
      <c r="C32" s="21">
        <f>IFERROR(INDEX('Criação'!$F$44:$F$49,MATCH($B$32,'Criação'!$A$44:$A$49,0)),0)</f>
        <v/>
      </c>
      <c r="D32" s="21">
        <f>IF('Criação'!$E$85="Sim","Sim ("&amp;'Criação'!$F$85&amp;")","Não")</f>
        <v/>
      </c>
      <c r="E32" s="36" t="n"/>
      <c r="F32" s="21">
        <f>IF($B$32="Agilidade",'Criação'!$E$93,0)</f>
        <v/>
      </c>
      <c r="G32" s="21">
        <f>IF('Equipamento'!$L$31="Intimidação",'Equipamento'!$K$31,0)+MIN('Criação'!$J$14,COUNTIF('Equipamento'!$P$45:$P$47,"Intimidação"))</f>
        <v/>
      </c>
      <c r="H32" s="19">
        <f>$C$32+IF('Criação'!$E$85="Sim",IF(AND($N$32="Sim",'Criação'!$E$85="Sim",COUNTIF($N$16:$N$32,"Sim")&lt;='Criação'!$E$14),2*'Criação'!$C$14,'Criação'!$C$14),0)+$F$32+$G$32</f>
        <v/>
      </c>
      <c r="I32" s="19">
        <f>"d20"&amp;IF($H$32&gt;=0,"+","")&amp;$H$32</f>
        <v/>
      </c>
      <c r="J32" s="9">
        <f>IF(OR('Criação'!$Q$25="Vulpes"),"Vantagem ("&amp;'Criação'!$Q$25&amp;")","")</f>
        <v/>
      </c>
      <c r="K32" s="9">
        <f>IF($H$32&gt;=$B$12,"Heroica ("&amp;$B$12&amp;")",IF($H$32&gt;=$B$11,"Muito Difícil ("&amp;$B$11&amp;")",IF($H$32&gt;=$B$10,"Difícil ("&amp;$B$10&amp;")",IF($H$32&gt;=$B$9,"Média ("&amp;$B$9&amp;")",IF($H$32&gt;=$B$8,"Fácil ("&amp;$B$8&amp;")",IF($H$32&gt;=$B$7,"Trivial ("&amp;$B$7&amp;")","—"))))))</f>
        <v/>
      </c>
      <c r="L32" s="20">
        <f>IF(O32&gt;0,"O Google leu como fórmula: escolha de novo na lista.",IF($N$32&lt;&gt;"Sim","",IF('Criação'!$E$85&lt;&gt;"Sim","Eficácia exige Eficiência nesta Perícia",IF(COUNTIF($N$16:$N$32,"Sim")&gt;'Criação'!$E$14,"Acima dos slots de Eficácia em Perícias ("&amp;'Criação'!$E$14&amp;")",""))))</f>
        <v/>
      </c>
      <c r="N32">
        <f>IF(ISERROR($E$32),"",IF(ISBLANK($E$32),"",$E$32))</f>
        <v/>
      </c>
      <c r="O32">
        <f>ISERROR($E$32)*1</f>
        <v/>
      </c>
    </row>
    <row r="33" ht="37" customHeight="1">
      <c r="A33" s="16" t="inlineStr">
        <is>
          <t>Enganação</t>
        </is>
      </c>
      <c r="B33" s="22">
        <f>'Criação'!$B$86</f>
        <v/>
      </c>
      <c r="C33" s="22">
        <f>IFERROR(INDEX('Criação'!$F$44:$F$49,MATCH($B$33,'Criação'!$A$44:$A$49,0)),0)</f>
        <v/>
      </c>
      <c r="D33" s="22">
        <f>IF('Criação'!$E$86="Sim","Sim ("&amp;'Criação'!$F$86&amp;")","Não")</f>
        <v/>
      </c>
      <c r="E33" s="23" t="n"/>
      <c r="F33" s="22">
        <f>IF($B$33="Agilidade",'Criação'!$E$93,0)</f>
        <v/>
      </c>
      <c r="G33" s="22">
        <f>IF('Equipamento'!$L$31="Enganação",'Equipamento'!$K$31,0)+MIN('Criação'!$J$14,COUNTIF('Equipamento'!$P$45:$P$47,"Enganação"))</f>
        <v/>
      </c>
      <c r="H33" s="17">
        <f>$C$33+IF('Criação'!$E$86="Sim",IF(AND($N$33="Sim",'Criação'!$E$86="Sim",COUNTIF($N$16:$N$33,"Sim")&lt;='Criação'!$E$14),2*'Criação'!$C$14,'Criação'!$C$14),0)+$F$33+$G$33</f>
        <v/>
      </c>
      <c r="I33" s="17">
        <f>"d20"&amp;IF($H$33&gt;=0,"+","")&amp;$H$33</f>
        <v/>
      </c>
      <c r="J33" s="4">
        <f>IF(OR('Criação'!$Q$25="Vulpes"),"Vantagem ("&amp;'Criação'!$Q$25&amp;")","")</f>
        <v/>
      </c>
      <c r="K33" s="4">
        <f>IF($H$33&gt;=$B$12,"Heroica ("&amp;$B$12&amp;")",IF($H$33&gt;=$B$11,"Muito Difícil ("&amp;$B$11&amp;")",IF($H$33&gt;=$B$10,"Difícil ("&amp;$B$10&amp;")",IF($H$33&gt;=$B$9,"Média ("&amp;$B$9&amp;")",IF($H$33&gt;=$B$8,"Fácil ("&amp;$B$8&amp;")",IF($H$33&gt;=$B$7,"Trivial ("&amp;$B$7&amp;")","—"))))))</f>
        <v/>
      </c>
      <c r="L33" s="13">
        <f>IF(O33&gt;0,"O Google leu como fórmula: escolha de novo na lista.",IF($N$33&lt;&gt;"Sim","",IF('Criação'!$E$86&lt;&gt;"Sim","Eficácia exige Eficiência nesta Perícia",IF(COUNTIF($N$16:$N$33,"Sim")&gt;'Criação'!$E$14,"Acima dos slots de Eficácia em Perícias ("&amp;'Criação'!$E$14&amp;")",""))))</f>
        <v/>
      </c>
      <c r="N33">
        <f>IF(ISERROR($E$33),"",IF(ISBLANK($E$33),"",$E$33))</f>
        <v/>
      </c>
      <c r="O33">
        <f>ISERROR($E$33)*1</f>
        <v/>
      </c>
    </row>
    <row r="34" ht="37" customHeight="1">
      <c r="A34" s="18" t="inlineStr">
        <is>
          <t>Liderança</t>
        </is>
      </c>
      <c r="B34" s="21">
        <f>'Criação'!$B$87</f>
        <v/>
      </c>
      <c r="C34" s="21">
        <f>IFERROR(INDEX('Criação'!$F$44:$F$49,MATCH($B$34,'Criação'!$A$44:$A$49,0)),0)</f>
        <v/>
      </c>
      <c r="D34" s="21">
        <f>IF('Criação'!$E$87="Sim","Sim ("&amp;'Criação'!$F$87&amp;")","Não")</f>
        <v/>
      </c>
      <c r="E34" s="36" t="n"/>
      <c r="F34" s="21">
        <f>IF($B$34="Agilidade",'Criação'!$E$93,0)</f>
        <v/>
      </c>
      <c r="G34" s="21">
        <f>IF('Equipamento'!$L$31="Liderança",'Equipamento'!$K$31,0)+MIN('Criação'!$J$14,COUNTIF('Equipamento'!$P$45:$P$47,"Liderança"))</f>
        <v/>
      </c>
      <c r="H34" s="19">
        <f>$C$34+IF('Criação'!$E$87="Sim",IF(AND($N$34="Sim",'Criação'!$E$87="Sim",COUNTIF($N$16:$N$34,"Sim")&lt;='Criação'!$E$14),2*'Criação'!$C$14,'Criação'!$C$14),0)+$F$34+$G$34</f>
        <v/>
      </c>
      <c r="I34" s="19">
        <f>"d20"&amp;IF($H$34&gt;=0,"+","")&amp;$H$34</f>
        <v/>
      </c>
      <c r="J34" s="9">
        <f>IF(OR('Criação'!$Q$25="Vulpes"),"Vantagem ("&amp;'Criação'!$Q$25&amp;")","")</f>
        <v/>
      </c>
      <c r="K34" s="9">
        <f>IF($H$34&gt;=$B$12,"Heroica ("&amp;$B$12&amp;")",IF($H$34&gt;=$B$11,"Muito Difícil ("&amp;$B$11&amp;")",IF($H$34&gt;=$B$10,"Difícil ("&amp;$B$10&amp;")",IF($H$34&gt;=$B$9,"Média ("&amp;$B$9&amp;")",IF($H$34&gt;=$B$8,"Fácil ("&amp;$B$8&amp;")",IF($H$34&gt;=$B$7,"Trivial ("&amp;$B$7&amp;")","—"))))))</f>
        <v/>
      </c>
      <c r="L34" s="20">
        <f>IF(O34&gt;0,"O Google leu como fórmula: escolha de novo na lista.",IF($N$34&lt;&gt;"Sim","",IF('Criação'!$E$87&lt;&gt;"Sim","Eficácia exige Eficiência nesta Perícia",IF(COUNTIF($N$16:$N$34,"Sim")&gt;'Criação'!$E$14,"Acima dos slots de Eficácia em Perícias ("&amp;'Criação'!$E$14&amp;")",""))))</f>
        <v/>
      </c>
      <c r="N34">
        <f>IF(ISERROR($E$34),"",IF(ISBLANK($E$34),"",$E$34))</f>
        <v/>
      </c>
      <c r="O34">
        <f>ISERROR($E$34)*1</f>
        <v/>
      </c>
    </row>
    <row r="35" ht="37" customHeight="1">
      <c r="A35" s="16" t="inlineStr">
        <is>
          <t>Sintonia</t>
        </is>
      </c>
      <c r="B35" s="22">
        <f>'Criação'!$B$88</f>
        <v/>
      </c>
      <c r="C35" s="22">
        <f>IFERROR(INDEX('Criação'!$F$44:$F$49,MATCH($B$35,'Criação'!$A$44:$A$49,0)),0)</f>
        <v/>
      </c>
      <c r="D35" s="22">
        <f>IF('Criação'!$E$88="Sim","Sim ("&amp;'Criação'!$F$88&amp;")","Não")</f>
        <v/>
      </c>
      <c r="E35" s="23" t="n"/>
      <c r="F35" s="22">
        <f>IF($B$35="Agilidade",'Criação'!$E$93,0)</f>
        <v/>
      </c>
      <c r="G35" s="22">
        <f>IF('Equipamento'!$L$31="Sintonia",'Equipamento'!$K$31,0)+MIN('Criação'!$J$14,COUNTIF('Equipamento'!$P$45:$P$47,"Sintonia"))</f>
        <v/>
      </c>
      <c r="H35" s="17">
        <f>$C$35+IF('Criação'!$E$88="Sim",IF(AND($N$35="Sim",'Criação'!$E$88="Sim",COUNTIF($N$16:$N$35,"Sim")&lt;='Criação'!$E$14),2*'Criação'!$C$14,'Criação'!$C$14),0)+$F$35+$G$35</f>
        <v/>
      </c>
      <c r="I35" s="17">
        <f>"d20"&amp;IF($H$35&gt;=0,"+","")&amp;$H$35</f>
        <v/>
      </c>
      <c r="J35" s="4">
        <f>""</f>
        <v/>
      </c>
      <c r="K35" s="4">
        <f>IF($H$35&gt;=$B$12,"Heroica ("&amp;$B$12&amp;")",IF($H$35&gt;=$B$11,"Muito Difícil ("&amp;$B$11&amp;")",IF($H$35&gt;=$B$10,"Difícil ("&amp;$B$10&amp;")",IF($H$35&gt;=$B$9,"Média ("&amp;$B$9&amp;")",IF($H$35&gt;=$B$8,"Fácil ("&amp;$B$8&amp;")",IF($H$35&gt;=$B$7,"Trivial ("&amp;$B$7&amp;")","—"))))))</f>
        <v/>
      </c>
      <c r="L35" s="13">
        <f>IF(O35&gt;0,"O Google leu como fórmula: escolha de novo na lista.",IF($N$35&lt;&gt;"Sim","",IF('Criação'!$E$88&lt;&gt;"Sim","Eficácia exige Eficiência nesta Perícia",IF(COUNTIF($N$16:$N$35,"Sim")&gt;'Criação'!$E$14,"Acima dos slots de Eficácia em Perícias ("&amp;'Criação'!$E$14&amp;")",""))))</f>
        <v/>
      </c>
      <c r="N35">
        <f>IF(ISERROR($E$35),"",IF(ISBLANK($E$35),"",$E$35))</f>
        <v/>
      </c>
      <c r="O35">
        <f>ISERROR($E$35)*1</f>
        <v/>
      </c>
    </row>
    <row r="36" ht="37" customHeight="1">
      <c r="A36" s="33" t="inlineStr">
        <is>
          <t>Slots de Eficácia em Perícias: marcados / permitidos</t>
        </is>
      </c>
      <c r="B36" s="19">
        <f>COUNTIF($N$16:$N$35,"Sim")</f>
        <v/>
      </c>
      <c r="C36" s="19">
        <f>'Criação'!$E$14</f>
        <v/>
      </c>
      <c r="D36" s="34" t="inlineStr">
        <is>
          <t>Perícias com Eficiência:</t>
        </is>
      </c>
      <c r="E36" s="19">
        <f>'Criação'!$D$67</f>
        <v/>
      </c>
      <c r="F36" s="35" t="n"/>
      <c r="G36" s="35" t="n"/>
      <c r="H36" s="35" t="n"/>
      <c r="I36" s="35" t="n"/>
      <c r="J36" s="35" t="n"/>
      <c r="K36" s="35" t="n"/>
      <c r="L36" s="35" t="n"/>
    </row>
    <row r="37"/>
    <row r="38">
      <c r="A38" s="14" t="inlineStr">
        <is>
          <t>Testes de Resistência — 04.6 e 22 (Eficiência em todos desde o nível 1; sem crítico, sempre rolado)</t>
        </is>
      </c>
    </row>
    <row r="39" ht="40" customHeight="1">
      <c r="A39" s="7" t="inlineStr">
        <is>
          <t>Teste de Resistência</t>
        </is>
      </c>
      <c r="B39" s="7" t="inlineStr">
        <is>
          <t>Atributo</t>
        </is>
      </c>
      <c r="C39" s="7" t="inlineStr">
        <is>
          <t>Bônus</t>
        </is>
      </c>
      <c r="D39" s="7" t="inlineStr">
        <is>
          <t>Eficiência</t>
        </is>
      </c>
      <c r="E39" s="7" t="inlineStr">
        <is>
          <t>Eficácia (preencha Sim)</t>
        </is>
      </c>
      <c r="F39" s="7" t="inlineStr">
        <is>
          <t>Penalidade (Armadura Pesada)</t>
        </is>
      </c>
      <c r="G39" s="7" t="inlineStr">
        <is>
          <t>Extra (Bênçãos)</t>
        </is>
      </c>
      <c r="H39" s="7" t="inlineStr">
        <is>
          <t>Total</t>
        </is>
      </c>
      <c r="I39" s="7" t="inlineStr">
        <is>
          <t>Rolagem</t>
        </is>
      </c>
      <c r="J39" s="7" t="inlineStr">
        <is>
          <t>Vantagem racial</t>
        </is>
      </c>
      <c r="K39" s="7" t="inlineStr">
        <is>
          <t>Aviso</t>
        </is>
      </c>
      <c r="L39" s="15" t="n"/>
    </row>
    <row r="40" ht="37" customHeight="1">
      <c r="A40" s="16" t="inlineStr">
        <is>
          <t>Potência Física</t>
        </is>
      </c>
      <c r="B40" s="22">
        <f>INDEX('Dados'!$B$82:$B$87,1)</f>
        <v/>
      </c>
      <c r="C40" s="22">
        <f>IFERROR(INDEX('Criação'!$F$44:$F$49,MATCH($B$40,'Criação'!$A$44:$A$49,0)),0)</f>
        <v/>
      </c>
      <c r="D40" s="22">
        <f>"+"&amp;'Criação'!$C$14</f>
        <v/>
      </c>
      <c r="E40" s="23" t="n"/>
      <c r="F40" s="22">
        <f>IF($B$40="Agilidade",'Criação'!$E$93,0)</f>
        <v/>
      </c>
      <c r="G40" s="22">
        <f>IF('Equipamento'!$J$31="Potência Física",'Equipamento'!$I$31,0)+MIN('Criação'!$J$14,COUNTIF('Equipamento'!$P$45:$P$47,"Potência Física")+'Em Jogo'!$Q$8)</f>
        <v/>
      </c>
      <c r="H40" s="17">
        <f>$C$40+IF(AND($N$40="Sim",COUNTIF($N$40,"Sim")&lt;='Criação'!$F$14),2*'Criação'!$C$14,'Criação'!$C$14)+$F$40+$G$40</f>
        <v/>
      </c>
      <c r="I40" s="17">
        <f>"d20"&amp;IF($H$40&gt;=0,"+","")&amp;$H$40</f>
        <v/>
      </c>
      <c r="J40" s="4">
        <f>IF(OR('Criação'!$Q$25="Xianzhouíta"),"Vantagem ("&amp;'Criação'!$Q$25&amp;")","")</f>
        <v/>
      </c>
      <c r="K40" s="13">
        <f>IF(O40&gt;0,"O Google leu como fórmula: escolha de novo na lista.",IF(AND($N$40="Sim",COUNTIF($N$40,"Sim")&gt;'Criação'!$F$14),"Acima dos slots de Eficácia em Testes de Resistência ("&amp;'Criação'!$F$14&amp;"). ","")&amp;IF((COUNTIF('Equipamento'!$P$45:$P$47,"Potência Física")+'Em Jogo'!$Q$8)&gt;'Criação'!$J$14,"Bônus temporário acima do teto (+"&amp;'Criação'!$J$14&amp;"): conta só o teto (26.6).",""))</f>
        <v/>
      </c>
      <c r="N40">
        <f>IF(ISERROR($E$40),"",IF(ISBLANK($E$40),"",$E$40))</f>
        <v/>
      </c>
      <c r="O40">
        <f>ISERROR($E$40)*1</f>
        <v/>
      </c>
    </row>
    <row r="41" ht="37" customHeight="1">
      <c r="A41" s="18" t="inlineStr">
        <is>
          <t>Reflexos</t>
        </is>
      </c>
      <c r="B41" s="21">
        <f>INDEX('Dados'!$B$82:$B$87,2)</f>
        <v/>
      </c>
      <c r="C41" s="21">
        <f>IFERROR(INDEX('Criação'!$F$44:$F$49,MATCH($B$41,'Criação'!$A$44:$A$49,0)),0)</f>
        <v/>
      </c>
      <c r="D41" s="21">
        <f>"+"&amp;'Criação'!$C$14</f>
        <v/>
      </c>
      <c r="E41" s="36" t="n"/>
      <c r="F41" s="21">
        <f>IF($B$41="Agilidade",'Criação'!$E$93,0)</f>
        <v/>
      </c>
      <c r="G41" s="21">
        <f>IF('Equipamento'!$J$31="Reflexos",'Equipamento'!$I$31,0)+MIN('Criação'!$J$14,COUNTIF('Equipamento'!$P$45:$P$47,"Reflexos")+'Em Jogo'!$Q$8)</f>
        <v/>
      </c>
      <c r="H41" s="19">
        <f>$C$41+IF(AND($N$41="Sim",COUNTIF($N$40:$N$41,"Sim")&lt;='Criação'!$F$14),2*'Criação'!$C$14,'Criação'!$C$14)+$F$41+$G$41</f>
        <v/>
      </c>
      <c r="I41" s="19">
        <f>"d20"&amp;IF($H$41&gt;=0,"+","")&amp;$H$41</f>
        <v/>
      </c>
      <c r="J41" s="9">
        <f>IF(OR('Criação'!$Q$25="Xianzhouíta"),"Vantagem ("&amp;'Criação'!$Q$25&amp;")","")</f>
        <v/>
      </c>
      <c r="K41" s="20">
        <f>IF(O41&gt;0,"O Google leu como fórmula: escolha de novo na lista.",IF(AND($N$41="Sim",COUNTIF($N$40:$N$41,"Sim")&gt;'Criação'!$F$14),"Acima dos slots de Eficácia em Testes de Resistência ("&amp;'Criação'!$F$14&amp;"). ","")&amp;IF((COUNTIF('Equipamento'!$P$45:$P$47,"Reflexos")+'Em Jogo'!$Q$8)&gt;'Criação'!$J$14,"Bônus temporário acima do teto (+"&amp;'Criação'!$J$14&amp;"): conta só o teto (26.6).",""))</f>
        <v/>
      </c>
      <c r="N41">
        <f>IF(ISERROR($E$41),"",IF(ISBLANK($E$41),"",$E$41))</f>
        <v/>
      </c>
      <c r="O41">
        <f>ISERROR($E$41)*1</f>
        <v/>
      </c>
    </row>
    <row r="42" ht="37" customHeight="1">
      <c r="A42" s="16" t="inlineStr">
        <is>
          <t>Resistência Física</t>
        </is>
      </c>
      <c r="B42" s="22">
        <f>INDEX('Dados'!$B$82:$B$87,3)</f>
        <v/>
      </c>
      <c r="C42" s="22">
        <f>IFERROR(INDEX('Criação'!$F$44:$F$49,MATCH($B$42,'Criação'!$A$44:$A$49,0)),0)</f>
        <v/>
      </c>
      <c r="D42" s="22">
        <f>"+"&amp;'Criação'!$C$14</f>
        <v/>
      </c>
      <c r="E42" s="23" t="n"/>
      <c r="F42" s="22">
        <f>IF($B$42="Agilidade",'Criação'!$E$93,0)</f>
        <v/>
      </c>
      <c r="G42" s="22">
        <f>IF('Equipamento'!$J$31="Resistência Física",'Equipamento'!$I$31,0)+MIN('Criação'!$J$14,COUNTIF('Equipamento'!$P$45:$P$47,"Resistência Física")+'Em Jogo'!$Q$8)</f>
        <v/>
      </c>
      <c r="H42" s="17">
        <f>$C$42+IF(AND($N$42="Sim",COUNTIF($N$40:$N$42,"Sim")&lt;='Criação'!$F$14),2*'Criação'!$C$14,'Criação'!$C$14)+$F$42+$G$42</f>
        <v/>
      </c>
      <c r="I42" s="17">
        <f>"d20"&amp;IF($H$42&gt;=0,"+","")&amp;$H$42</f>
        <v/>
      </c>
      <c r="J42" s="4">
        <f>IF(OR('Criação'!$Q$25="Xianzhouíta"),"Vantagem ("&amp;'Criação'!$Q$25&amp;")","")</f>
        <v/>
      </c>
      <c r="K42" s="13">
        <f>IF(O42&gt;0,"O Google leu como fórmula: escolha de novo na lista.",IF(AND($N$42="Sim",COUNTIF($N$40:$N$42,"Sim")&gt;'Criação'!$F$14),"Acima dos slots de Eficácia em Testes de Resistência ("&amp;'Criação'!$F$14&amp;"). ","")&amp;IF((COUNTIF('Equipamento'!$P$45:$P$47,"Resistência Física")+'Em Jogo'!$Q$8)&gt;'Criação'!$J$14,"Bônus temporário acima do teto (+"&amp;'Criação'!$J$14&amp;"): conta só o teto (26.6).",""))</f>
        <v/>
      </c>
      <c r="N42">
        <f>IF(ISERROR($E$42),"",IF(ISBLANK($E$42),"",$E$42))</f>
        <v/>
      </c>
      <c r="O42">
        <f>ISERROR($E$42)*1</f>
        <v/>
      </c>
    </row>
    <row r="43" ht="37" customHeight="1">
      <c r="A43" s="18" t="inlineStr">
        <is>
          <t>Resistência Mental</t>
        </is>
      </c>
      <c r="B43" s="21">
        <f>INDEX('Dados'!$B$82:$B$87,4)</f>
        <v/>
      </c>
      <c r="C43" s="21">
        <f>IFERROR(INDEX('Criação'!$F$44:$F$49,MATCH($B$43,'Criação'!$A$44:$A$49,0)),0)</f>
        <v/>
      </c>
      <c r="D43" s="21">
        <f>"+"&amp;'Criação'!$C$14</f>
        <v/>
      </c>
      <c r="E43" s="36" t="n"/>
      <c r="F43" s="21">
        <f>IF($B$43="Agilidade",'Criação'!$E$93,0)</f>
        <v/>
      </c>
      <c r="G43" s="21">
        <f>IF('Equipamento'!$J$31="Resistência Mental",'Equipamento'!$I$31,0)+MIN('Criação'!$J$14,COUNTIF('Equipamento'!$P$45:$P$47,"Resistência Mental")+'Em Jogo'!$Q$8+'Em Jogo'!$Q$11)</f>
        <v/>
      </c>
      <c r="H43" s="19">
        <f>$C$43+IF(AND($N$43="Sim",COUNTIF($N$40:$N$43,"Sim")&lt;='Criação'!$F$14),2*'Criação'!$C$14,'Criação'!$C$14)+$F$43+$G$43</f>
        <v/>
      </c>
      <c r="I43" s="19">
        <f>"d20"&amp;IF($H$43&gt;=0,"+","")&amp;$H$43</f>
        <v/>
      </c>
      <c r="J43" s="9">
        <f>IF(OR('Criação'!$Q$25="Xianzhouíta",'Criação'!$Q$25="Avginiano"),"Vantagem ("&amp;'Criação'!$Q$25&amp;")","")</f>
        <v/>
      </c>
      <c r="K43" s="20">
        <f>IF(O43&gt;0,"O Google leu como fórmula: escolha de novo na lista.",IF(AND($N$43="Sim",COUNTIF($N$40:$N$43,"Sim")&gt;'Criação'!$F$14),"Acima dos slots de Eficácia em Testes de Resistência ("&amp;'Criação'!$F$14&amp;"). ","")&amp;IF((COUNTIF('Equipamento'!$P$45:$P$47,"Resistência Mental")+'Em Jogo'!$Q$8+'Em Jogo'!$Q$11)&gt;'Criação'!$J$14,"Bônus temporário acima do teto (+"&amp;'Criação'!$J$14&amp;"): conta só o teto (26.6).",""))</f>
        <v/>
      </c>
      <c r="N43">
        <f>IF(ISERROR($E$43),"",IF(ISBLANK($E$43),"",$E$43))</f>
        <v/>
      </c>
      <c r="O43">
        <f>ISERROR($E$43)*1</f>
        <v/>
      </c>
    </row>
    <row r="44" ht="37" customHeight="1">
      <c r="A44" s="16" t="inlineStr">
        <is>
          <t>Percepção Mental</t>
        </is>
      </c>
      <c r="B44" s="22">
        <f>INDEX('Dados'!$B$82:$B$87,5)</f>
        <v/>
      </c>
      <c r="C44" s="22">
        <f>IFERROR(INDEX('Criação'!$F$44:$F$49,MATCH($B$44,'Criação'!$A$44:$A$49,0)),0)</f>
        <v/>
      </c>
      <c r="D44" s="22">
        <f>"+"&amp;'Criação'!$C$14</f>
        <v/>
      </c>
      <c r="E44" s="23" t="n"/>
      <c r="F44" s="22">
        <f>IF($B$44="Agilidade",'Criação'!$E$93,0)</f>
        <v/>
      </c>
      <c r="G44" s="22">
        <f>IF('Equipamento'!$J$31="Percepção Mental",'Equipamento'!$I$31,0)+MIN('Criação'!$J$14,COUNTIF('Equipamento'!$P$45:$P$47,"Percepção Mental")+'Em Jogo'!$Q$8)</f>
        <v/>
      </c>
      <c r="H44" s="17">
        <f>$C$44+IF(AND($N$44="Sim",COUNTIF($N$40:$N$44,"Sim")&lt;='Criação'!$F$14),2*'Criação'!$C$14,'Criação'!$C$14)+$F$44+$G$44</f>
        <v/>
      </c>
      <c r="I44" s="17">
        <f>"d20"&amp;IF($H$44&gt;=0,"+","")&amp;$H$44</f>
        <v/>
      </c>
      <c r="J44" s="4">
        <f>IF(OR('Criação'!$Q$25="Xianzhouíta",'Criação'!$Q$25="Avginiano"),"Vantagem ("&amp;'Criação'!$Q$25&amp;")","")</f>
        <v/>
      </c>
      <c r="K44" s="13">
        <f>IF(O44&gt;0,"O Google leu como fórmula: escolha de novo na lista.",IF(AND($N$44="Sim",COUNTIF($N$40:$N$44,"Sim")&gt;'Criação'!$F$14),"Acima dos slots de Eficácia em Testes de Resistência ("&amp;'Criação'!$F$14&amp;"). ","")&amp;IF((COUNTIF('Equipamento'!$P$45:$P$47,"Percepção Mental")+'Em Jogo'!$Q$8)&gt;'Criação'!$J$14,"Bônus temporário acima do teto (+"&amp;'Criação'!$J$14&amp;"): conta só o teto (26.6).",""))</f>
        <v/>
      </c>
      <c r="N44">
        <f>IF(ISERROR($E$44),"",IF(ISBLANK($E$44),"",$E$44))</f>
        <v/>
      </c>
      <c r="O44">
        <f>ISERROR($E$44)*1</f>
        <v/>
      </c>
    </row>
    <row r="45" ht="37" customHeight="1">
      <c r="A45" s="18" t="inlineStr">
        <is>
          <t>Força de Vontade</t>
        </is>
      </c>
      <c r="B45" s="21">
        <f>INDEX('Dados'!$B$82:$B$87,6)</f>
        <v/>
      </c>
      <c r="C45" s="21">
        <f>IFERROR(INDEX('Criação'!$F$44:$F$49,MATCH($B$45,'Criação'!$A$44:$A$49,0)),0)</f>
        <v/>
      </c>
      <c r="D45" s="21">
        <f>"+"&amp;'Criação'!$C$14</f>
        <v/>
      </c>
      <c r="E45" s="36" t="n"/>
      <c r="F45" s="21">
        <f>IF($B$45="Agilidade",'Criação'!$E$93,0)</f>
        <v/>
      </c>
      <c r="G45" s="21">
        <f>IF('Equipamento'!$J$31="Força de Vontade",'Equipamento'!$I$31,0)+MIN('Criação'!$J$14,COUNTIF('Equipamento'!$P$45:$P$47,"Força de Vontade")+'Em Jogo'!$Q$8+'Em Jogo'!$Q$11)</f>
        <v/>
      </c>
      <c r="H45" s="19">
        <f>$C$45+IF(AND($N$45="Sim",COUNTIF($N$40:$N$45,"Sim")&lt;='Criação'!$F$14),2*'Criação'!$C$14,'Criação'!$C$14)+$F$45+$G$45</f>
        <v/>
      </c>
      <c r="I45" s="19">
        <f>"d20"&amp;IF($H$45&gt;=0,"+","")&amp;$H$45</f>
        <v/>
      </c>
      <c r="J45" s="9">
        <f>IF(OR('Criação'!$Q$25="Xianzhouíta",'Criação'!$Q$25="Vulpes",'Criação'!$Q$25="Avginiano"),"Vantagem ("&amp;'Criação'!$Q$25&amp;")","")</f>
        <v/>
      </c>
      <c r="K45" s="20">
        <f>IF(O45&gt;0,"O Google leu como fórmula: escolha de novo na lista.",IF(AND($N$45="Sim",COUNTIF($N$40:$N$45,"Sim")&gt;'Criação'!$F$14),"Acima dos slots de Eficácia em Testes de Resistência ("&amp;'Criação'!$F$14&amp;"). ","")&amp;IF((COUNTIF('Equipamento'!$P$45:$P$47,"Força de Vontade")+'Em Jogo'!$Q$8+'Em Jogo'!$Q$11)&gt;'Criação'!$J$14,"Bônus temporário acima do teto (+"&amp;'Criação'!$J$14&amp;"): conta só o teto (26.6).",""))</f>
        <v/>
      </c>
      <c r="N45">
        <f>IF(ISERROR($E$45),"",IF(ISBLANK($E$45),"",$E$45))</f>
        <v/>
      </c>
      <c r="O45">
        <f>ISERROR($E$45)*1</f>
        <v/>
      </c>
    </row>
    <row r="46" ht="37" customHeight="1">
      <c r="A46" s="8" t="inlineStr">
        <is>
          <t>Teste de Morrendo (sem Eficiência, DT 10)</t>
        </is>
      </c>
      <c r="B46" s="22" t="inlineStr">
        <is>
          <t>Presença</t>
        </is>
      </c>
      <c r="C46" s="22">
        <f>'Criação'!$F$49</f>
        <v/>
      </c>
      <c r="D46" s="22" t="inlineStr">
        <is>
          <t>Não usa</t>
        </is>
      </c>
      <c r="H46" s="17">
        <f>$C$46</f>
        <v/>
      </c>
      <c r="I46" s="17">
        <f>"d20"&amp;IF($H$46&gt;=0,"+","")&amp;$H$46&amp;" ≥ 10"</f>
        <v/>
      </c>
      <c r="J46" s="22">
        <f>IF(OR('Criação'!$Q$25="Xianzhouíta",'Criação'!$Q$25="Vulpes",'Criação'!$Q$25="Avginiano"),"Vantagem ("&amp;'Criação'!$Q$25&amp;", 23.5)","")</f>
        <v/>
      </c>
      <c r="K46" s="12" t="inlineStr">
        <is>
          <t>3 sucessos: 1 PV · 3 falhas: morre (23.4)</t>
        </is>
      </c>
    </row>
    <row r="47" ht="60" customHeight="1">
      <c r="A47" s="33" t="inlineStr">
        <is>
          <t>Slots de Eficácia em Testes de Resistência: marcados / permitidos</t>
        </is>
      </c>
      <c r="B47" s="19">
        <f>COUNTIF($N$40:$N$45,"Sim")</f>
        <v/>
      </c>
      <c r="C47" s="19">
        <f>'Criação'!$F$14</f>
        <v/>
      </c>
      <c r="D47" s="35" t="n"/>
      <c r="E47" s="35" t="n"/>
      <c r="F47" s="35" t="n"/>
      <c r="G47" s="35" t="n"/>
      <c r="H47" s="35" t="n"/>
      <c r="I47" s="35" t="n"/>
      <c r="J47" s="35" t="n"/>
      <c r="K47" s="35" t="n"/>
      <c r="L47" s="35" t="n"/>
    </row>
  </sheetData>
  <mergeCells count="18">
    <mergeCell ref="J5:L5"/>
    <mergeCell ref="A5:D5"/>
    <mergeCell ref="A38:L38"/>
    <mergeCell ref="K43:L43"/>
    <mergeCell ref="F5:H5"/>
    <mergeCell ref="C2:D2"/>
    <mergeCell ref="H2:I2"/>
    <mergeCell ref="E2:F2"/>
    <mergeCell ref="K39:L39"/>
    <mergeCell ref="A1:L1"/>
    <mergeCell ref="K42:L42"/>
    <mergeCell ref="K44:L44"/>
    <mergeCell ref="K41:L41"/>
    <mergeCell ref="A14:L14"/>
    <mergeCell ref="K45:L45"/>
    <mergeCell ref="K46:L46"/>
    <mergeCell ref="A3:L3"/>
    <mergeCell ref="K40:L40"/>
  </mergeCells>
  <conditionalFormatting sqref="L16">
    <cfRule type="expression" priority="1" dxfId="0">
      <formula>LEN(L16)&gt;0</formula>
    </cfRule>
  </conditionalFormatting>
  <conditionalFormatting sqref="L17">
    <cfRule type="expression" priority="2" dxfId="0">
      <formula>LEN(L17)&gt;0</formula>
    </cfRule>
  </conditionalFormatting>
  <conditionalFormatting sqref="L18">
    <cfRule type="expression" priority="3" dxfId="0">
      <formula>LEN(L18)&gt;0</formula>
    </cfRule>
  </conditionalFormatting>
  <conditionalFormatting sqref="L19">
    <cfRule type="expression" priority="4" dxfId="0">
      <formula>LEN(L19)&gt;0</formula>
    </cfRule>
  </conditionalFormatting>
  <conditionalFormatting sqref="L20">
    <cfRule type="expression" priority="5" dxfId="0">
      <formula>LEN(L20)&gt;0</formula>
    </cfRule>
  </conditionalFormatting>
  <conditionalFormatting sqref="L22">
    <cfRule type="expression" priority="6" dxfId="0">
      <formula>LEN(L22)&gt;0</formula>
    </cfRule>
  </conditionalFormatting>
  <conditionalFormatting sqref="L23">
    <cfRule type="expression" priority="7" dxfId="0">
      <formula>LEN(L23)&gt;0</formula>
    </cfRule>
  </conditionalFormatting>
  <conditionalFormatting sqref="L24">
    <cfRule type="expression" priority="8" dxfId="0">
      <formula>LEN(L24)&gt;0</formula>
    </cfRule>
  </conditionalFormatting>
  <conditionalFormatting sqref="L25">
    <cfRule type="expression" priority="9" dxfId="0">
      <formula>LEN(L25)&gt;0</formula>
    </cfRule>
  </conditionalFormatting>
  <conditionalFormatting sqref="L26">
    <cfRule type="expression" priority="10" dxfId="0">
      <formula>LEN(L26)&gt;0</formula>
    </cfRule>
  </conditionalFormatting>
  <conditionalFormatting sqref="L27">
    <cfRule type="expression" priority="11" dxfId="0">
      <formula>LEN(L27)&gt;0</formula>
    </cfRule>
  </conditionalFormatting>
  <conditionalFormatting sqref="L28">
    <cfRule type="expression" priority="12" dxfId="0">
      <formula>LEN(L28)&gt;0</formula>
    </cfRule>
  </conditionalFormatting>
  <conditionalFormatting sqref="L29">
    <cfRule type="expression" priority="13" dxfId="0">
      <formula>LEN(L29)&gt;0</formula>
    </cfRule>
  </conditionalFormatting>
  <conditionalFormatting sqref="L31">
    <cfRule type="expression" priority="14" dxfId="0">
      <formula>LEN(L31)&gt;0</formula>
    </cfRule>
  </conditionalFormatting>
  <conditionalFormatting sqref="L32">
    <cfRule type="expression" priority="15" dxfId="0">
      <formula>LEN(L32)&gt;0</formula>
    </cfRule>
  </conditionalFormatting>
  <conditionalFormatting sqref="L33">
    <cfRule type="expression" priority="16" dxfId="0">
      <formula>LEN(L33)&gt;0</formula>
    </cfRule>
  </conditionalFormatting>
  <conditionalFormatting sqref="L34">
    <cfRule type="expression" priority="17" dxfId="0">
      <formula>LEN(L34)&gt;0</formula>
    </cfRule>
  </conditionalFormatting>
  <conditionalFormatting sqref="L35">
    <cfRule type="expression" priority="18" dxfId="0">
      <formula>LEN(L35)&gt;0</formula>
    </cfRule>
  </conditionalFormatting>
  <conditionalFormatting sqref="K40">
    <cfRule type="expression" priority="19" dxfId="0">
      <formula>LEN(K40)&gt;0</formula>
    </cfRule>
  </conditionalFormatting>
  <conditionalFormatting sqref="K41">
    <cfRule type="expression" priority="20" dxfId="0">
      <formula>LEN(K41)&gt;0</formula>
    </cfRule>
  </conditionalFormatting>
  <conditionalFormatting sqref="K42">
    <cfRule type="expression" priority="21" dxfId="0">
      <formula>LEN(K42)&gt;0</formula>
    </cfRule>
  </conditionalFormatting>
  <conditionalFormatting sqref="K43">
    <cfRule type="expression" priority="22" dxfId="0">
      <formula>LEN(K43)&gt;0</formula>
    </cfRule>
  </conditionalFormatting>
  <conditionalFormatting sqref="K44">
    <cfRule type="expression" priority="23" dxfId="0">
      <formula>LEN(K44)&gt;0</formula>
    </cfRule>
  </conditionalFormatting>
  <conditionalFormatting sqref="K45">
    <cfRule type="expression" priority="24" dxfId="0">
      <formula>LEN(K45)&gt;0</formula>
    </cfRule>
  </conditionalFormatting>
  <dataValidations count="24">
    <dataValidation sqref="E16" showDropDown="0" showInputMessage="0" showErrorMessage="1" allowBlank="1" errorTitle="Fora da lista" error="Atletismo: escolha um valor da lista. A ficha pode não reconhecer outro valor." type="list" errorStyle="warning">
      <formula1>'Dados'!$AG$6:$AG$7</formula1>
    </dataValidation>
    <dataValidation sqref="E17" showDropDown="0" showInputMessage="0" showErrorMessage="1" allowBlank="1" errorTitle="Fora da lista" error="Acrobacia: escolha um valor da lista. A ficha pode não reconhecer outro valor." type="list" errorStyle="warning">
      <formula1>'Dados'!$AG$6:$AG$7</formula1>
    </dataValidation>
    <dataValidation sqref="E18" showDropDown="0" showInputMessage="0" showErrorMessage="1" allowBlank="1" errorTitle="Fora da lista" error="Furtividade: escolha um valor da lista. A ficha pode não reconhecer outro valor." type="list" errorStyle="warning">
      <formula1>'Dados'!$AG$6:$AG$7</formula1>
    </dataValidation>
    <dataValidation sqref="E19" showDropDown="0" showInputMessage="0" showErrorMessage="1" allowBlank="1" errorTitle="Fora da lista" error="Pilotagem: escolha um valor da lista. A ficha pode não reconhecer outro valor." type="list" errorStyle="warning">
      <formula1>'Dados'!$AG$6:$AG$7</formula1>
    </dataValidation>
    <dataValidation sqref="E20" showDropDown="0" showInputMessage="0" showErrorMessage="1" allowBlank="1" errorTitle="Fora da lista" error="Resistência: escolha um valor da lista. A ficha pode não reconhecer outro valor." type="list" errorStyle="warning">
      <formula1>'Dados'!$AG$6:$AG$7</formula1>
    </dataValidation>
    <dataValidation sqref="E22" showDropDown="0" showInputMessage="0" showErrorMessage="1" allowBlank="1" errorTitle="Fora da lista" error="Tecnologia: escolha um valor da lista. A ficha pode não reconhecer outro valor." type="list" errorStyle="warning">
      <formula1>'Dados'!$AG$6:$AG$7</formula1>
    </dataValidation>
    <dataValidation sqref="E23" showDropDown="0" showInputMessage="0" showErrorMessage="1" allowBlank="1" errorTitle="Fora da lista" error="Pesquisa: escolha um valor da lista. A ficha pode não reconhecer outro valor." type="list" errorStyle="warning">
      <formula1>'Dados'!$AG$6:$AG$7</formula1>
    </dataValidation>
    <dataValidation sqref="E24" showDropDown="0" showInputMessage="0" showErrorMessage="1" allowBlank="1" errorTitle="Fora da lista" error="Ciência: escolha um valor da lista. A ficha pode não reconhecer outro valor." type="list" errorStyle="warning">
      <formula1>'Dados'!$AG$6:$AG$7</formula1>
    </dataValidation>
    <dataValidation sqref="E25" showDropDown="0" showInputMessage="0" showErrorMessage="1" allowBlank="1" errorTitle="Fora da lista" error="Mecânica: escolha um valor da lista. A ficha pode não reconhecer outro valor." type="list" errorStyle="warning">
      <formula1>'Dados'!$AG$6:$AG$7</formula1>
    </dataValidation>
    <dataValidation sqref="E26" showDropDown="0" showInputMessage="0" showErrorMessage="1" allowBlank="1" errorTitle="Fora da lista" error="Percepção: escolha um valor da lista. A ficha pode não reconhecer outro valor." type="list" errorStyle="warning">
      <formula1>'Dados'!$AG$6:$AG$7</formula1>
    </dataValidation>
    <dataValidation sqref="E27" showDropDown="0" showInputMessage="0" showErrorMessage="1" allowBlank="1" errorTitle="Fora da lista" error="Sobrevivência: escolha um valor da lista. A ficha pode não reconhecer outro valor." type="list" errorStyle="warning">
      <formula1>'Dados'!$AG$6:$AG$7</formula1>
    </dataValidation>
    <dataValidation sqref="E28" showDropDown="0" showInputMessage="0" showErrorMessage="1" allowBlank="1" errorTitle="Fora da lista" error="Intuição: escolha um valor da lista. A ficha pode não reconhecer outro valor." type="list" errorStyle="warning">
      <formula1>'Dados'!$AG$6:$AG$7</formula1>
    </dataValidation>
    <dataValidation sqref="E29" showDropDown="0" showInputMessage="0" showErrorMessage="1" allowBlank="1" errorTitle="Fora da lista" error="Investigação: escolha um valor da lista. A ficha pode não reconhecer outro valor." type="list" errorStyle="warning">
      <formula1>'Dados'!$AG$6:$AG$7</formula1>
    </dataValidation>
    <dataValidation sqref="E31" showDropDown="0" showInputMessage="0" showErrorMessage="1" allowBlank="1" errorTitle="Fora da lista" error="Persuasão: escolha um valor da lista. A ficha pode não reconhecer outro valor." type="list" errorStyle="warning">
      <formula1>'Dados'!$AG$6:$AG$7</formula1>
    </dataValidation>
    <dataValidation sqref="E32" showDropDown="0" showInputMessage="0" showErrorMessage="1" allowBlank="1" errorTitle="Fora da lista" error="Intimidação: escolha um valor da lista. A ficha pode não reconhecer outro valor." type="list" errorStyle="warning">
      <formula1>'Dados'!$AG$6:$AG$7</formula1>
    </dataValidation>
    <dataValidation sqref="E33" showDropDown="0" showInputMessage="0" showErrorMessage="1" allowBlank="1" errorTitle="Fora da lista" error="Enganação: escolha um valor da lista. A ficha pode não reconhecer outro valor." type="list" errorStyle="warning">
      <formula1>'Dados'!$AG$6:$AG$7</formula1>
    </dataValidation>
    <dataValidation sqref="E34" showDropDown="0" showInputMessage="0" showErrorMessage="1" allowBlank="1" errorTitle="Fora da lista" error="Liderança: escolha um valor da lista. A ficha pode não reconhecer outro valor." type="list" errorStyle="warning">
      <formula1>'Dados'!$AG$6:$AG$7</formula1>
    </dataValidation>
    <dataValidation sqref="E35" showDropDown="0" showInputMessage="0" showErrorMessage="1" allowBlank="1" errorTitle="Fora da lista" error="Sintonia: escolha um valor da lista. A ficha pode não reconhecer outro valor." type="list" errorStyle="warning">
      <formula1>'Dados'!$AG$6:$AG$7</formula1>
    </dataValidation>
    <dataValidation sqref="E40" showDropDown="0" showInputMessage="0" showErrorMessage="1" allowBlank="1" errorTitle="Fora da lista" error="Potência Física: escolha um valor da lista. A ficha pode não reconhecer outro valor." type="list" errorStyle="warning">
      <formula1>'Dados'!$AG$6:$AG$7</formula1>
    </dataValidation>
    <dataValidation sqref="E41" showDropDown="0" showInputMessage="0" showErrorMessage="1" allowBlank="1" errorTitle="Fora da lista" error="Reflexos: escolha um valor da lista. A ficha pode não reconhecer outro valor." type="list" errorStyle="warning">
      <formula1>'Dados'!$AG$6:$AG$7</formula1>
    </dataValidation>
    <dataValidation sqref="E42" showDropDown="0" showInputMessage="0" showErrorMessage="1" allowBlank="1" errorTitle="Fora da lista" error="Resistência Física: escolha um valor da lista. A ficha pode não reconhecer outro valor." type="list" errorStyle="warning">
      <formula1>'Dados'!$AG$6:$AG$7</formula1>
    </dataValidation>
    <dataValidation sqref="E43" showDropDown="0" showInputMessage="0" showErrorMessage="1" allowBlank="1" errorTitle="Fora da lista" error="Resistência Mental: escolha um valor da lista. A ficha pode não reconhecer outro valor." type="list" errorStyle="warning">
      <formula1>'Dados'!$AG$6:$AG$7</formula1>
    </dataValidation>
    <dataValidation sqref="E44" showDropDown="0" showInputMessage="0" showErrorMessage="1" allowBlank="1" errorTitle="Fora da lista" error="Percepção Mental: escolha um valor da lista. A ficha pode não reconhecer outro valor." type="list" errorStyle="warning">
      <formula1>'Dados'!$AG$6:$AG$7</formula1>
    </dataValidation>
    <dataValidation sqref="E45" showDropDown="0" showInputMessage="0" showErrorMessage="1" allowBlank="1" errorTitle="Fora da lista" error="Força de Vontade: escolha um valor da lista. A ficha pode não reconhecer outro valor." type="list" errorStyle="warning">
      <formula1>'Dados'!$AG$6:$AG$7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3"/>
  <sheetViews>
    <sheetView showGridLines="1" workbookViewId="0">
      <selection activeCell="A1" sqref="A1"/>
    </sheetView>
  </sheetViews>
  <sheetFormatPr baseColWidth="8" defaultRowHeight="15"/>
  <cols>
    <col width="9.6" customWidth="1" min="1" max="1"/>
    <col width="27" customWidth="1" min="2" max="2"/>
    <col width="12" customWidth="1" min="3" max="3"/>
    <col width="13" customWidth="1" min="4" max="4"/>
    <col width="11" customWidth="1" min="5" max="5"/>
    <col width="23" customWidth="1" min="6" max="6"/>
    <col width="11" customWidth="1" min="7" max="7"/>
    <col width="13" customWidth="1" min="8" max="8"/>
    <col width="14" customWidth="1" min="9" max="9"/>
    <col width="10" customWidth="1" min="10" max="10"/>
    <col width="12" customWidth="1" min="11" max="11"/>
    <col width="30.214" customWidth="1" min="12" max="12"/>
    <col width="2" customWidth="1" min="13" max="13"/>
    <col width="2" customWidth="1" min="14" max="14"/>
    <col hidden="1" width="2" customWidth="1" min="15" max="15"/>
    <col hidden="1" width="11.5" customWidth="1" min="16" max="16"/>
    <col hidden="1" width="6.4" customWidth="1" min="17" max="17"/>
    <col hidden="1" width="6.6" customWidth="1" min="18" max="18"/>
    <col hidden="1" width="4.5" customWidth="1" min="19" max="19"/>
    <col hidden="1" width="7.7" customWidth="1" min="20" max="20"/>
    <col hidden="1" width="6.6" customWidth="1" min="21" max="21"/>
    <col hidden="1" width="4.5" customWidth="1" min="22" max="22"/>
    <col hidden="1" width="4.2" customWidth="1" min="23" max="23"/>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24" customHeight="1">
      <c r="A1" s="1" t="inlineStr">
        <is>
          <t>Habilidades — Explorando Galáxias v1.2</t>
        </is>
      </c>
    </row>
    <row r="2" ht="37"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suas Habilidades (até 8) e a Ultimate.</t>
        </is>
      </c>
    </row>
    <row r="4"/>
    <row r="5">
      <c r="A5" s="14" t="inlineStr">
        <is>
          <t>Seus números de Habilidade (automático) — 16.3, 16.6 e 26.2</t>
        </is>
      </c>
    </row>
    <row r="6" ht="26" customHeight="1">
      <c r="A6" s="8" t="inlineStr">
        <is>
          <t>Teste de Ataque (Habilidades e Ultimate)</t>
        </is>
      </c>
      <c r="C6" s="17">
        <f>'Criação'!$C$57</f>
        <v/>
      </c>
      <c r="D6" s="12" t="inlineStr">
        <is>
          <t>DT das Habilidades</t>
        </is>
      </c>
      <c r="F6" s="17">
        <f>'Criação'!$B$56</f>
        <v/>
      </c>
      <c r="G6" s="12" t="inlineStr">
        <is>
          <t>Nível máximo</t>
        </is>
      </c>
      <c r="I6" s="17">
        <f>'Criação'!$B$16</f>
        <v/>
      </c>
    </row>
    <row r="7" ht="37" customHeight="1">
      <c r="A7" s="8" t="inlineStr">
        <is>
          <t>Habilidades preenchidas / conhecidas</t>
        </is>
      </c>
      <c r="C7" s="17">
        <f>SUM($P$12:$P$19)</f>
        <v/>
      </c>
      <c r="D7" s="22">
        <f>"de "&amp;'Criação'!$A$16</f>
        <v/>
      </c>
      <c r="E7" s="22">
        <f>IF('Criação'!$C$16="Sim","A partir do nível 16: em vez de aprender, reescreva 1 Habilidade conhecida por nível (16.6)","Passivas contam no teto de 8 (16.6)")</f>
        <v/>
      </c>
      <c r="L7" s="13">
        <f>IF($C$7&gt;'Criação'!$A$16,"Habilidades acima das conhecidas no seu nível ("&amp;'Criação'!$A$16&amp;"): confira as linhas abaixo.","")</f>
        <v/>
      </c>
    </row>
    <row r="8" ht="37" customHeight="1">
      <c r="A8" s="8" t="inlineStr">
        <is>
          <t>Ressonância III (26.7)</t>
        </is>
      </c>
      <c r="C8" s="22">
        <f>IF('Progressão'!$R$69="","Ainda não ativa: libera no nível 15 (aba Progressão)","Ativa: marque Sim em uma Habilidade para ela subir 1 Nível de efeito, até o Nível máximo")</f>
        <v/>
      </c>
      <c r="L8" s="13">
        <f>IF(COUNTIF($AE$12:$AE$19,"Sim")&gt;1,"Ressonância III marcada em mais de uma Habilidade: vale só a primeira.","")</f>
        <v/>
      </c>
    </row>
    <row r="9"/>
    <row r="10">
      <c r="A10" s="14" t="inlineStr">
        <is>
          <t>Suas Habilidades (preencha) — até 8; escreva pelos sete passos de 16.7</t>
        </is>
      </c>
    </row>
    <row r="11" ht="40" customHeight="1">
      <c r="A11" s="7" t="inlineStr">
        <is>
          <t>Nº</t>
        </is>
      </c>
      <c r="B11" s="7" t="inlineStr">
        <is>
          <t>Nome (preencha)</t>
        </is>
      </c>
      <c r="C11" s="7" t="inlineStr">
        <is>
          <t>Tipo</t>
        </is>
      </c>
      <c r="D11" s="7" t="inlineStr">
        <is>
          <t>Nível (1 a 7)</t>
        </is>
      </c>
      <c r="E11" s="7" t="inlineStr">
        <is>
          <t>Em área?</t>
        </is>
      </c>
      <c r="F11" s="7" t="inlineStr">
        <is>
          <t>Resolução</t>
        </is>
      </c>
      <c r="G11" s="7" t="inlineStr">
        <is>
          <t>Alcance</t>
        </is>
      </c>
      <c r="H11" s="7" t="inlineStr">
        <is>
          <t>Ressonância III aqui?</t>
        </is>
      </c>
      <c r="I11" s="7" t="inlineStr">
        <is>
          <t>Aviso</t>
        </is>
      </c>
      <c r="J11" s="15" t="n"/>
      <c r="K11" s="15" t="n"/>
      <c r="L11" s="15" t="n"/>
      <c r="P11" s="7" t="inlineStr">
        <is>
          <t>preenchida</t>
        </is>
      </c>
      <c r="Q11" s="7" t="inlineStr">
        <is>
          <t>Nível usado</t>
        </is>
      </c>
      <c r="R11" s="7" t="inlineStr">
        <is>
          <t>Ress. III vale</t>
        </is>
      </c>
      <c r="S11" s="7" t="inlineStr">
        <is>
          <t>Nível efetivo</t>
        </is>
      </c>
      <c r="T11" s="7" t="inlineStr">
        <is>
          <t>dados (tabela)</t>
        </is>
      </c>
      <c r="U11" s="7" t="inlineStr">
        <is>
          <t>nº de dados</t>
        </is>
      </c>
      <c r="V11" s="7" t="inlineStr">
        <is>
          <t>face</t>
        </is>
      </c>
      <c r="W11" s="7" t="inlineStr">
        <is>
          <t>fixo</t>
        </is>
      </c>
    </row>
    <row r="12" ht="48" customHeight="1">
      <c r="A12" s="16" t="n">
        <v>1</v>
      </c>
      <c r="B12" s="27" t="n"/>
      <c r="C12" s="23" t="n"/>
      <c r="D12" s="23" t="n"/>
      <c r="E12" s="23" t="n"/>
      <c r="F12" s="23" t="n"/>
      <c r="G12" s="23" t="n"/>
      <c r="H12" s="23" t="n"/>
      <c r="I12" s="13">
        <f>IF(AF12&gt;0,"O Google leu como fórmula: escolha de novo ou digite com ' na frente.",IF(AF23&gt;0,"Linha 23: O Google leu como fórmula: digite de novo com ' na frente.",IF($P$12=0,"",IF($Z$12="","Escolha o Tipo. ",IF(COUNTIF('Dados'!$W$6:$W$10,$Z$12)=0,"Tipo fora da lista (16.5). ",""))&amp;IF(LEN($AA$12)=0,"",IF(ISNUMBER($AA$12),IF(OR($AA$12&lt;1,$AA$12&gt;7),"O Nível vai de 1 a 7. ","")&amp;IF($AA$12&gt;'Criação'!$B$16,"Acima do Nível máximo do seu nível ("&amp;'Criação'!$B$16&amp;"). ",""),"Nível precisa ser um número de 1 a 7. "))&amp;IF(LEN($AD$12)=0,"",IF(ISERROR(MATCH($AD$12,'Dados'!$X$6:$X$10,0)),"Alcance fora da lista. ",IF(MATCH($AD$12,'Dados'!$X$6:$X$10,0)&gt;MATCH($I$34,'Dados'!$X$6:$X$10,0),"Alcance acima do que o Nível "&amp;$S$12&amp;" permite (até "&amp;$I$34&amp;"). ","")))&amp;IF(SUM($P$12:P12)&gt;'Criação'!$A$16,"Acima das "&amp;'Criação'!$A$16&amp;" Habilidades conhecidas do seu nível. ","")&amp;IF($AE$12="Sim",IF('Progressão'!$R$69="","Ressonância III ainda não está ativa. ",IF(COUNTIF($AE$12,"Sim")&gt;1,"Ressonância III só vale numa Habilidade. ","")),""))))</f>
        <v/>
      </c>
      <c r="P12" s="25">
        <f>IF(OR(LEN($Y$12)&gt;0,LEN($Z$12)&gt;0,LEN($AA$12)&gt;0,LEN($AB$12)&gt;0,LEN($AC$12)&gt;0,LEN($AD$12)&gt;0,LEN($AE$12)&gt;0,LEN($Z$23)&gt;0),1,0)</f>
        <v/>
      </c>
      <c r="Q12" s="25">
        <f>IF(ISNUMBER($AA$12),MAX(1,MIN(7,INT($AA$12))),1)</f>
        <v/>
      </c>
      <c r="R12" s="25">
        <f>IF(AND($AE$12="Sim",'Progressão'!$R$69&lt;&gt;"",COUNTIF($AE$12,"Sim")=1),1,0)</f>
        <v/>
      </c>
      <c r="S12" s="25">
        <f>IF(AND($R$12=1,$Q$12&lt;'Criação'!$B$16),MIN('Criação'!$B$16,$Q$12+1),$Q$12)</f>
        <v/>
      </c>
      <c r="T12" s="25">
        <f>IF($Z$12="Dano",INDEX('Dados'!$C$303:$C$309,$S$12),IF($Z$12="Cura",INDEX('Dados'!$G$303:$G$309,$S$12),0))</f>
        <v/>
      </c>
      <c r="U12" s="25">
        <f>IF(AND($AB$12="Sim",$T$12&gt;0),MAX(1,INT($T$12/2)),$T$12)</f>
        <v/>
      </c>
      <c r="V12" s="25">
        <f>IF($Z$12="Dano",INDEX('Dados'!$D$303:$D$309,$S$12),IF($Z$12="Cura",INDEX('Dados'!$H$303:$H$309,$S$12),0))</f>
        <v/>
      </c>
      <c r="W12" s="25">
        <f>IF(OR($Z$12="Dano",$Z$12="Cura"),'Criação'!$B$55+IF($Z$12="Dano",'Equipamento'!$P$40+'Equipamento'!$E$31,0),0)</f>
        <v/>
      </c>
      <c r="Y12">
        <f>IF(ISERROR($B$12),"",IF(ISBLANK($B$12),"",$B$12))</f>
        <v/>
      </c>
      <c r="Z12">
        <f>IF(ISERROR($C$12),"",IF(ISBLANK($C$12),"",$C$12))</f>
        <v/>
      </c>
      <c r="AA12">
        <f>IF(ISERROR($D$12),"",IF(ISBLANK($D$12),"",$D$12))</f>
        <v/>
      </c>
      <c r="AB12">
        <f>IF(ISERROR($E$12),"",IF(ISBLANK($E$12),"",$E$12))</f>
        <v/>
      </c>
      <c r="AC12">
        <f>IF(ISERROR($F$12),"",IF(ISBLANK($F$12),"",$F$12))</f>
        <v/>
      </c>
      <c r="AD12">
        <f>IF(ISERROR($G$12),"",IF(ISBLANK($G$12),"",$G$12))</f>
        <v/>
      </c>
      <c r="AE12">
        <f>IF(ISERROR($H$12),"",IF(ISBLANK($H$12),"",$H$12))</f>
        <v/>
      </c>
      <c r="AF12">
        <f>ISERROR($B$12)*1+ISERROR($C$12)*1+ISERROR($D$12)*1+ISERROR($E$12)*1+ISERROR($F$12)*1+ISERROR($G$12)*1+ISERROR($H$12)*1</f>
        <v/>
      </c>
    </row>
    <row r="13" ht="48" customHeight="1">
      <c r="A13" s="18" t="n">
        <v>2</v>
      </c>
      <c r="B13" s="60" t="n"/>
      <c r="C13" s="36" t="n"/>
      <c r="D13" s="36" t="n"/>
      <c r="E13" s="36" t="n"/>
      <c r="F13" s="36" t="n"/>
      <c r="G13" s="36" t="n"/>
      <c r="H13" s="36" t="n"/>
      <c r="I13" s="20">
        <f>IF(AF13&gt;0,"O Google leu como fórmula: escolha de novo ou digite com ' na frente.",IF(AF24&gt;0,"Linha 24: O Google leu como fórmula: digite de novo com ' na frente.",IF($P$13=0,"",IF($Z$13="","Escolha o Tipo. ",IF(COUNTIF('Dados'!$W$6:$W$10,$Z$13)=0,"Tipo fora da lista (16.5). ",""))&amp;IF(LEN($AA$13)=0,"",IF(ISNUMBER($AA$13),IF(OR($AA$13&lt;1,$AA$13&gt;7),"O Nível vai de 1 a 7. ","")&amp;IF($AA$13&gt;'Criação'!$B$16,"Acima do Nível máximo do seu nível ("&amp;'Criação'!$B$16&amp;"). ",""),"Nível precisa ser um número de 1 a 7. "))&amp;IF(LEN($AD$13)=0,"",IF(ISERROR(MATCH($AD$13,'Dados'!$X$6:$X$10,0)),"Alcance fora da lista. ",IF(MATCH($AD$13,'Dados'!$X$6:$X$10,0)&gt;MATCH($I$35,'Dados'!$X$6:$X$10,0),"Alcance acima do que o Nível "&amp;$S$13&amp;" permite (até "&amp;$I$35&amp;"). ","")))&amp;IF(SUM($P$12:P13)&gt;'Criação'!$A$16,"Acima das "&amp;'Criação'!$A$16&amp;" Habilidades conhecidas do seu nível. ","")&amp;IF($AE$13="Sim",IF('Progressão'!$R$69="","Ressonância III ainda não está ativa. ",IF(COUNTIF($AE$12:$AE$13,"Sim")&gt;1,"Ressonância III só vale numa Habilidade. ","")),""))))</f>
        <v/>
      </c>
      <c r="M13" s="35" t="n"/>
      <c r="N13" s="35" t="n"/>
      <c r="O13" s="35" t="n"/>
      <c r="P13" s="25">
        <f>IF(OR(LEN($Y$13)&gt;0,LEN($Z$13)&gt;0,LEN($AA$13)&gt;0,LEN($AB$13)&gt;0,LEN($AC$13)&gt;0,LEN($AD$13)&gt;0,LEN($AE$13)&gt;0,LEN($Z$24)&gt;0),1,0)</f>
        <v/>
      </c>
      <c r="Q13" s="25">
        <f>IF(ISNUMBER($AA$13),MAX(1,MIN(7,INT($AA$13))),1)</f>
        <v/>
      </c>
      <c r="R13" s="25">
        <f>IF(AND($AE$13="Sim",'Progressão'!$R$69&lt;&gt;"",COUNTIF($AE$12:$AE$13,"Sim")=1),1,0)</f>
        <v/>
      </c>
      <c r="S13" s="25">
        <f>IF(AND($R$13=1,$Q$13&lt;'Criação'!$B$16),MIN('Criação'!$B$16,$Q$13+1),$Q$13)</f>
        <v/>
      </c>
      <c r="T13" s="25">
        <f>IF($Z$13="Dano",INDEX('Dados'!$C$303:$C$309,$S$13),IF($Z$13="Cura",INDEX('Dados'!$G$303:$G$309,$S$13),0))</f>
        <v/>
      </c>
      <c r="U13" s="25">
        <f>IF(AND($AB$13="Sim",$T$13&gt;0),MAX(1,INT($T$13/2)),$T$13)</f>
        <v/>
      </c>
      <c r="V13" s="25">
        <f>IF($Z$13="Dano",INDEX('Dados'!$D$303:$D$309,$S$13),IF($Z$13="Cura",INDEX('Dados'!$H$303:$H$309,$S$13),0))</f>
        <v/>
      </c>
      <c r="W13" s="25">
        <f>IF(OR($Z$13="Dano",$Z$13="Cura"),'Criação'!$B$55+IF($Z$13="Dano",'Equipamento'!$P$40+'Equipamento'!$E$31,0),0)</f>
        <v/>
      </c>
      <c r="Y13">
        <f>IF(ISERROR($B$13),"",IF(ISBLANK($B$13),"",$B$13))</f>
        <v/>
      </c>
      <c r="Z13">
        <f>IF(ISERROR($C$13),"",IF(ISBLANK($C$13),"",$C$13))</f>
        <v/>
      </c>
      <c r="AA13">
        <f>IF(ISERROR($D$13),"",IF(ISBLANK($D$13),"",$D$13))</f>
        <v/>
      </c>
      <c r="AB13">
        <f>IF(ISERROR($E$13),"",IF(ISBLANK($E$13),"",$E$13))</f>
        <v/>
      </c>
      <c r="AC13">
        <f>IF(ISERROR($F$13),"",IF(ISBLANK($F$13),"",$F$13))</f>
        <v/>
      </c>
      <c r="AD13">
        <f>IF(ISERROR($G$13),"",IF(ISBLANK($G$13),"",$G$13))</f>
        <v/>
      </c>
      <c r="AE13">
        <f>IF(ISERROR($H$13),"",IF(ISBLANK($H$13),"",$H$13))</f>
        <v/>
      </c>
      <c r="AF13">
        <f>ISERROR($B$13)*1+ISERROR($C$13)*1+ISERROR($D$13)*1+ISERROR($E$13)*1+ISERROR($F$13)*1+ISERROR($G$13)*1+ISERROR($H$13)*1</f>
        <v/>
      </c>
    </row>
    <row r="14" ht="48" customHeight="1">
      <c r="A14" s="16" t="n">
        <v>3</v>
      </c>
      <c r="B14" s="27" t="n"/>
      <c r="C14" s="23" t="n"/>
      <c r="D14" s="23" t="n"/>
      <c r="E14" s="23" t="n"/>
      <c r="F14" s="23" t="n"/>
      <c r="G14" s="23" t="n"/>
      <c r="H14" s="23" t="n"/>
      <c r="I14" s="13">
        <f>IF(AF14&gt;0,"O Google leu como fórmula: escolha de novo ou digite com ' na frente.",IF(AF25&gt;0,"Linha 25: O Google leu como fórmula: digite de novo com ' na frente.",IF($P$14=0,"",IF($Z$14="","Escolha o Tipo. ",IF(COUNTIF('Dados'!$W$6:$W$10,$Z$14)=0,"Tipo fora da lista (16.5). ",""))&amp;IF(LEN($AA$14)=0,"",IF(ISNUMBER($AA$14),IF(OR($AA$14&lt;1,$AA$14&gt;7),"O Nível vai de 1 a 7. ","")&amp;IF($AA$14&gt;'Criação'!$B$16,"Acima do Nível máximo do seu nível ("&amp;'Criação'!$B$16&amp;"). ",""),"Nível precisa ser um número de 1 a 7. "))&amp;IF(LEN($AD$14)=0,"",IF(ISERROR(MATCH($AD$14,'Dados'!$X$6:$X$10,0)),"Alcance fora da lista. ",IF(MATCH($AD$14,'Dados'!$X$6:$X$10,0)&gt;MATCH($I$36,'Dados'!$X$6:$X$10,0),"Alcance acima do que o Nível "&amp;$S$14&amp;" permite (até "&amp;$I$36&amp;"). ","")))&amp;IF(SUM($P$12:P14)&gt;'Criação'!$A$16,"Acima das "&amp;'Criação'!$A$16&amp;" Habilidades conhecidas do seu nível. ","")&amp;IF($AE$14="Sim",IF('Progressão'!$R$69="","Ressonância III ainda não está ativa. ",IF(COUNTIF($AE$12:$AE$14,"Sim")&gt;1,"Ressonância III só vale numa Habilidade. ","")),""))))</f>
        <v/>
      </c>
      <c r="P14" s="25">
        <f>IF(OR(LEN($Y$14)&gt;0,LEN($Z$14)&gt;0,LEN($AA$14)&gt;0,LEN($AB$14)&gt;0,LEN($AC$14)&gt;0,LEN($AD$14)&gt;0,LEN($AE$14)&gt;0,LEN($Z$25)&gt;0),1,0)</f>
        <v/>
      </c>
      <c r="Q14" s="25">
        <f>IF(ISNUMBER($AA$14),MAX(1,MIN(7,INT($AA$14))),1)</f>
        <v/>
      </c>
      <c r="R14" s="25">
        <f>IF(AND($AE$14="Sim",'Progressão'!$R$69&lt;&gt;"",COUNTIF($AE$12:$AE$14,"Sim")=1),1,0)</f>
        <v/>
      </c>
      <c r="S14" s="25">
        <f>IF(AND($R$14=1,$Q$14&lt;'Criação'!$B$16),MIN('Criação'!$B$16,$Q$14+1),$Q$14)</f>
        <v/>
      </c>
      <c r="T14" s="25">
        <f>IF($Z$14="Dano",INDEX('Dados'!$C$303:$C$309,$S$14),IF($Z$14="Cura",INDEX('Dados'!$G$303:$G$309,$S$14),0))</f>
        <v/>
      </c>
      <c r="U14" s="25">
        <f>IF(AND($AB$14="Sim",$T$14&gt;0),MAX(1,INT($T$14/2)),$T$14)</f>
        <v/>
      </c>
      <c r="V14" s="25">
        <f>IF($Z$14="Dano",INDEX('Dados'!$D$303:$D$309,$S$14),IF($Z$14="Cura",INDEX('Dados'!$H$303:$H$309,$S$14),0))</f>
        <v/>
      </c>
      <c r="W14" s="25">
        <f>IF(OR($Z$14="Dano",$Z$14="Cura"),'Criação'!$B$55+IF($Z$14="Dano",'Equipamento'!$P$40+'Equipamento'!$E$31,0),0)</f>
        <v/>
      </c>
      <c r="Y14">
        <f>IF(ISERROR($B$14),"",IF(ISBLANK($B$14),"",$B$14))</f>
        <v/>
      </c>
      <c r="Z14">
        <f>IF(ISERROR($C$14),"",IF(ISBLANK($C$14),"",$C$14))</f>
        <v/>
      </c>
      <c r="AA14">
        <f>IF(ISERROR($D$14),"",IF(ISBLANK($D$14),"",$D$14))</f>
        <v/>
      </c>
      <c r="AB14">
        <f>IF(ISERROR($E$14),"",IF(ISBLANK($E$14),"",$E$14))</f>
        <v/>
      </c>
      <c r="AC14">
        <f>IF(ISERROR($F$14),"",IF(ISBLANK($F$14),"",$F$14))</f>
        <v/>
      </c>
      <c r="AD14">
        <f>IF(ISERROR($G$14),"",IF(ISBLANK($G$14),"",$G$14))</f>
        <v/>
      </c>
      <c r="AE14">
        <f>IF(ISERROR($H$14),"",IF(ISBLANK($H$14),"",$H$14))</f>
        <v/>
      </c>
      <c r="AF14">
        <f>ISERROR($B$14)*1+ISERROR($C$14)*1+ISERROR($D$14)*1+ISERROR($E$14)*1+ISERROR($F$14)*1+ISERROR($G$14)*1+ISERROR($H$14)*1</f>
        <v/>
      </c>
    </row>
    <row r="15" ht="48" customHeight="1">
      <c r="A15" s="18" t="n">
        <v>4</v>
      </c>
      <c r="B15" s="60" t="n"/>
      <c r="C15" s="36" t="n"/>
      <c r="D15" s="36" t="n"/>
      <c r="E15" s="36" t="n"/>
      <c r="F15" s="36" t="n"/>
      <c r="G15" s="36" t="n"/>
      <c r="H15" s="36" t="n"/>
      <c r="I15" s="20">
        <f>IF(AF15&gt;0,"O Google leu como fórmula: escolha de novo ou digite com ' na frente.",IF(AF26&gt;0,"Linha 26: O Google leu como fórmula: digite de novo com ' na frente.",IF($P$15=0,"",IF($Z$15="","Escolha o Tipo. ",IF(COUNTIF('Dados'!$W$6:$W$10,$Z$15)=0,"Tipo fora da lista (16.5). ",""))&amp;IF(LEN($AA$15)=0,"",IF(ISNUMBER($AA$15),IF(OR($AA$15&lt;1,$AA$15&gt;7),"O Nível vai de 1 a 7. ","")&amp;IF($AA$15&gt;'Criação'!$B$16,"Acima do Nível máximo do seu nível ("&amp;'Criação'!$B$16&amp;"). ",""),"Nível precisa ser um número de 1 a 7. "))&amp;IF(LEN($AD$15)=0,"",IF(ISERROR(MATCH($AD$15,'Dados'!$X$6:$X$10,0)),"Alcance fora da lista. ",IF(MATCH($AD$15,'Dados'!$X$6:$X$10,0)&gt;MATCH($I$37,'Dados'!$X$6:$X$10,0),"Alcance acima do que o Nível "&amp;$S$15&amp;" permite (até "&amp;$I$37&amp;"). ","")))&amp;IF(SUM($P$12:P15)&gt;'Criação'!$A$16,"Acima das "&amp;'Criação'!$A$16&amp;" Habilidades conhecidas do seu nível. ","")&amp;IF($AE$15="Sim",IF('Progressão'!$R$69="","Ressonância III ainda não está ativa. ",IF(COUNTIF($AE$12:$AE$15,"Sim")&gt;1,"Ressonância III só vale numa Habilidade. ","")),""))))</f>
        <v/>
      </c>
      <c r="M15" s="35" t="n"/>
      <c r="N15" s="35" t="n"/>
      <c r="O15" s="35" t="n"/>
      <c r="P15" s="25">
        <f>IF(OR(LEN($Y$15)&gt;0,LEN($Z$15)&gt;0,LEN($AA$15)&gt;0,LEN($AB$15)&gt;0,LEN($AC$15)&gt;0,LEN($AD$15)&gt;0,LEN($AE$15)&gt;0,LEN($Z$26)&gt;0),1,0)</f>
        <v/>
      </c>
      <c r="Q15" s="25">
        <f>IF(ISNUMBER($AA$15),MAX(1,MIN(7,INT($AA$15))),1)</f>
        <v/>
      </c>
      <c r="R15" s="25">
        <f>IF(AND($AE$15="Sim",'Progressão'!$R$69&lt;&gt;"",COUNTIF($AE$12:$AE$15,"Sim")=1),1,0)</f>
        <v/>
      </c>
      <c r="S15" s="25">
        <f>IF(AND($R$15=1,$Q$15&lt;'Criação'!$B$16),MIN('Criação'!$B$16,$Q$15+1),$Q$15)</f>
        <v/>
      </c>
      <c r="T15" s="25">
        <f>IF($Z$15="Dano",INDEX('Dados'!$C$303:$C$309,$S$15),IF($Z$15="Cura",INDEX('Dados'!$G$303:$G$309,$S$15),0))</f>
        <v/>
      </c>
      <c r="U15" s="25">
        <f>IF(AND($AB$15="Sim",$T$15&gt;0),MAX(1,INT($T$15/2)),$T$15)</f>
        <v/>
      </c>
      <c r="V15" s="25">
        <f>IF($Z$15="Dano",INDEX('Dados'!$D$303:$D$309,$S$15),IF($Z$15="Cura",INDEX('Dados'!$H$303:$H$309,$S$15),0))</f>
        <v/>
      </c>
      <c r="W15" s="25">
        <f>IF(OR($Z$15="Dano",$Z$15="Cura"),'Criação'!$B$55+IF($Z$15="Dano",'Equipamento'!$P$40+'Equipamento'!$E$31,0),0)</f>
        <v/>
      </c>
      <c r="Y15">
        <f>IF(ISERROR($B$15),"",IF(ISBLANK($B$15),"",$B$15))</f>
        <v/>
      </c>
      <c r="Z15">
        <f>IF(ISERROR($C$15),"",IF(ISBLANK($C$15),"",$C$15))</f>
        <v/>
      </c>
      <c r="AA15">
        <f>IF(ISERROR($D$15),"",IF(ISBLANK($D$15),"",$D$15))</f>
        <v/>
      </c>
      <c r="AB15">
        <f>IF(ISERROR($E$15),"",IF(ISBLANK($E$15),"",$E$15))</f>
        <v/>
      </c>
      <c r="AC15">
        <f>IF(ISERROR($F$15),"",IF(ISBLANK($F$15),"",$F$15))</f>
        <v/>
      </c>
      <c r="AD15">
        <f>IF(ISERROR($G$15),"",IF(ISBLANK($G$15),"",$G$15))</f>
        <v/>
      </c>
      <c r="AE15">
        <f>IF(ISERROR($H$15),"",IF(ISBLANK($H$15),"",$H$15))</f>
        <v/>
      </c>
      <c r="AF15">
        <f>ISERROR($B$15)*1+ISERROR($C$15)*1+ISERROR($D$15)*1+ISERROR($E$15)*1+ISERROR($F$15)*1+ISERROR($G$15)*1+ISERROR($H$15)*1</f>
        <v/>
      </c>
    </row>
    <row r="16" ht="48" customHeight="1">
      <c r="A16" s="16" t="n">
        <v>5</v>
      </c>
      <c r="B16" s="27" t="n"/>
      <c r="C16" s="23" t="n"/>
      <c r="D16" s="23" t="n"/>
      <c r="E16" s="23" t="n"/>
      <c r="F16" s="23" t="n"/>
      <c r="G16" s="23" t="n"/>
      <c r="H16" s="23" t="n"/>
      <c r="I16" s="13">
        <f>IF(AF16&gt;0,"O Google leu como fórmula: escolha de novo ou digite com ' na frente.",IF(AF27&gt;0,"Linha 27: O Google leu como fórmula: digite de novo com ' na frente.",IF($P$16=0,"",IF($Z$16="","Escolha o Tipo. ",IF(COUNTIF('Dados'!$W$6:$W$10,$Z$16)=0,"Tipo fora da lista (16.5). ",""))&amp;IF(LEN($AA$16)=0,"",IF(ISNUMBER($AA$16),IF(OR($AA$16&lt;1,$AA$16&gt;7),"O Nível vai de 1 a 7. ","")&amp;IF($AA$16&gt;'Criação'!$B$16,"Acima do Nível máximo do seu nível ("&amp;'Criação'!$B$16&amp;"). ",""),"Nível precisa ser um número de 1 a 7. "))&amp;IF(LEN($AD$16)=0,"",IF(ISERROR(MATCH($AD$16,'Dados'!$X$6:$X$10,0)),"Alcance fora da lista. ",IF(MATCH($AD$16,'Dados'!$X$6:$X$10,0)&gt;MATCH($I$38,'Dados'!$X$6:$X$10,0),"Alcance acima do que o Nível "&amp;$S$16&amp;" permite (até "&amp;$I$38&amp;"). ","")))&amp;IF(SUM($P$12:P16)&gt;'Criação'!$A$16,"Acima das "&amp;'Criação'!$A$16&amp;" Habilidades conhecidas do seu nível. ","")&amp;IF($AE$16="Sim",IF('Progressão'!$R$69="","Ressonância III ainda não está ativa. ",IF(COUNTIF($AE$12:$AE$16,"Sim")&gt;1,"Ressonância III só vale numa Habilidade. ","")),""))))</f>
        <v/>
      </c>
      <c r="P16" s="25">
        <f>IF(OR(LEN($Y$16)&gt;0,LEN($Z$16)&gt;0,LEN($AA$16)&gt;0,LEN($AB$16)&gt;0,LEN($AC$16)&gt;0,LEN($AD$16)&gt;0,LEN($AE$16)&gt;0,LEN($Z$27)&gt;0),1,0)</f>
        <v/>
      </c>
      <c r="Q16" s="25">
        <f>IF(ISNUMBER($AA$16),MAX(1,MIN(7,INT($AA$16))),1)</f>
        <v/>
      </c>
      <c r="R16" s="25">
        <f>IF(AND($AE$16="Sim",'Progressão'!$R$69&lt;&gt;"",COUNTIF($AE$12:$AE$16,"Sim")=1),1,0)</f>
        <v/>
      </c>
      <c r="S16" s="25">
        <f>IF(AND($R$16=1,$Q$16&lt;'Criação'!$B$16),MIN('Criação'!$B$16,$Q$16+1),$Q$16)</f>
        <v/>
      </c>
      <c r="T16" s="25">
        <f>IF($Z$16="Dano",INDEX('Dados'!$C$303:$C$309,$S$16),IF($Z$16="Cura",INDEX('Dados'!$G$303:$G$309,$S$16),0))</f>
        <v/>
      </c>
      <c r="U16" s="25">
        <f>IF(AND($AB$16="Sim",$T$16&gt;0),MAX(1,INT($T$16/2)),$T$16)</f>
        <v/>
      </c>
      <c r="V16" s="25">
        <f>IF($Z$16="Dano",INDEX('Dados'!$D$303:$D$309,$S$16),IF($Z$16="Cura",INDEX('Dados'!$H$303:$H$309,$S$16),0))</f>
        <v/>
      </c>
      <c r="W16" s="25">
        <f>IF(OR($Z$16="Dano",$Z$16="Cura"),'Criação'!$B$55+IF($Z$16="Dano",'Equipamento'!$P$40+'Equipamento'!$E$31,0),0)</f>
        <v/>
      </c>
      <c r="Y16">
        <f>IF(ISERROR($B$16),"",IF(ISBLANK($B$16),"",$B$16))</f>
        <v/>
      </c>
      <c r="Z16">
        <f>IF(ISERROR($C$16),"",IF(ISBLANK($C$16),"",$C$16))</f>
        <v/>
      </c>
      <c r="AA16">
        <f>IF(ISERROR($D$16),"",IF(ISBLANK($D$16),"",$D$16))</f>
        <v/>
      </c>
      <c r="AB16">
        <f>IF(ISERROR($E$16),"",IF(ISBLANK($E$16),"",$E$16))</f>
        <v/>
      </c>
      <c r="AC16">
        <f>IF(ISERROR($F$16),"",IF(ISBLANK($F$16),"",$F$16))</f>
        <v/>
      </c>
      <c r="AD16">
        <f>IF(ISERROR($G$16),"",IF(ISBLANK($G$16),"",$G$16))</f>
        <v/>
      </c>
      <c r="AE16">
        <f>IF(ISERROR($H$16),"",IF(ISBLANK($H$16),"",$H$16))</f>
        <v/>
      </c>
      <c r="AF16">
        <f>ISERROR($B$16)*1+ISERROR($C$16)*1+ISERROR($D$16)*1+ISERROR($E$16)*1+ISERROR($F$16)*1+ISERROR($G$16)*1+ISERROR($H$16)*1</f>
        <v/>
      </c>
    </row>
    <row r="17" ht="48" customHeight="1">
      <c r="A17" s="18" t="n">
        <v>6</v>
      </c>
      <c r="B17" s="60" t="n"/>
      <c r="C17" s="36" t="n"/>
      <c r="D17" s="36" t="n"/>
      <c r="E17" s="36" t="n"/>
      <c r="F17" s="36" t="n"/>
      <c r="G17" s="36" t="n"/>
      <c r="H17" s="36" t="n"/>
      <c r="I17" s="20">
        <f>IF(AF17&gt;0,"O Google leu como fórmula: escolha de novo ou digite com ' na frente.",IF(AF28&gt;0,"Linha 28: O Google leu como fórmula: digite de novo com ' na frente.",IF($P$17=0,"",IF($Z$17="","Escolha o Tipo. ",IF(COUNTIF('Dados'!$W$6:$W$10,$Z$17)=0,"Tipo fora da lista (16.5). ",""))&amp;IF(LEN($AA$17)=0,"",IF(ISNUMBER($AA$17),IF(OR($AA$17&lt;1,$AA$17&gt;7),"O Nível vai de 1 a 7. ","")&amp;IF($AA$17&gt;'Criação'!$B$16,"Acima do Nível máximo do seu nível ("&amp;'Criação'!$B$16&amp;"). ",""),"Nível precisa ser um número de 1 a 7. "))&amp;IF(LEN($AD$17)=0,"",IF(ISERROR(MATCH($AD$17,'Dados'!$X$6:$X$10,0)),"Alcance fora da lista. ",IF(MATCH($AD$17,'Dados'!$X$6:$X$10,0)&gt;MATCH($I$39,'Dados'!$X$6:$X$10,0),"Alcance acima do que o Nível "&amp;$S$17&amp;" permite (até "&amp;$I$39&amp;"). ","")))&amp;IF(SUM($P$12:P17)&gt;'Criação'!$A$16,"Acima das "&amp;'Criação'!$A$16&amp;" Habilidades conhecidas do seu nível. ","")&amp;IF($AE$17="Sim",IF('Progressão'!$R$69="","Ressonância III ainda não está ativa. ",IF(COUNTIF($AE$12:$AE$17,"Sim")&gt;1,"Ressonância III só vale numa Habilidade. ","")),""))))</f>
        <v/>
      </c>
      <c r="M17" s="35" t="n"/>
      <c r="N17" s="35" t="n"/>
      <c r="O17" s="35" t="n"/>
      <c r="P17" s="25">
        <f>IF(OR(LEN($Y$17)&gt;0,LEN($Z$17)&gt;0,LEN($AA$17)&gt;0,LEN($AB$17)&gt;0,LEN($AC$17)&gt;0,LEN($AD$17)&gt;0,LEN($AE$17)&gt;0,LEN($Z$28)&gt;0),1,0)</f>
        <v/>
      </c>
      <c r="Q17" s="25">
        <f>IF(ISNUMBER($AA$17),MAX(1,MIN(7,INT($AA$17))),1)</f>
        <v/>
      </c>
      <c r="R17" s="25">
        <f>IF(AND($AE$17="Sim",'Progressão'!$R$69&lt;&gt;"",COUNTIF($AE$12:$AE$17,"Sim")=1),1,0)</f>
        <v/>
      </c>
      <c r="S17" s="25">
        <f>IF(AND($R$17=1,$Q$17&lt;'Criação'!$B$16),MIN('Criação'!$B$16,$Q$17+1),$Q$17)</f>
        <v/>
      </c>
      <c r="T17" s="25">
        <f>IF($Z$17="Dano",INDEX('Dados'!$C$303:$C$309,$S$17),IF($Z$17="Cura",INDEX('Dados'!$G$303:$G$309,$S$17),0))</f>
        <v/>
      </c>
      <c r="U17" s="25">
        <f>IF(AND($AB$17="Sim",$T$17&gt;0),MAX(1,INT($T$17/2)),$T$17)</f>
        <v/>
      </c>
      <c r="V17" s="25">
        <f>IF($Z$17="Dano",INDEX('Dados'!$D$303:$D$309,$S$17),IF($Z$17="Cura",INDEX('Dados'!$H$303:$H$309,$S$17),0))</f>
        <v/>
      </c>
      <c r="W17" s="25">
        <f>IF(OR($Z$17="Dano",$Z$17="Cura"),'Criação'!$B$55+IF($Z$17="Dano",'Equipamento'!$P$40+'Equipamento'!$E$31,0),0)</f>
        <v/>
      </c>
      <c r="Y17">
        <f>IF(ISERROR($B$17),"",IF(ISBLANK($B$17),"",$B$17))</f>
        <v/>
      </c>
      <c r="Z17">
        <f>IF(ISERROR($C$17),"",IF(ISBLANK($C$17),"",$C$17))</f>
        <v/>
      </c>
      <c r="AA17">
        <f>IF(ISERROR($D$17),"",IF(ISBLANK($D$17),"",$D$17))</f>
        <v/>
      </c>
      <c r="AB17">
        <f>IF(ISERROR($E$17),"",IF(ISBLANK($E$17),"",$E$17))</f>
        <v/>
      </c>
      <c r="AC17">
        <f>IF(ISERROR($F$17),"",IF(ISBLANK($F$17),"",$F$17))</f>
        <v/>
      </c>
      <c r="AD17">
        <f>IF(ISERROR($G$17),"",IF(ISBLANK($G$17),"",$G$17))</f>
        <v/>
      </c>
      <c r="AE17">
        <f>IF(ISERROR($H$17),"",IF(ISBLANK($H$17),"",$H$17))</f>
        <v/>
      </c>
      <c r="AF17">
        <f>ISERROR($B$17)*1+ISERROR($C$17)*1+ISERROR($D$17)*1+ISERROR($E$17)*1+ISERROR($F$17)*1+ISERROR($G$17)*1+ISERROR($H$17)*1</f>
        <v/>
      </c>
    </row>
    <row r="18" ht="48" customHeight="1">
      <c r="A18" s="16" t="n">
        <v>7</v>
      </c>
      <c r="B18" s="27" t="n"/>
      <c r="C18" s="23" t="n"/>
      <c r="D18" s="23" t="n"/>
      <c r="E18" s="23" t="n"/>
      <c r="F18" s="23" t="n"/>
      <c r="G18" s="23" t="n"/>
      <c r="H18" s="23" t="n"/>
      <c r="I18" s="13">
        <f>IF(AF18&gt;0,"O Google leu como fórmula: escolha de novo ou digite com ' na frente.",IF(AF29&gt;0,"Linha 29: O Google leu como fórmula: digite de novo com ' na frente.",IF($P$18=0,"",IF($Z$18="","Escolha o Tipo. ",IF(COUNTIF('Dados'!$W$6:$W$10,$Z$18)=0,"Tipo fora da lista (16.5). ",""))&amp;IF(LEN($AA$18)=0,"",IF(ISNUMBER($AA$18),IF(OR($AA$18&lt;1,$AA$18&gt;7),"O Nível vai de 1 a 7. ","")&amp;IF($AA$18&gt;'Criação'!$B$16,"Acima do Nível máximo do seu nível ("&amp;'Criação'!$B$16&amp;"). ",""),"Nível precisa ser um número de 1 a 7. "))&amp;IF(LEN($AD$18)=0,"",IF(ISERROR(MATCH($AD$18,'Dados'!$X$6:$X$10,0)),"Alcance fora da lista. ",IF(MATCH($AD$18,'Dados'!$X$6:$X$10,0)&gt;MATCH($I$40,'Dados'!$X$6:$X$10,0),"Alcance acima do que o Nível "&amp;$S$18&amp;" permite (até "&amp;$I$40&amp;"). ","")))&amp;IF(SUM($P$12:P18)&gt;'Criação'!$A$16,"Acima das "&amp;'Criação'!$A$16&amp;" Habilidades conhecidas do seu nível. ","")&amp;IF($AE$18="Sim",IF('Progressão'!$R$69="","Ressonância III ainda não está ativa. ",IF(COUNTIF($AE$12:$AE$18,"Sim")&gt;1,"Ressonância III só vale numa Habilidade. ","")),""))))</f>
        <v/>
      </c>
      <c r="P18" s="25">
        <f>IF(OR(LEN($Y$18)&gt;0,LEN($Z$18)&gt;0,LEN($AA$18)&gt;0,LEN($AB$18)&gt;0,LEN($AC$18)&gt;0,LEN($AD$18)&gt;0,LEN($AE$18)&gt;0,LEN($Z$29)&gt;0),1,0)</f>
        <v/>
      </c>
      <c r="Q18" s="25">
        <f>IF(ISNUMBER($AA$18),MAX(1,MIN(7,INT($AA$18))),1)</f>
        <v/>
      </c>
      <c r="R18" s="25">
        <f>IF(AND($AE$18="Sim",'Progressão'!$R$69&lt;&gt;"",COUNTIF($AE$12:$AE$18,"Sim")=1),1,0)</f>
        <v/>
      </c>
      <c r="S18" s="25">
        <f>IF(AND($R$18=1,$Q$18&lt;'Criação'!$B$16),MIN('Criação'!$B$16,$Q$18+1),$Q$18)</f>
        <v/>
      </c>
      <c r="T18" s="25">
        <f>IF($Z$18="Dano",INDEX('Dados'!$C$303:$C$309,$S$18),IF($Z$18="Cura",INDEX('Dados'!$G$303:$G$309,$S$18),0))</f>
        <v/>
      </c>
      <c r="U18" s="25">
        <f>IF(AND($AB$18="Sim",$T$18&gt;0),MAX(1,INT($T$18/2)),$T$18)</f>
        <v/>
      </c>
      <c r="V18" s="25">
        <f>IF($Z$18="Dano",INDEX('Dados'!$D$303:$D$309,$S$18),IF($Z$18="Cura",INDEX('Dados'!$H$303:$H$309,$S$18),0))</f>
        <v/>
      </c>
      <c r="W18" s="25">
        <f>IF(OR($Z$18="Dano",$Z$18="Cura"),'Criação'!$B$55+IF($Z$18="Dano",'Equipamento'!$P$40+'Equipamento'!$E$31,0),0)</f>
        <v/>
      </c>
      <c r="Y18">
        <f>IF(ISERROR($B$18),"",IF(ISBLANK($B$18),"",$B$18))</f>
        <v/>
      </c>
      <c r="Z18">
        <f>IF(ISERROR($C$18),"",IF(ISBLANK($C$18),"",$C$18))</f>
        <v/>
      </c>
      <c r="AA18">
        <f>IF(ISERROR($D$18),"",IF(ISBLANK($D$18),"",$D$18))</f>
        <v/>
      </c>
      <c r="AB18">
        <f>IF(ISERROR($E$18),"",IF(ISBLANK($E$18),"",$E$18))</f>
        <v/>
      </c>
      <c r="AC18">
        <f>IF(ISERROR($F$18),"",IF(ISBLANK($F$18),"",$F$18))</f>
        <v/>
      </c>
      <c r="AD18">
        <f>IF(ISERROR($G$18),"",IF(ISBLANK($G$18),"",$G$18))</f>
        <v/>
      </c>
      <c r="AE18">
        <f>IF(ISERROR($H$18),"",IF(ISBLANK($H$18),"",$H$18))</f>
        <v/>
      </c>
      <c r="AF18">
        <f>ISERROR($B$18)*1+ISERROR($C$18)*1+ISERROR($D$18)*1+ISERROR($E$18)*1+ISERROR($F$18)*1+ISERROR($G$18)*1+ISERROR($H$18)*1</f>
        <v/>
      </c>
    </row>
    <row r="19" ht="48" customHeight="1">
      <c r="A19" s="18" t="n">
        <v>8</v>
      </c>
      <c r="B19" s="60" t="n"/>
      <c r="C19" s="36" t="n"/>
      <c r="D19" s="36" t="n"/>
      <c r="E19" s="36" t="n"/>
      <c r="F19" s="36" t="n"/>
      <c r="G19" s="36" t="n"/>
      <c r="H19" s="36" t="n"/>
      <c r="I19" s="20">
        <f>IF(AF19&gt;0,"O Google leu como fórmula: escolha de novo ou digite com ' na frente.",IF(AF30&gt;0,"Linha 30: O Google leu como fórmula: digite de novo com ' na frente.",IF($P$19=0,"",IF($Z$19="","Escolha o Tipo. ",IF(COUNTIF('Dados'!$W$6:$W$10,$Z$19)=0,"Tipo fora da lista (16.5). ",""))&amp;IF(LEN($AA$19)=0,"",IF(ISNUMBER($AA$19),IF(OR($AA$19&lt;1,$AA$19&gt;7),"O Nível vai de 1 a 7. ","")&amp;IF($AA$19&gt;'Criação'!$B$16,"Acima do Nível máximo do seu nível ("&amp;'Criação'!$B$16&amp;"). ",""),"Nível precisa ser um número de 1 a 7. "))&amp;IF(LEN($AD$19)=0,"",IF(ISERROR(MATCH($AD$19,'Dados'!$X$6:$X$10,0)),"Alcance fora da lista. ",IF(MATCH($AD$19,'Dados'!$X$6:$X$10,0)&gt;MATCH($I$41,'Dados'!$X$6:$X$10,0),"Alcance acima do que o Nível "&amp;$S$19&amp;" permite (até "&amp;$I$41&amp;"). ","")))&amp;IF(SUM($P$12:P19)&gt;'Criação'!$A$16,"Acima das "&amp;'Criação'!$A$16&amp;" Habilidades conhecidas do seu nível. ","")&amp;IF($AE$19="Sim",IF('Progressão'!$R$69="","Ressonância III ainda não está ativa. ",IF(COUNTIF($AE$12:$AE$19,"Sim")&gt;1,"Ressonância III só vale numa Habilidade. ","")),""))))</f>
        <v/>
      </c>
      <c r="M19" s="35" t="n"/>
      <c r="N19" s="35" t="n"/>
      <c r="O19" s="35" t="n"/>
      <c r="P19" s="25">
        <f>IF(OR(LEN($Y$19)&gt;0,LEN($Z$19)&gt;0,LEN($AA$19)&gt;0,LEN($AB$19)&gt;0,LEN($AC$19)&gt;0,LEN($AD$19)&gt;0,LEN($AE$19)&gt;0,LEN($Z$30)&gt;0),1,0)</f>
        <v/>
      </c>
      <c r="Q19" s="25">
        <f>IF(ISNUMBER($AA$19),MAX(1,MIN(7,INT($AA$19))),1)</f>
        <v/>
      </c>
      <c r="R19" s="25">
        <f>IF(AND($AE$19="Sim",'Progressão'!$R$69&lt;&gt;"",COUNTIF($AE$12:$AE$19,"Sim")=1),1,0)</f>
        <v/>
      </c>
      <c r="S19" s="25">
        <f>IF(AND($R$19=1,$Q$19&lt;'Criação'!$B$16),MIN('Criação'!$B$16,$Q$19+1),$Q$19)</f>
        <v/>
      </c>
      <c r="T19" s="25">
        <f>IF($Z$19="Dano",INDEX('Dados'!$C$303:$C$309,$S$19),IF($Z$19="Cura",INDEX('Dados'!$G$303:$G$309,$S$19),0))</f>
        <v/>
      </c>
      <c r="U19" s="25">
        <f>IF(AND($AB$19="Sim",$T$19&gt;0),MAX(1,INT($T$19/2)),$T$19)</f>
        <v/>
      </c>
      <c r="V19" s="25">
        <f>IF($Z$19="Dano",INDEX('Dados'!$D$303:$D$309,$S$19),IF($Z$19="Cura",INDEX('Dados'!$H$303:$H$309,$S$19),0))</f>
        <v/>
      </c>
      <c r="W19" s="25">
        <f>IF(OR($Z$19="Dano",$Z$19="Cura"),'Criação'!$B$55+IF($Z$19="Dano",'Equipamento'!$P$40+'Equipamento'!$E$31,0),0)</f>
        <v/>
      </c>
      <c r="Y19">
        <f>IF(ISERROR($B$19),"",IF(ISBLANK($B$19),"",$B$19))</f>
        <v/>
      </c>
      <c r="Z19">
        <f>IF(ISERROR($C$19),"",IF(ISBLANK($C$19),"",$C$19))</f>
        <v/>
      </c>
      <c r="AA19">
        <f>IF(ISERROR($D$19),"",IF(ISBLANK($D$19),"",$D$19))</f>
        <v/>
      </c>
      <c r="AB19">
        <f>IF(ISERROR($E$19),"",IF(ISBLANK($E$19),"",$E$19))</f>
        <v/>
      </c>
      <c r="AC19">
        <f>IF(ISERROR($F$19),"",IF(ISBLANK($F$19),"",$F$19))</f>
        <v/>
      </c>
      <c r="AD19">
        <f>IF(ISERROR($G$19),"",IF(ISBLANK($G$19),"",$G$19))</f>
        <v/>
      </c>
      <c r="AE19">
        <f>IF(ISERROR($H$19),"",IF(ISBLANK($H$19),"",$H$19))</f>
        <v/>
      </c>
      <c r="AF19">
        <f>ISERROR($B$19)*1+ISERROR($C$19)*1+ISERROR($D$19)*1+ISERROR($E$19)*1+ISERROR($F$19)*1+ISERROR($G$19)*1+ISERROR($H$19)*1</f>
        <v/>
      </c>
    </row>
    <row r="20"/>
    <row r="21">
      <c r="A21" s="14" t="inlineStr">
        <is>
          <t>Efeito de cada Habilidade (preencha) — o que ela faz, em uma ou duas frases</t>
        </is>
      </c>
    </row>
    <row r="22">
      <c r="A22" s="7" t="inlineStr">
        <is>
          <t>Nº</t>
        </is>
      </c>
      <c r="B22" s="7" t="inlineStr">
        <is>
          <t>Nome (automático)</t>
        </is>
      </c>
      <c r="C22" s="7" t="inlineStr">
        <is>
          <t>Efeito (preencha)</t>
        </is>
      </c>
      <c r="D22" s="15" t="n"/>
      <c r="E22" s="15" t="n"/>
      <c r="F22" s="15" t="n"/>
      <c r="G22" s="15" t="n"/>
      <c r="H22" s="15" t="n"/>
      <c r="I22" s="15" t="n"/>
      <c r="J22" s="15" t="n"/>
      <c r="K22" s="15" t="n"/>
      <c r="L22" s="15" t="n"/>
    </row>
    <row r="23" ht="26" customHeight="1">
      <c r="A23" s="16" t="n">
        <v>1</v>
      </c>
      <c r="B23" s="4">
        <f>IF(LEN($Y$12)=0,"Habilidade 1",""&amp;$Y$12)</f>
        <v/>
      </c>
      <c r="C23" s="27" t="n"/>
      <c r="D23" s="28" t="n"/>
      <c r="E23" s="28" t="n"/>
      <c r="F23" s="28" t="n"/>
      <c r="G23" s="28" t="n"/>
      <c r="H23" s="28" t="n"/>
      <c r="I23" s="28" t="n"/>
      <c r="J23" s="28" t="n"/>
      <c r="K23" s="28" t="n"/>
      <c r="L23" s="29" t="n"/>
      <c r="Z23">
        <f>IF(ISERROR($C$23),"",IF(ISBLANK($C$23),"",$C$23))</f>
        <v/>
      </c>
      <c r="AF23">
        <f>ISERROR($C$23)*1</f>
        <v/>
      </c>
    </row>
    <row r="24" ht="26" customHeight="1">
      <c r="A24" s="18" t="n">
        <v>2</v>
      </c>
      <c r="B24" s="9">
        <f>IF(LEN($Y$13)=0,"Habilidade 2",""&amp;$Y$13)</f>
        <v/>
      </c>
      <c r="C24" s="60" t="n"/>
      <c r="D24" s="28" t="n"/>
      <c r="E24" s="28" t="n"/>
      <c r="F24" s="28" t="n"/>
      <c r="G24" s="28" t="n"/>
      <c r="H24" s="28" t="n"/>
      <c r="I24" s="28" t="n"/>
      <c r="J24" s="28" t="n"/>
      <c r="K24" s="28" t="n"/>
      <c r="L24" s="29" t="n"/>
      <c r="Z24">
        <f>IF(ISERROR($C$24),"",IF(ISBLANK($C$24),"",$C$24))</f>
        <v/>
      </c>
      <c r="AF24">
        <f>ISERROR($C$24)*1</f>
        <v/>
      </c>
    </row>
    <row r="25" ht="26" customHeight="1">
      <c r="A25" s="16" t="n">
        <v>3</v>
      </c>
      <c r="B25" s="4">
        <f>IF(LEN($Y$14)=0,"Habilidade 3",""&amp;$Y$14)</f>
        <v/>
      </c>
      <c r="C25" s="27" t="n"/>
      <c r="D25" s="28" t="n"/>
      <c r="E25" s="28" t="n"/>
      <c r="F25" s="28" t="n"/>
      <c r="G25" s="28" t="n"/>
      <c r="H25" s="28" t="n"/>
      <c r="I25" s="28" t="n"/>
      <c r="J25" s="28" t="n"/>
      <c r="K25" s="28" t="n"/>
      <c r="L25" s="29" t="n"/>
      <c r="Z25">
        <f>IF(ISERROR($C$25),"",IF(ISBLANK($C$25),"",$C$25))</f>
        <v/>
      </c>
      <c r="AF25">
        <f>ISERROR($C$25)*1</f>
        <v/>
      </c>
    </row>
    <row r="26" ht="26" customHeight="1">
      <c r="A26" s="18" t="n">
        <v>4</v>
      </c>
      <c r="B26" s="9">
        <f>IF(LEN($Y$15)=0,"Habilidade 4",""&amp;$Y$15)</f>
        <v/>
      </c>
      <c r="C26" s="60" t="n"/>
      <c r="D26" s="28" t="n"/>
      <c r="E26" s="28" t="n"/>
      <c r="F26" s="28" t="n"/>
      <c r="G26" s="28" t="n"/>
      <c r="H26" s="28" t="n"/>
      <c r="I26" s="28" t="n"/>
      <c r="J26" s="28" t="n"/>
      <c r="K26" s="28" t="n"/>
      <c r="L26" s="29" t="n"/>
      <c r="Z26">
        <f>IF(ISERROR($C$26),"",IF(ISBLANK($C$26),"",$C$26))</f>
        <v/>
      </c>
      <c r="AF26">
        <f>ISERROR($C$26)*1</f>
        <v/>
      </c>
    </row>
    <row r="27" ht="26" customHeight="1">
      <c r="A27" s="16" t="n">
        <v>5</v>
      </c>
      <c r="B27" s="4">
        <f>IF(LEN($Y$16)=0,"Habilidade 5",""&amp;$Y$16)</f>
        <v/>
      </c>
      <c r="C27" s="27" t="n"/>
      <c r="D27" s="28" t="n"/>
      <c r="E27" s="28" t="n"/>
      <c r="F27" s="28" t="n"/>
      <c r="G27" s="28" t="n"/>
      <c r="H27" s="28" t="n"/>
      <c r="I27" s="28" t="n"/>
      <c r="J27" s="28" t="n"/>
      <c r="K27" s="28" t="n"/>
      <c r="L27" s="29" t="n"/>
      <c r="Z27">
        <f>IF(ISERROR($C$27),"",IF(ISBLANK($C$27),"",$C$27))</f>
        <v/>
      </c>
      <c r="AF27">
        <f>ISERROR($C$27)*1</f>
        <v/>
      </c>
    </row>
    <row r="28" ht="26" customHeight="1">
      <c r="A28" s="18" t="n">
        <v>6</v>
      </c>
      <c r="B28" s="9">
        <f>IF(LEN($Y$17)=0,"Habilidade 6",""&amp;$Y$17)</f>
        <v/>
      </c>
      <c r="C28" s="60" t="n"/>
      <c r="D28" s="28" t="n"/>
      <c r="E28" s="28" t="n"/>
      <c r="F28" s="28" t="n"/>
      <c r="G28" s="28" t="n"/>
      <c r="H28" s="28" t="n"/>
      <c r="I28" s="28" t="n"/>
      <c r="J28" s="28" t="n"/>
      <c r="K28" s="28" t="n"/>
      <c r="L28" s="29" t="n"/>
      <c r="Z28">
        <f>IF(ISERROR($C$28),"",IF(ISBLANK($C$28),"",$C$28))</f>
        <v/>
      </c>
      <c r="AF28">
        <f>ISERROR($C$28)*1</f>
        <v/>
      </c>
    </row>
    <row r="29" ht="26" customHeight="1">
      <c r="A29" s="16" t="n">
        <v>7</v>
      </c>
      <c r="B29" s="4">
        <f>IF(LEN($Y$18)=0,"Habilidade 7",""&amp;$Y$18)</f>
        <v/>
      </c>
      <c r="C29" s="27" t="n"/>
      <c r="D29" s="28" t="n"/>
      <c r="E29" s="28" t="n"/>
      <c r="F29" s="28" t="n"/>
      <c r="G29" s="28" t="n"/>
      <c r="H29" s="28" t="n"/>
      <c r="I29" s="28" t="n"/>
      <c r="J29" s="28" t="n"/>
      <c r="K29" s="28" t="n"/>
      <c r="L29" s="29" t="n"/>
      <c r="Z29">
        <f>IF(ISERROR($C$29),"",IF(ISBLANK($C$29),"",$C$29))</f>
        <v/>
      </c>
      <c r="AF29">
        <f>ISERROR($C$29)*1</f>
        <v/>
      </c>
    </row>
    <row r="30" ht="26" customHeight="1">
      <c r="A30" s="18" t="n">
        <v>8</v>
      </c>
      <c r="B30" s="9">
        <f>IF(LEN($Y$19)=0,"Habilidade 8",""&amp;$Y$19)</f>
        <v/>
      </c>
      <c r="C30" s="60" t="n"/>
      <c r="D30" s="28" t="n"/>
      <c r="E30" s="28" t="n"/>
      <c r="F30" s="28" t="n"/>
      <c r="G30" s="28" t="n"/>
      <c r="H30" s="28" t="n"/>
      <c r="I30" s="28" t="n"/>
      <c r="J30" s="28" t="n"/>
      <c r="K30" s="28" t="n"/>
      <c r="L30" s="29" t="n"/>
      <c r="Z30">
        <f>IF(ISERROR($C$30),"",IF(ISBLANK($C$30),"",$C$30))</f>
        <v/>
      </c>
      <c r="AF30">
        <f>ISERROR($C$30)*1</f>
        <v/>
      </c>
    </row>
    <row r="31"/>
    <row r="32">
      <c r="A32" s="14" t="inlineStr">
        <is>
          <t>Números das Habilidades (automático) — 16.3, 16.4 e 16.5</t>
        </is>
      </c>
    </row>
    <row r="33" ht="40" customHeight="1">
      <c r="A33" s="7" t="inlineStr">
        <is>
          <t>Nº</t>
        </is>
      </c>
      <c r="B33" s="7" t="inlineStr">
        <is>
          <t>Nome</t>
        </is>
      </c>
      <c r="C33" s="7" t="inlineStr">
        <is>
          <t>Nível efetivo</t>
        </is>
      </c>
      <c r="D33" s="7" t="inlineStr">
        <is>
          <t>Dano ou cura</t>
        </is>
      </c>
      <c r="E33" s="7" t="inlineStr">
        <is>
          <t>Média</t>
        </is>
      </c>
      <c r="F33" s="7" t="inlineStr">
        <is>
          <t>Rolagem ou DT</t>
        </is>
      </c>
      <c r="G33" s="7" t="inlineStr">
        <is>
          <t>PH</t>
        </is>
      </c>
      <c r="H33" s="7" t="inlineStr">
        <is>
          <t>Redução de Tenacidade</t>
        </is>
      </c>
      <c r="I33" s="7" t="inlineStr">
        <is>
          <t>Alcance máximo</t>
        </is>
      </c>
      <c r="J33" s="7" t="inlineStr">
        <is>
          <t>Alvos</t>
        </is>
      </c>
      <c r="K33" s="7" t="inlineStr">
        <is>
          <t>Dados da tabela</t>
        </is>
      </c>
      <c r="L33" s="7" t="inlineStr">
        <is>
          <t>Média dos dados</t>
        </is>
      </c>
    </row>
    <row r="34" ht="26" customHeight="1">
      <c r="A34" s="16" t="n">
        <v>1</v>
      </c>
      <c r="B34" s="4">
        <f>IF($P$12=0,"",IF(LEN($Y$12)=0,"Habilidade 1",""&amp;$Y$12))</f>
        <v/>
      </c>
      <c r="C34" s="17">
        <f>IF($P$12=0,"",$S$12)</f>
        <v/>
      </c>
      <c r="D34" s="17">
        <f>IF(OR($P$12=0,$U$12=0),"",IF($U$12&lt;=0,""&amp;$W$12,$U$12&amp;"d"&amp;$V$12&amp;IF($W$12&gt;0,"+"&amp;$W$12,IF($W$12&lt;0,""&amp;$W$12,""))))</f>
        <v/>
      </c>
      <c r="E34" s="17">
        <f>IF(OR($P$12=0,$U$12=0),"",INT($U$12*($V$12+1)/2)+$W$12)</f>
        <v/>
      </c>
      <c r="F34" s="17">
        <f>IF($P$12=0,"",IF($AC$12="Teste de Ataque",'Criação'!$C$57,IF($AC$12="Teste de Resistência","DT "&amp;'Criação'!$B$56,"")))</f>
        <v/>
      </c>
      <c r="G34" s="22">
        <f>IF($P$12=0,"",IF($Z$12="Passiva",0,INDEX('Dados'!$J$303:$J$309,$S$12)))</f>
        <v/>
      </c>
      <c r="H34" s="22">
        <f>IF($P$12=0,"",IF($Z$12="Dano",INDEX('Dados'!$K$303:$K$309,$S$12),0))</f>
        <v/>
      </c>
      <c r="I34" s="22">
        <f>IF($P$12=0,"",CHOOSE(MIN(4,$S$12),"Curta","Média","Longa","Extrema"))</f>
        <v/>
      </c>
      <c r="J34" s="22">
        <f>IF($P$12=0,"",IF($AB$12="Sim",IF($S$12&gt;=6,4,3),1))</f>
        <v/>
      </c>
      <c r="K34" s="22">
        <f>IF(OR($P$12=0,$U$12=0),"",$U$12&amp;"d"&amp;$V$12)</f>
        <v/>
      </c>
      <c r="L34" s="22">
        <f>IF(OR($P$12=0,$U$12=0),"",INT($U$12*($V$12+1)/2))</f>
        <v/>
      </c>
    </row>
    <row r="35" ht="26" customHeight="1">
      <c r="A35" s="18" t="n">
        <v>2</v>
      </c>
      <c r="B35" s="9">
        <f>IF($P$13=0,"",IF(LEN($Y$13)=0,"Habilidade 2",""&amp;$Y$13))</f>
        <v/>
      </c>
      <c r="C35" s="19">
        <f>IF($P$13=0,"",$S$13)</f>
        <v/>
      </c>
      <c r="D35" s="19">
        <f>IF(OR($P$13=0,$U$13=0),"",IF($U$13&lt;=0,""&amp;$W$13,$U$13&amp;"d"&amp;$V$13&amp;IF($W$13&gt;0,"+"&amp;$W$13,IF($W$13&lt;0,""&amp;$W$13,""))))</f>
        <v/>
      </c>
      <c r="E35" s="19">
        <f>IF(OR($P$13=0,$U$13=0),"",INT($U$13*($V$13+1)/2)+$W$13)</f>
        <v/>
      </c>
      <c r="F35" s="19">
        <f>IF($P$13=0,"",IF($AC$13="Teste de Ataque",'Criação'!$C$57,IF($AC$13="Teste de Resistência","DT "&amp;'Criação'!$B$56,"")))</f>
        <v/>
      </c>
      <c r="G35" s="21">
        <f>IF($P$13=0,"",IF($Z$13="Passiva",0,INDEX('Dados'!$J$303:$J$309,$S$13)))</f>
        <v/>
      </c>
      <c r="H35" s="21">
        <f>IF($P$13=0,"",IF($Z$13="Dano",INDEX('Dados'!$K$303:$K$309,$S$13),0))</f>
        <v/>
      </c>
      <c r="I35" s="21">
        <f>IF($P$13=0,"",CHOOSE(MIN(4,$S$13),"Curta","Média","Longa","Extrema"))</f>
        <v/>
      </c>
      <c r="J35" s="21">
        <f>IF($P$13=0,"",IF($AB$13="Sim",IF($S$13&gt;=6,4,3),1))</f>
        <v/>
      </c>
      <c r="K35" s="21">
        <f>IF(OR($P$13=0,$U$13=0),"",$U$13&amp;"d"&amp;$V$13)</f>
        <v/>
      </c>
      <c r="L35" s="21">
        <f>IF(OR($P$13=0,$U$13=0),"",INT($U$13*($V$13+1)/2))</f>
        <v/>
      </c>
    </row>
    <row r="36" ht="26" customHeight="1">
      <c r="A36" s="16" t="n">
        <v>3</v>
      </c>
      <c r="B36" s="4">
        <f>IF($P$14=0,"",IF(LEN($Y$14)=0,"Habilidade 3",""&amp;$Y$14))</f>
        <v/>
      </c>
      <c r="C36" s="17">
        <f>IF($P$14=0,"",$S$14)</f>
        <v/>
      </c>
      <c r="D36" s="17">
        <f>IF(OR($P$14=0,$U$14=0),"",IF($U$14&lt;=0,""&amp;$W$14,$U$14&amp;"d"&amp;$V$14&amp;IF($W$14&gt;0,"+"&amp;$W$14,IF($W$14&lt;0,""&amp;$W$14,""))))</f>
        <v/>
      </c>
      <c r="E36" s="17">
        <f>IF(OR($P$14=0,$U$14=0),"",INT($U$14*($V$14+1)/2)+$W$14)</f>
        <v/>
      </c>
      <c r="F36" s="17">
        <f>IF($P$14=0,"",IF($AC$14="Teste de Ataque",'Criação'!$C$57,IF($AC$14="Teste de Resistência","DT "&amp;'Criação'!$B$56,"")))</f>
        <v/>
      </c>
      <c r="G36" s="22">
        <f>IF($P$14=0,"",IF($Z$14="Passiva",0,INDEX('Dados'!$J$303:$J$309,$S$14)))</f>
        <v/>
      </c>
      <c r="H36" s="22">
        <f>IF($P$14=0,"",IF($Z$14="Dano",INDEX('Dados'!$K$303:$K$309,$S$14),0))</f>
        <v/>
      </c>
      <c r="I36" s="22">
        <f>IF($P$14=0,"",CHOOSE(MIN(4,$S$14),"Curta","Média","Longa","Extrema"))</f>
        <v/>
      </c>
      <c r="J36" s="22">
        <f>IF($P$14=0,"",IF($AB$14="Sim",IF($S$14&gt;=6,4,3),1))</f>
        <v/>
      </c>
      <c r="K36" s="22">
        <f>IF(OR($P$14=0,$U$14=0),"",$U$14&amp;"d"&amp;$V$14)</f>
        <v/>
      </c>
      <c r="L36" s="22">
        <f>IF(OR($P$14=0,$U$14=0),"",INT($U$14*($V$14+1)/2))</f>
        <v/>
      </c>
    </row>
    <row r="37" ht="26" customHeight="1">
      <c r="A37" s="18" t="n">
        <v>4</v>
      </c>
      <c r="B37" s="9">
        <f>IF($P$15=0,"",IF(LEN($Y$15)=0,"Habilidade 4",""&amp;$Y$15))</f>
        <v/>
      </c>
      <c r="C37" s="19">
        <f>IF($P$15=0,"",$S$15)</f>
        <v/>
      </c>
      <c r="D37" s="19">
        <f>IF(OR($P$15=0,$U$15=0),"",IF($U$15&lt;=0,""&amp;$W$15,$U$15&amp;"d"&amp;$V$15&amp;IF($W$15&gt;0,"+"&amp;$W$15,IF($W$15&lt;0,""&amp;$W$15,""))))</f>
        <v/>
      </c>
      <c r="E37" s="19">
        <f>IF(OR($P$15=0,$U$15=0),"",INT($U$15*($V$15+1)/2)+$W$15)</f>
        <v/>
      </c>
      <c r="F37" s="19">
        <f>IF($P$15=0,"",IF($AC$15="Teste de Ataque",'Criação'!$C$57,IF($AC$15="Teste de Resistência","DT "&amp;'Criação'!$B$56,"")))</f>
        <v/>
      </c>
      <c r="G37" s="21">
        <f>IF($P$15=0,"",IF($Z$15="Passiva",0,INDEX('Dados'!$J$303:$J$309,$S$15)))</f>
        <v/>
      </c>
      <c r="H37" s="21">
        <f>IF($P$15=0,"",IF($Z$15="Dano",INDEX('Dados'!$K$303:$K$309,$S$15),0))</f>
        <v/>
      </c>
      <c r="I37" s="21">
        <f>IF($P$15=0,"",CHOOSE(MIN(4,$S$15),"Curta","Média","Longa","Extrema"))</f>
        <v/>
      </c>
      <c r="J37" s="21">
        <f>IF($P$15=0,"",IF($AB$15="Sim",IF($S$15&gt;=6,4,3),1))</f>
        <v/>
      </c>
      <c r="K37" s="21">
        <f>IF(OR($P$15=0,$U$15=0),"",$U$15&amp;"d"&amp;$V$15)</f>
        <v/>
      </c>
      <c r="L37" s="21">
        <f>IF(OR($P$15=0,$U$15=0),"",INT($U$15*($V$15+1)/2))</f>
        <v/>
      </c>
    </row>
    <row r="38" ht="26" customHeight="1">
      <c r="A38" s="16" t="n">
        <v>5</v>
      </c>
      <c r="B38" s="4">
        <f>IF($P$16=0,"",IF(LEN($Y$16)=0,"Habilidade 5",""&amp;$Y$16))</f>
        <v/>
      </c>
      <c r="C38" s="17">
        <f>IF($P$16=0,"",$S$16)</f>
        <v/>
      </c>
      <c r="D38" s="17">
        <f>IF(OR($P$16=0,$U$16=0),"",IF($U$16&lt;=0,""&amp;$W$16,$U$16&amp;"d"&amp;$V$16&amp;IF($W$16&gt;0,"+"&amp;$W$16,IF($W$16&lt;0,""&amp;$W$16,""))))</f>
        <v/>
      </c>
      <c r="E38" s="17">
        <f>IF(OR($P$16=0,$U$16=0),"",INT($U$16*($V$16+1)/2)+$W$16)</f>
        <v/>
      </c>
      <c r="F38" s="17">
        <f>IF($P$16=0,"",IF($AC$16="Teste de Ataque",'Criação'!$C$57,IF($AC$16="Teste de Resistência","DT "&amp;'Criação'!$B$56,"")))</f>
        <v/>
      </c>
      <c r="G38" s="22">
        <f>IF($P$16=0,"",IF($Z$16="Passiva",0,INDEX('Dados'!$J$303:$J$309,$S$16)))</f>
        <v/>
      </c>
      <c r="H38" s="22">
        <f>IF($P$16=0,"",IF($Z$16="Dano",INDEX('Dados'!$K$303:$K$309,$S$16),0))</f>
        <v/>
      </c>
      <c r="I38" s="22">
        <f>IF($P$16=0,"",CHOOSE(MIN(4,$S$16),"Curta","Média","Longa","Extrema"))</f>
        <v/>
      </c>
      <c r="J38" s="22">
        <f>IF($P$16=0,"",IF($AB$16="Sim",IF($S$16&gt;=6,4,3),1))</f>
        <v/>
      </c>
      <c r="K38" s="22">
        <f>IF(OR($P$16=0,$U$16=0),"",$U$16&amp;"d"&amp;$V$16)</f>
        <v/>
      </c>
      <c r="L38" s="22">
        <f>IF(OR($P$16=0,$U$16=0),"",INT($U$16*($V$16+1)/2))</f>
        <v/>
      </c>
    </row>
    <row r="39" ht="26" customHeight="1">
      <c r="A39" s="18" t="n">
        <v>6</v>
      </c>
      <c r="B39" s="9">
        <f>IF($P$17=0,"",IF(LEN($Y$17)=0,"Habilidade 6",""&amp;$Y$17))</f>
        <v/>
      </c>
      <c r="C39" s="19">
        <f>IF($P$17=0,"",$S$17)</f>
        <v/>
      </c>
      <c r="D39" s="19">
        <f>IF(OR($P$17=0,$U$17=0),"",IF($U$17&lt;=0,""&amp;$W$17,$U$17&amp;"d"&amp;$V$17&amp;IF($W$17&gt;0,"+"&amp;$W$17,IF($W$17&lt;0,""&amp;$W$17,""))))</f>
        <v/>
      </c>
      <c r="E39" s="19">
        <f>IF(OR($P$17=0,$U$17=0),"",INT($U$17*($V$17+1)/2)+$W$17)</f>
        <v/>
      </c>
      <c r="F39" s="19">
        <f>IF($P$17=0,"",IF($AC$17="Teste de Ataque",'Criação'!$C$57,IF($AC$17="Teste de Resistência","DT "&amp;'Criação'!$B$56,"")))</f>
        <v/>
      </c>
      <c r="G39" s="21">
        <f>IF($P$17=0,"",IF($Z$17="Passiva",0,INDEX('Dados'!$J$303:$J$309,$S$17)))</f>
        <v/>
      </c>
      <c r="H39" s="21">
        <f>IF($P$17=0,"",IF($Z$17="Dano",INDEX('Dados'!$K$303:$K$309,$S$17),0))</f>
        <v/>
      </c>
      <c r="I39" s="21">
        <f>IF($P$17=0,"",CHOOSE(MIN(4,$S$17),"Curta","Média","Longa","Extrema"))</f>
        <v/>
      </c>
      <c r="J39" s="21">
        <f>IF($P$17=0,"",IF($AB$17="Sim",IF($S$17&gt;=6,4,3),1))</f>
        <v/>
      </c>
      <c r="K39" s="21">
        <f>IF(OR($P$17=0,$U$17=0),"",$U$17&amp;"d"&amp;$V$17)</f>
        <v/>
      </c>
      <c r="L39" s="21">
        <f>IF(OR($P$17=0,$U$17=0),"",INT($U$17*($V$17+1)/2))</f>
        <v/>
      </c>
    </row>
    <row r="40" ht="26" customHeight="1">
      <c r="A40" s="16" t="n">
        <v>7</v>
      </c>
      <c r="B40" s="4">
        <f>IF($P$18=0,"",IF(LEN($Y$18)=0,"Habilidade 7",""&amp;$Y$18))</f>
        <v/>
      </c>
      <c r="C40" s="17">
        <f>IF($P$18=0,"",$S$18)</f>
        <v/>
      </c>
      <c r="D40" s="17">
        <f>IF(OR($P$18=0,$U$18=0),"",IF($U$18&lt;=0,""&amp;$W$18,$U$18&amp;"d"&amp;$V$18&amp;IF($W$18&gt;0,"+"&amp;$W$18,IF($W$18&lt;0,""&amp;$W$18,""))))</f>
        <v/>
      </c>
      <c r="E40" s="17">
        <f>IF(OR($P$18=0,$U$18=0),"",INT($U$18*($V$18+1)/2)+$W$18)</f>
        <v/>
      </c>
      <c r="F40" s="17">
        <f>IF($P$18=0,"",IF($AC$18="Teste de Ataque",'Criação'!$C$57,IF($AC$18="Teste de Resistência","DT "&amp;'Criação'!$B$56,"")))</f>
        <v/>
      </c>
      <c r="G40" s="22">
        <f>IF($P$18=0,"",IF($Z$18="Passiva",0,INDEX('Dados'!$J$303:$J$309,$S$18)))</f>
        <v/>
      </c>
      <c r="H40" s="22">
        <f>IF($P$18=0,"",IF($Z$18="Dano",INDEX('Dados'!$K$303:$K$309,$S$18),0))</f>
        <v/>
      </c>
      <c r="I40" s="22">
        <f>IF($P$18=0,"",CHOOSE(MIN(4,$S$18),"Curta","Média","Longa","Extrema"))</f>
        <v/>
      </c>
      <c r="J40" s="22">
        <f>IF($P$18=0,"",IF($AB$18="Sim",IF($S$18&gt;=6,4,3),1))</f>
        <v/>
      </c>
      <c r="K40" s="22">
        <f>IF(OR($P$18=0,$U$18=0),"",$U$18&amp;"d"&amp;$V$18)</f>
        <v/>
      </c>
      <c r="L40" s="22">
        <f>IF(OR($P$18=0,$U$18=0),"",INT($U$18*($V$18+1)/2))</f>
        <v/>
      </c>
    </row>
    <row r="41" ht="26" customHeight="1">
      <c r="A41" s="18" t="n">
        <v>8</v>
      </c>
      <c r="B41" s="9">
        <f>IF($P$19=0,"",IF(LEN($Y$19)=0,"Habilidade 8",""&amp;$Y$19))</f>
        <v/>
      </c>
      <c r="C41" s="19">
        <f>IF($P$19=0,"",$S$19)</f>
        <v/>
      </c>
      <c r="D41" s="19">
        <f>IF(OR($P$19=0,$U$19=0),"",IF($U$19&lt;=0,""&amp;$W$19,$U$19&amp;"d"&amp;$V$19&amp;IF($W$19&gt;0,"+"&amp;$W$19,IF($W$19&lt;0,""&amp;$W$19,""))))</f>
        <v/>
      </c>
      <c r="E41" s="19">
        <f>IF(OR($P$19=0,$U$19=0),"",INT($U$19*($V$19+1)/2)+$W$19)</f>
        <v/>
      </c>
      <c r="F41" s="19">
        <f>IF($P$19=0,"",IF($AC$19="Teste de Ataque",'Criação'!$C$57,IF($AC$19="Teste de Resistência","DT "&amp;'Criação'!$B$56,"")))</f>
        <v/>
      </c>
      <c r="G41" s="21">
        <f>IF($P$19=0,"",IF($Z$19="Passiva",0,INDEX('Dados'!$J$303:$J$309,$S$19)))</f>
        <v/>
      </c>
      <c r="H41" s="21">
        <f>IF($P$19=0,"",IF($Z$19="Dano",INDEX('Dados'!$K$303:$K$309,$S$19),0))</f>
        <v/>
      </c>
      <c r="I41" s="21">
        <f>IF($P$19=0,"",CHOOSE(MIN(4,$S$19),"Curta","Média","Longa","Extrema"))</f>
        <v/>
      </c>
      <c r="J41" s="21">
        <f>IF($P$19=0,"",IF($AB$19="Sim",IF($S$19&gt;=6,4,3),1))</f>
        <v/>
      </c>
      <c r="K41" s="21">
        <f>IF(OR($P$19=0,$U$19=0),"",$U$19&amp;"d"&amp;$V$19)</f>
        <v/>
      </c>
      <c r="L41" s="21">
        <f>IF(OR($P$19=0,$U$19=0),"",INT($U$19*($V$19+1)/2))</f>
        <v/>
      </c>
    </row>
    <row r="42"/>
    <row r="43">
      <c r="A43" s="7" t="inlineStr">
        <is>
          <t>Nº</t>
        </is>
      </c>
      <c r="B43" s="7" t="inlineStr">
        <is>
          <t>Nome</t>
        </is>
      </c>
      <c r="C43" s="7" t="inlineStr">
        <is>
          <t>Bônus fixo</t>
        </is>
      </c>
      <c r="D43" s="7" t="inlineStr">
        <is>
          <t>Guia de 16.5 (o que o efeito pode fazer)</t>
        </is>
      </c>
      <c r="E43" s="15" t="n"/>
      <c r="F43" s="15" t="n"/>
      <c r="G43" s="15" t="n"/>
      <c r="H43" s="15" t="n"/>
      <c r="I43" s="15" t="n"/>
      <c r="J43" s="15" t="n"/>
      <c r="K43" s="15" t="n"/>
      <c r="L43" s="15" t="n"/>
    </row>
    <row r="44" ht="26" customHeight="1">
      <c r="A44" s="16" t="n">
        <v>1</v>
      </c>
      <c r="B44" s="4">
        <f>IF($P$12=0,"",IF(LEN($Y$12)=0,"Habilidade 1",""&amp;$Y$12))</f>
        <v/>
      </c>
      <c r="C44" s="22">
        <f>IF($P$12=0,"",$W$12)</f>
        <v/>
      </c>
      <c r="D44" s="4">
        <f>IF($P$12=0,"",IF(OR($Z$12="Buff",$Z$12="Debuff"),INDEX('Dados'!$B$313:$B$319,$S$12)&amp;" · "&amp;INDEX('Dados'!$C$313:$C$319,$S$12)&amp;" · alvos: "&amp;INDEX('Dados'!$D$313:$D$319,$S$12),IF($Z$12="Passiva",INDEX('Dados'!$B$323:$B$329,$S$12)&amp;" · não custa PH",IF(OR($Z$12="Dano",$Z$12="Cura"),"Dados da tabela 16.3 + Bônus do Atributo de Habilidade, uma vez","Escolha o Tipo"))))</f>
        <v/>
      </c>
    </row>
    <row r="45" ht="26" customHeight="1">
      <c r="A45" s="18" t="n">
        <v>2</v>
      </c>
      <c r="B45" s="9">
        <f>IF($P$13=0,"",IF(LEN($Y$13)=0,"Habilidade 2",""&amp;$Y$13))</f>
        <v/>
      </c>
      <c r="C45" s="21">
        <f>IF($P$13=0,"",$W$13)</f>
        <v/>
      </c>
      <c r="D45" s="9">
        <f>IF($P$13=0,"",IF(OR($Z$13="Buff",$Z$13="Debuff"),INDEX('Dados'!$B$313:$B$319,$S$13)&amp;" · "&amp;INDEX('Dados'!$C$313:$C$319,$S$13)&amp;" · alvos: "&amp;INDEX('Dados'!$D$313:$D$319,$S$13),IF($Z$13="Passiva",INDEX('Dados'!$B$323:$B$329,$S$13)&amp;" · não custa PH",IF(OR($Z$13="Dano",$Z$13="Cura"),"Dados da tabela 16.3 + Bônus do Atributo de Habilidade, uma vez","Escolha o Tipo"))))</f>
        <v/>
      </c>
    </row>
    <row r="46" ht="26" customHeight="1">
      <c r="A46" s="16" t="n">
        <v>3</v>
      </c>
      <c r="B46" s="4">
        <f>IF($P$14=0,"",IF(LEN($Y$14)=0,"Habilidade 3",""&amp;$Y$14))</f>
        <v/>
      </c>
      <c r="C46" s="22">
        <f>IF($P$14=0,"",$W$14)</f>
        <v/>
      </c>
      <c r="D46" s="4">
        <f>IF($P$14=0,"",IF(OR($Z$14="Buff",$Z$14="Debuff"),INDEX('Dados'!$B$313:$B$319,$S$14)&amp;" · "&amp;INDEX('Dados'!$C$313:$C$319,$S$14)&amp;" · alvos: "&amp;INDEX('Dados'!$D$313:$D$319,$S$14),IF($Z$14="Passiva",INDEX('Dados'!$B$323:$B$329,$S$14)&amp;" · não custa PH",IF(OR($Z$14="Dano",$Z$14="Cura"),"Dados da tabela 16.3 + Bônus do Atributo de Habilidade, uma vez","Escolha o Tipo"))))</f>
        <v/>
      </c>
    </row>
    <row r="47" ht="26" customHeight="1">
      <c r="A47" s="18" t="n">
        <v>4</v>
      </c>
      <c r="B47" s="9">
        <f>IF($P$15=0,"",IF(LEN($Y$15)=0,"Habilidade 4",""&amp;$Y$15))</f>
        <v/>
      </c>
      <c r="C47" s="21">
        <f>IF($P$15=0,"",$W$15)</f>
        <v/>
      </c>
      <c r="D47" s="9">
        <f>IF($P$15=0,"",IF(OR($Z$15="Buff",$Z$15="Debuff"),INDEX('Dados'!$B$313:$B$319,$S$15)&amp;" · "&amp;INDEX('Dados'!$C$313:$C$319,$S$15)&amp;" · alvos: "&amp;INDEX('Dados'!$D$313:$D$319,$S$15),IF($Z$15="Passiva",INDEX('Dados'!$B$323:$B$329,$S$15)&amp;" · não custa PH",IF(OR($Z$15="Dano",$Z$15="Cura"),"Dados da tabela 16.3 + Bônus do Atributo de Habilidade, uma vez","Escolha o Tipo"))))</f>
        <v/>
      </c>
    </row>
    <row r="48" ht="26" customHeight="1">
      <c r="A48" s="16" t="n">
        <v>5</v>
      </c>
      <c r="B48" s="4">
        <f>IF($P$16=0,"",IF(LEN($Y$16)=0,"Habilidade 5",""&amp;$Y$16))</f>
        <v/>
      </c>
      <c r="C48" s="22">
        <f>IF($P$16=0,"",$W$16)</f>
        <v/>
      </c>
      <c r="D48" s="4">
        <f>IF($P$16=0,"",IF(OR($Z$16="Buff",$Z$16="Debuff"),INDEX('Dados'!$B$313:$B$319,$S$16)&amp;" · "&amp;INDEX('Dados'!$C$313:$C$319,$S$16)&amp;" · alvos: "&amp;INDEX('Dados'!$D$313:$D$319,$S$16),IF($Z$16="Passiva",INDEX('Dados'!$B$323:$B$329,$S$16)&amp;" · não custa PH",IF(OR($Z$16="Dano",$Z$16="Cura"),"Dados da tabela 16.3 + Bônus do Atributo de Habilidade, uma vez","Escolha o Tipo"))))</f>
        <v/>
      </c>
    </row>
    <row r="49" ht="26" customHeight="1">
      <c r="A49" s="18" t="n">
        <v>6</v>
      </c>
      <c r="B49" s="9">
        <f>IF($P$17=0,"",IF(LEN($Y$17)=0,"Habilidade 6",""&amp;$Y$17))</f>
        <v/>
      </c>
      <c r="C49" s="21">
        <f>IF($P$17=0,"",$W$17)</f>
        <v/>
      </c>
      <c r="D49" s="9">
        <f>IF($P$17=0,"",IF(OR($Z$17="Buff",$Z$17="Debuff"),INDEX('Dados'!$B$313:$B$319,$S$17)&amp;" · "&amp;INDEX('Dados'!$C$313:$C$319,$S$17)&amp;" · alvos: "&amp;INDEX('Dados'!$D$313:$D$319,$S$17),IF($Z$17="Passiva",INDEX('Dados'!$B$323:$B$329,$S$17)&amp;" · não custa PH",IF(OR($Z$17="Dano",$Z$17="Cura"),"Dados da tabela 16.3 + Bônus do Atributo de Habilidade, uma vez","Escolha o Tipo"))))</f>
        <v/>
      </c>
    </row>
    <row r="50" ht="26" customHeight="1">
      <c r="A50" s="16" t="n">
        <v>7</v>
      </c>
      <c r="B50" s="4">
        <f>IF($P$18=0,"",IF(LEN($Y$18)=0,"Habilidade 7",""&amp;$Y$18))</f>
        <v/>
      </c>
      <c r="C50" s="22">
        <f>IF($P$18=0,"",$W$18)</f>
        <v/>
      </c>
      <c r="D50" s="4">
        <f>IF($P$18=0,"",IF(OR($Z$18="Buff",$Z$18="Debuff"),INDEX('Dados'!$B$313:$B$319,$S$18)&amp;" · "&amp;INDEX('Dados'!$C$313:$C$319,$S$18)&amp;" · alvos: "&amp;INDEX('Dados'!$D$313:$D$319,$S$18),IF($Z$18="Passiva",INDEX('Dados'!$B$323:$B$329,$S$18)&amp;" · não custa PH",IF(OR($Z$18="Dano",$Z$18="Cura"),"Dados da tabela 16.3 + Bônus do Atributo de Habilidade, uma vez","Escolha o Tipo"))))</f>
        <v/>
      </c>
    </row>
    <row r="51" ht="26" customHeight="1">
      <c r="A51" s="18" t="n">
        <v>8</v>
      </c>
      <c r="B51" s="9">
        <f>IF($P$19=0,"",IF(LEN($Y$19)=0,"Habilidade 8",""&amp;$Y$19))</f>
        <v/>
      </c>
      <c r="C51" s="21">
        <f>IF($P$19=0,"",$W$19)</f>
        <v/>
      </c>
      <c r="D51" s="9">
        <f>IF($P$19=0,"",IF(OR($Z$19="Buff",$Z$19="Debuff"),INDEX('Dados'!$B$313:$B$319,$S$19)&amp;" · "&amp;INDEX('Dados'!$C$313:$C$319,$S$19)&amp;" · alvos: "&amp;INDEX('Dados'!$D$313:$D$319,$S$19),IF($Z$19="Passiva",INDEX('Dados'!$B$323:$B$329,$S$19)&amp;" · não custa PH",IF(OR($Z$19="Dano",$Z$19="Cura"),"Dados da tabela 16.3 + Bônus do Atributo de Habilidade, uma vez","Escolha o Tipo"))))</f>
        <v/>
      </c>
    </row>
    <row r="52"/>
    <row r="53">
      <c r="A53" s="14" t="inlineStr">
        <is>
          <t>Ultimate — 17 (100 de Energia, não gasta ação, 1 por Ciclo; potência pela faixa)</t>
        </is>
      </c>
    </row>
    <row r="54" ht="26" customHeight="1">
      <c r="A54" s="8" t="inlineStr">
        <is>
          <t>Nome (diga em voz alta)</t>
        </is>
      </c>
      <c r="C54" s="27" t="n"/>
      <c r="D54" s="28" t="n"/>
      <c r="E54" s="28" t="n"/>
      <c r="F54" s="29" t="n"/>
      <c r="K54" s="13">
        <f>IF(AF54&gt;0,"O Google leu como fórmula: digite de novo com ' na frente.","")</f>
        <v/>
      </c>
      <c r="Z54">
        <f>IF(ISERROR($C$54),"",IF(ISBLANK($C$54),"",$C$54))</f>
        <v/>
      </c>
      <c r="AF54">
        <f>ISERROR($C$54)*1</f>
        <v/>
      </c>
    </row>
    <row r="55" ht="26" customHeight="1">
      <c r="A55" s="8" t="inlineStr">
        <is>
          <t>A frase que você diz</t>
        </is>
      </c>
      <c r="C55" s="27" t="n"/>
      <c r="D55" s="28" t="n"/>
      <c r="E55" s="28" t="n"/>
      <c r="F55" s="28" t="n"/>
      <c r="G55" s="28" t="n"/>
      <c r="H55" s="28" t="n"/>
      <c r="I55" s="28" t="n"/>
      <c r="J55" s="28" t="n"/>
      <c r="K55" s="29" t="n"/>
      <c r="L55" s="13">
        <f>IF(AF55&gt;0,"O Google leu como fórmula: digite de novo com ' na frente.","")</f>
        <v/>
      </c>
      <c r="Z55">
        <f>IF(ISERROR($C$55),"",IF(ISBLANK($C$55),"",$C$55))</f>
        <v/>
      </c>
      <c r="AF55">
        <f>ISERROR($C$55)*1</f>
        <v/>
      </c>
    </row>
    <row r="56" ht="26" customHeight="1">
      <c r="A56" s="8" t="inlineStr">
        <is>
          <t>Tipo</t>
        </is>
      </c>
      <c r="C56" s="23" t="n"/>
      <c r="D56" s="29" t="n"/>
      <c r="L56" s="13">
        <f>IF(AF56&gt;0,"O Google leu como fórmula: escolha de novo na lista.",IF($Z$56="",IF($P$61=1,"Escolha o Tipo da Ultimate.",""),IF(OR($Z$56="Dano",$Z$56="Cura",$Z$56="Buff",$Z$56="Debuff",$Z$56="Controle"),"","Tipo fora da lista (17.4)."))&amp;IF(AND(LEN($Z$58)&gt;0,COUNTIF('Dados'!$AK$6:$AK$7,$Z$58)=0)," Resolução fora da lista.",""))</f>
        <v/>
      </c>
      <c r="Z56">
        <f>IF(ISERROR($C$56),"",IF(ISBLANK($C$56),"",$C$56))</f>
        <v/>
      </c>
      <c r="AF56">
        <f>ISERROR($C$56)*1</f>
        <v/>
      </c>
    </row>
    <row r="57" ht="26" customHeight="1">
      <c r="A57" s="8" t="inlineStr">
        <is>
          <t>Em área?</t>
        </is>
      </c>
      <c r="C57" s="23" t="n"/>
      <c r="D57" s="29" t="n"/>
      <c r="K57" s="13">
        <f>IF(AF57&gt;0,"O Google leu como fórmula: escolha de novo na lista.","")</f>
        <v/>
      </c>
      <c r="Z57">
        <f>IF(ISERROR($C$57),"",IF(ISBLANK($C$57),"",$C$57))</f>
        <v/>
      </c>
      <c r="AF57">
        <f>ISERROR($C$57)*1</f>
        <v/>
      </c>
    </row>
    <row r="58" ht="26" customHeight="1">
      <c r="A58" s="8" t="inlineStr">
        <is>
          <t>Resolução</t>
        </is>
      </c>
      <c r="C58" s="23" t="n"/>
      <c r="D58" s="29" t="n"/>
      <c r="K58" s="13">
        <f>IF(AF58&gt;0,"O Google leu como fórmula: escolha de novo na lista.","")</f>
        <v/>
      </c>
      <c r="Z58">
        <f>IF(ISERROR($C$58),"",IF(ISBLANK($C$58),"",$C$58))</f>
        <v/>
      </c>
      <c r="AF58">
        <f>ISERROR($C$58)*1</f>
        <v/>
      </c>
    </row>
    <row r="59" ht="37" customHeight="1">
      <c r="A59" s="8" t="inlineStr">
        <is>
          <t>Efeito (o que ela faz)</t>
        </is>
      </c>
      <c r="C59" s="27" t="n"/>
      <c r="D59" s="28" t="n"/>
      <c r="E59" s="28" t="n"/>
      <c r="F59" s="28" t="n"/>
      <c r="G59" s="28" t="n"/>
      <c r="H59" s="28" t="n"/>
      <c r="I59" s="28" t="n"/>
      <c r="J59" s="28" t="n"/>
      <c r="K59" s="29" t="n"/>
      <c r="L59" s="13">
        <f>IF(AF59&gt;0,"O Google leu como fórmula: digite de novo com ' na frente.","")</f>
        <v/>
      </c>
      <c r="Z59">
        <f>IF(ISERROR($C$59),"",IF(ISBLANK($C$59),"",$C$59))</f>
        <v/>
      </c>
      <c r="AF59">
        <f>ISERROR($C$59)*1</f>
        <v/>
      </c>
    </row>
    <row r="60" ht="40" customHeight="1">
      <c r="A60" s="7" t="inlineStr">
        <is>
          <t>Ultimate</t>
        </is>
      </c>
      <c r="B60" s="15" t="n"/>
      <c r="C60" s="7" t="inlineStr">
        <is>
          <t>Nível equivalente</t>
        </is>
      </c>
      <c r="D60" s="7" t="inlineStr">
        <is>
          <t>Dano ou cura</t>
        </is>
      </c>
      <c r="E60" s="7" t="inlineStr">
        <is>
          <t>Média</t>
        </is>
      </c>
      <c r="F60" s="7" t="inlineStr">
        <is>
          <t>Rolagem ou DT</t>
        </is>
      </c>
      <c r="G60" s="7" t="inlineStr">
        <is>
          <t>Custo (Energia)</t>
        </is>
      </c>
      <c r="H60" s="7" t="inlineStr">
        <is>
          <t>Redução de Tenacidade</t>
        </is>
      </c>
      <c r="I60" s="7" t="inlineStr">
        <is>
          <t>Alvos</t>
        </is>
      </c>
      <c r="J60" s="7" t="inlineStr">
        <is>
          <t>Dados da tabela</t>
        </is>
      </c>
      <c r="K60" s="7" t="inlineStr">
        <is>
          <t>Média dos dados</t>
        </is>
      </c>
      <c r="L60" s="7" t="inlineStr">
        <is>
          <t>Bônus fixo</t>
        </is>
      </c>
      <c r="P60" s="7" t="inlineStr">
        <is>
          <t>preenchida</t>
        </is>
      </c>
      <c r="Q60" s="7" t="inlineStr">
        <is>
          <t>nº tabela</t>
        </is>
      </c>
      <c r="R60" s="7" t="inlineStr">
        <is>
          <t>nº de dados</t>
        </is>
      </c>
      <c r="S60" s="7" t="inlineStr">
        <is>
          <t>face</t>
        </is>
      </c>
    </row>
    <row r="61">
      <c r="A61" s="8" t="inlineStr">
        <is>
          <t>Números da Ultimate</t>
        </is>
      </c>
      <c r="C61" s="17">
        <f>'Criação'!$H$16</f>
        <v/>
      </c>
      <c r="D61" s="17">
        <f>IF($R$61=0,"",IF($R$61&lt;=0,""&amp;$L$61,$R$61&amp;"d"&amp;$S$61&amp;IF($L$61&gt;0,"+"&amp;$L$61,IF($L$61&lt;0,""&amp;$L$61,""))))</f>
        <v/>
      </c>
      <c r="E61" s="17">
        <f>IF($R$61=0,"",INT($R$61*($S$61+1)/2)+$L$61)</f>
        <v/>
      </c>
      <c r="F61" s="17">
        <f>IF($Z$58="Teste de Ataque",'Criação'!$C$57,IF($Z$58="Teste de Resistência","DT "&amp;'Criação'!$B$56,""))</f>
        <v/>
      </c>
      <c r="G61" s="17">
        <f>IF('Progressão'!$R$70="Ultimate com 80 de Energia",80,100)</f>
        <v/>
      </c>
      <c r="H61" s="22">
        <f>INDEX('Dados'!$K$333:$K$337,'Criação'!$B$14)</f>
        <v/>
      </c>
      <c r="I61" s="22">
        <f>IF($Z$57="Sim",IF($C$61&gt;=6,4,3),1)</f>
        <v/>
      </c>
      <c r="J61" s="22">
        <f>IF($R$61=0,"",$R$61&amp;"d"&amp;$S$61)</f>
        <v/>
      </c>
      <c r="K61" s="22">
        <f>IF($R$61=0,"",INT($R$61*($S$61+1)/2))</f>
        <v/>
      </c>
      <c r="L61" s="22">
        <f>IF(OR($Z$56="Dano",$Z$56="Cura"),'Criação'!$B$55+IF($Z$56="Dano",'Equipamento'!$P$40+'Equipamento'!$F$31,0),0)</f>
        <v/>
      </c>
      <c r="P61" s="25">
        <f>IF(OR(LEN($Z$54)&gt;0,LEN($Z$55)&gt;0,LEN($Z$56)&gt;0,LEN($Z$57)&gt;0,LEN($Z$58)&gt;0,LEN($Z$59)&gt;0),1,0)</f>
        <v/>
      </c>
      <c r="Q61" s="25">
        <f>IF($Z$56="Dano",INDEX('Dados'!$D$333:$D$337,'Criação'!$B$14),IF($Z$56="Cura",INDEX('Dados'!$H$333:$H$337,'Criação'!$B$14),0))</f>
        <v/>
      </c>
      <c r="R61" s="25">
        <f>IF(AND($Z$57="Sim",$Q$61&gt;0),MAX(1,INT($Q$61/2)),$Q$61)</f>
        <v/>
      </c>
      <c r="S61" s="25">
        <f>IF($Z$56="Dano",INDEX('Dados'!$E$333:$E$337,'Criação'!$B$14),IF($Z$56="Cura",INDEX('Dados'!$I$333:$I$337,'Criação'!$B$14),0))</f>
        <v/>
      </c>
    </row>
    <row r="62">
      <c r="A62" s="33" t="inlineStr">
        <is>
          <t>Guia de 16.5 (efeito)</t>
        </is>
      </c>
      <c r="C62" s="9">
        <f>IF(OR($Z$56="Buff",$Z$56="Debuff",$Z$56="Controle"),"Nível equivalente "&amp;$C$61&amp;": "&amp;INDEX('Dados'!$B$313:$B$319,$C$61)&amp;" · "&amp;INDEX('Dados'!$C$313:$C$319,$C$61),IF(OR($Z$56="Dano",$Z$56="Cura"),"Dados da linha da sua faixa (17.3) + Bônus do Atributo de Habilidade, uma vez","Escolha o Tipo"))</f>
        <v/>
      </c>
      <c r="M62" s="35" t="n"/>
      <c r="N62" s="35" t="n"/>
      <c r="O62" s="35" t="n"/>
      <c r="P62" s="35" t="n"/>
      <c r="Q62" s="35" t="n"/>
      <c r="R62" s="35" t="n"/>
      <c r="S62" s="35" t="n"/>
    </row>
    <row r="63">
      <c r="A63" s="8" t="inlineStr">
        <is>
          <t>A Ultimate sobe sozinha ao mudar de faixa (níveis 5, 9, 13 e 17). Ressonância II: efeito extra; Ressonância IV: pode custar 80 de Energia (26.7).</t>
        </is>
      </c>
    </row>
  </sheetData>
  <mergeCells count="61">
    <mergeCell ref="C27:L27"/>
    <mergeCell ref="I14:L14"/>
    <mergeCell ref="D49:L49"/>
    <mergeCell ref="I17:L17"/>
    <mergeCell ref="C23:L23"/>
    <mergeCell ref="A59:B59"/>
    <mergeCell ref="A60:B60"/>
    <mergeCell ref="C55:K55"/>
    <mergeCell ref="C58:D58"/>
    <mergeCell ref="D48:L48"/>
    <mergeCell ref="E7:K7"/>
    <mergeCell ref="A3:L3"/>
    <mergeCell ref="I19:L19"/>
    <mergeCell ref="A61:B61"/>
    <mergeCell ref="A6:B6"/>
    <mergeCell ref="D47:L47"/>
    <mergeCell ref="C28:L28"/>
    <mergeCell ref="K54:L54"/>
    <mergeCell ref="C59:K59"/>
    <mergeCell ref="D6:E6"/>
    <mergeCell ref="I13:L13"/>
    <mergeCell ref="A21:L21"/>
    <mergeCell ref="A54:B54"/>
    <mergeCell ref="D43:L43"/>
    <mergeCell ref="A7:B7"/>
    <mergeCell ref="A5:L5"/>
    <mergeCell ref="A32:L32"/>
    <mergeCell ref="C30:L30"/>
    <mergeCell ref="I15:L15"/>
    <mergeCell ref="G6:H6"/>
    <mergeCell ref="C8:K8"/>
    <mergeCell ref="A56:B56"/>
    <mergeCell ref="C24:L24"/>
    <mergeCell ref="C62:L62"/>
    <mergeCell ref="I11:L11"/>
    <mergeCell ref="C56:D56"/>
    <mergeCell ref="A53:L53"/>
    <mergeCell ref="A55:B55"/>
    <mergeCell ref="K58:L58"/>
    <mergeCell ref="A10:L10"/>
    <mergeCell ref="D51:L51"/>
    <mergeCell ref="A57:B57"/>
    <mergeCell ref="A63:L63"/>
    <mergeCell ref="C26:L26"/>
    <mergeCell ref="C29:L29"/>
    <mergeCell ref="D50:L50"/>
    <mergeCell ref="I16:L16"/>
    <mergeCell ref="C54:F54"/>
    <mergeCell ref="D44:L44"/>
    <mergeCell ref="A8:B8"/>
    <mergeCell ref="C25:L25"/>
    <mergeCell ref="A62:B62"/>
    <mergeCell ref="I18:L18"/>
    <mergeCell ref="C22:L22"/>
    <mergeCell ref="D46:L46"/>
    <mergeCell ref="I12:L12"/>
    <mergeCell ref="C57:D57"/>
    <mergeCell ref="A1:L1"/>
    <mergeCell ref="K57:L57"/>
    <mergeCell ref="D45:L45"/>
    <mergeCell ref="A58:B58"/>
  </mergeCells>
  <conditionalFormatting sqref="L7">
    <cfRule type="expression" priority="1" dxfId="0">
      <formula>LEN(L7)&gt;0</formula>
    </cfRule>
  </conditionalFormatting>
  <conditionalFormatting sqref="L8">
    <cfRule type="expression" priority="2" dxfId="0">
      <formula>LEN(L8)&gt;0</formula>
    </cfRule>
  </conditionalFormatting>
  <conditionalFormatting sqref="I12">
    <cfRule type="expression" priority="3" dxfId="0">
      <formula>LEN(I12)&gt;0</formula>
    </cfRule>
  </conditionalFormatting>
  <conditionalFormatting sqref="I13">
    <cfRule type="expression" priority="4" dxfId="0">
      <formula>LEN(I13)&gt;0</formula>
    </cfRule>
  </conditionalFormatting>
  <conditionalFormatting sqref="I14">
    <cfRule type="expression" priority="5" dxfId="0">
      <formula>LEN(I14)&gt;0</formula>
    </cfRule>
  </conditionalFormatting>
  <conditionalFormatting sqref="I15">
    <cfRule type="expression" priority="6" dxfId="0">
      <formula>LEN(I15)&gt;0</formula>
    </cfRule>
  </conditionalFormatting>
  <conditionalFormatting sqref="I16">
    <cfRule type="expression" priority="7" dxfId="0">
      <formula>LEN(I16)&gt;0</formula>
    </cfRule>
  </conditionalFormatting>
  <conditionalFormatting sqref="I17">
    <cfRule type="expression" priority="8" dxfId="0">
      <formula>LEN(I17)&gt;0</formula>
    </cfRule>
  </conditionalFormatting>
  <conditionalFormatting sqref="I18">
    <cfRule type="expression" priority="9" dxfId="0">
      <formula>LEN(I18)&gt;0</formula>
    </cfRule>
  </conditionalFormatting>
  <conditionalFormatting sqref="I19">
    <cfRule type="expression" priority="10" dxfId="0">
      <formula>LEN(I19)&gt;0</formula>
    </cfRule>
  </conditionalFormatting>
  <conditionalFormatting sqref="L56">
    <cfRule type="expression" priority="11" dxfId="0">
      <formula>LEN(L56)&gt;0</formula>
    </cfRule>
  </conditionalFormatting>
  <conditionalFormatting sqref="K54">
    <cfRule type="expression" priority="12" dxfId="0">
      <formula>LEN(K54)&gt;0</formula>
    </cfRule>
  </conditionalFormatting>
  <conditionalFormatting sqref="L55">
    <cfRule type="expression" priority="13" dxfId="0">
      <formula>LEN(L55)&gt;0</formula>
    </cfRule>
  </conditionalFormatting>
  <conditionalFormatting sqref="K57">
    <cfRule type="expression" priority="14" dxfId="0">
      <formula>LEN(K57)&gt;0</formula>
    </cfRule>
  </conditionalFormatting>
  <conditionalFormatting sqref="K58">
    <cfRule type="expression" priority="15" dxfId="0">
      <formula>LEN(K58)&gt;0</formula>
    </cfRule>
  </conditionalFormatting>
  <conditionalFormatting sqref="L59">
    <cfRule type="expression" priority="16" dxfId="0">
      <formula>LEN(L59)&gt;0</formula>
    </cfRule>
  </conditionalFormatting>
  <dataValidations count="51">
    <dataValidation sqref="C12" showDropDown="0" showInputMessage="0" showErrorMessage="1" allowBlank="1" errorTitle="Fora da lista" error="Tipo: escolha um valor da lista. A ficha pode não reconhecer outro valor." type="list" errorStyle="warning">
      <formula1>'Dados'!$W$6:$W$10</formula1>
    </dataValidation>
    <dataValidation sqref="D12" showDropDown="0" showInputMessage="0" showErrorMessage="1" allowBlank="1" errorTitle="Valor fora da faixa" error="Nível da Habilidade: use um número inteiro de 1 a 7." type="whole" errorStyle="warning" operator="between">
      <formula1>1</formula1>
      <formula2>7</formula2>
    </dataValidation>
    <dataValidation sqref="E12" showDropDown="0" showInputMessage="0" showErrorMessage="1" allowBlank="1" errorTitle="Fora da lista" error="Em área: escolha um valor da lista. A ficha pode não reconhecer outro valor." type="list" errorStyle="warning">
      <formula1>'Dados'!$AG$6:$AG$7</formula1>
    </dataValidation>
    <dataValidation sqref="F12" showDropDown="0" showInputMessage="0" showErrorMessage="1" allowBlank="1" errorTitle="Fora da lista" error="Resolução: escolha um valor da lista. A ficha pode não reconhecer outro valor." type="list" errorStyle="warning">
      <formula1>'Dados'!$AK$6:$AK$7</formula1>
    </dataValidation>
    <dataValidation sqref="G12" showDropDown="0" showInputMessage="0" showErrorMessage="1" allowBlank="1" errorTitle="Fora da lista" error="Alcance: escolha um valor da lista. A ficha pode não reconhecer outro valor." type="list" errorStyle="warning">
      <formula1>'Dados'!$X$6:$X$10</formula1>
    </dataValidation>
    <dataValidation sqref="H12" showDropDown="0" showInputMessage="0" showErrorMessage="1" allowBlank="1" errorTitle="Fora da lista" error="Ressonância III: escolha um valor da lista. A ficha pode não reconhecer outro valor." type="list" errorStyle="warning">
      <formula1>'Dados'!$AG$6:$AG$7</formula1>
    </dataValidation>
    <dataValidation sqref="C13" showDropDown="0" showInputMessage="0" showErrorMessage="1" allowBlank="1" errorTitle="Fora da lista" error="Tipo: escolha um valor da lista. A ficha pode não reconhecer outro valor." type="list" errorStyle="warning">
      <formula1>'Dados'!$W$6:$W$10</formula1>
    </dataValidation>
    <dataValidation sqref="D13" showDropDown="0" showInputMessage="0" showErrorMessage="1" allowBlank="1" errorTitle="Valor fora da faixa" error="Nível da Habilidade: use um número inteiro de 1 a 7." type="whole" errorStyle="warning" operator="between">
      <formula1>1</formula1>
      <formula2>7</formula2>
    </dataValidation>
    <dataValidation sqref="E13" showDropDown="0" showInputMessage="0" showErrorMessage="1" allowBlank="1" errorTitle="Fora da lista" error="Em área: escolha um valor da lista. A ficha pode não reconhecer outro valor." type="list" errorStyle="warning">
      <formula1>'Dados'!$AG$6:$AG$7</formula1>
    </dataValidation>
    <dataValidation sqref="F13" showDropDown="0" showInputMessage="0" showErrorMessage="1" allowBlank="1" errorTitle="Fora da lista" error="Resolução: escolha um valor da lista. A ficha pode não reconhecer outro valor." type="list" errorStyle="warning">
      <formula1>'Dados'!$AK$6:$AK$7</formula1>
    </dataValidation>
    <dataValidation sqref="G13" showDropDown="0" showInputMessage="0" showErrorMessage="1" allowBlank="1" errorTitle="Fora da lista" error="Alcance: escolha um valor da lista. A ficha pode não reconhecer outro valor." type="list" errorStyle="warning">
      <formula1>'Dados'!$X$6:$X$10</formula1>
    </dataValidation>
    <dataValidation sqref="H13" showDropDown="0" showInputMessage="0" showErrorMessage="1" allowBlank="1" errorTitle="Fora da lista" error="Ressonância III: escolha um valor da lista. A ficha pode não reconhecer outro valor." type="list" errorStyle="warning">
      <formula1>'Dados'!$AG$6:$AG$7</formula1>
    </dataValidation>
    <dataValidation sqref="C14" showDropDown="0" showInputMessage="0" showErrorMessage="1" allowBlank="1" errorTitle="Fora da lista" error="Tipo: escolha um valor da lista. A ficha pode não reconhecer outro valor." type="list" errorStyle="warning">
      <formula1>'Dados'!$W$6:$W$10</formula1>
    </dataValidation>
    <dataValidation sqref="D14" showDropDown="0" showInputMessage="0" showErrorMessage="1" allowBlank="1" errorTitle="Valor fora da faixa" error="Nível da Habilidade: use um número inteiro de 1 a 7." type="whole" errorStyle="warning" operator="between">
      <formula1>1</formula1>
      <formula2>7</formula2>
    </dataValidation>
    <dataValidation sqref="E14" showDropDown="0" showInputMessage="0" showErrorMessage="1" allowBlank="1" errorTitle="Fora da lista" error="Em área: escolha um valor da lista. A ficha pode não reconhecer outro valor." type="list" errorStyle="warning">
      <formula1>'Dados'!$AG$6:$AG$7</formula1>
    </dataValidation>
    <dataValidation sqref="F14" showDropDown="0" showInputMessage="0" showErrorMessage="1" allowBlank="1" errorTitle="Fora da lista" error="Resolução: escolha um valor da lista. A ficha pode não reconhecer outro valor." type="list" errorStyle="warning">
      <formula1>'Dados'!$AK$6:$AK$7</formula1>
    </dataValidation>
    <dataValidation sqref="G14" showDropDown="0" showInputMessage="0" showErrorMessage="1" allowBlank="1" errorTitle="Fora da lista" error="Alcance: escolha um valor da lista. A ficha pode não reconhecer outro valor." type="list" errorStyle="warning">
      <formula1>'Dados'!$X$6:$X$10</formula1>
    </dataValidation>
    <dataValidation sqref="H14" showDropDown="0" showInputMessage="0" showErrorMessage="1" allowBlank="1" errorTitle="Fora da lista" error="Ressonância III: escolha um valor da lista. A ficha pode não reconhecer outro valor." type="list" errorStyle="warning">
      <formula1>'Dados'!$AG$6:$AG$7</formula1>
    </dataValidation>
    <dataValidation sqref="C15" showDropDown="0" showInputMessage="0" showErrorMessage="1" allowBlank="1" errorTitle="Fora da lista" error="Tipo: escolha um valor da lista. A ficha pode não reconhecer outro valor." type="list" errorStyle="warning">
      <formula1>'Dados'!$W$6:$W$10</formula1>
    </dataValidation>
    <dataValidation sqref="D15" showDropDown="0" showInputMessage="0" showErrorMessage="1" allowBlank="1" errorTitle="Valor fora da faixa" error="Nível da Habilidade: use um número inteiro de 1 a 7." type="whole" errorStyle="warning" operator="between">
      <formula1>1</formula1>
      <formula2>7</formula2>
    </dataValidation>
    <dataValidation sqref="E15" showDropDown="0" showInputMessage="0" showErrorMessage="1" allowBlank="1" errorTitle="Fora da lista" error="Em área: escolha um valor da lista. A ficha pode não reconhecer outro valor." type="list" errorStyle="warning">
      <formula1>'Dados'!$AG$6:$AG$7</formula1>
    </dataValidation>
    <dataValidation sqref="F15" showDropDown="0" showInputMessage="0" showErrorMessage="1" allowBlank="1" errorTitle="Fora da lista" error="Resolução: escolha um valor da lista. A ficha pode não reconhecer outro valor." type="list" errorStyle="warning">
      <formula1>'Dados'!$AK$6:$AK$7</formula1>
    </dataValidation>
    <dataValidation sqref="G15" showDropDown="0" showInputMessage="0" showErrorMessage="1" allowBlank="1" errorTitle="Fora da lista" error="Alcance: escolha um valor da lista. A ficha pode não reconhecer outro valor." type="list" errorStyle="warning">
      <formula1>'Dados'!$X$6:$X$10</formula1>
    </dataValidation>
    <dataValidation sqref="H15" showDropDown="0" showInputMessage="0" showErrorMessage="1" allowBlank="1" errorTitle="Fora da lista" error="Ressonância III: escolha um valor da lista. A ficha pode não reconhecer outro valor." type="list" errorStyle="warning">
      <formula1>'Dados'!$AG$6:$AG$7</formula1>
    </dataValidation>
    <dataValidation sqref="C16" showDropDown="0" showInputMessage="0" showErrorMessage="1" allowBlank="1" errorTitle="Fora da lista" error="Tipo: escolha um valor da lista. A ficha pode não reconhecer outro valor." type="list" errorStyle="warning">
      <formula1>'Dados'!$W$6:$W$10</formula1>
    </dataValidation>
    <dataValidation sqref="D16" showDropDown="0" showInputMessage="0" showErrorMessage="1" allowBlank="1" errorTitle="Valor fora da faixa" error="Nível da Habilidade: use um número inteiro de 1 a 7." type="whole" errorStyle="warning" operator="between">
      <formula1>1</formula1>
      <formula2>7</formula2>
    </dataValidation>
    <dataValidation sqref="E16" showDropDown="0" showInputMessage="0" showErrorMessage="1" allowBlank="1" errorTitle="Fora da lista" error="Em área: escolha um valor da lista. A ficha pode não reconhecer outro valor." type="list" errorStyle="warning">
      <formula1>'Dados'!$AG$6:$AG$7</formula1>
    </dataValidation>
    <dataValidation sqref="F16" showDropDown="0" showInputMessage="0" showErrorMessage="1" allowBlank="1" errorTitle="Fora da lista" error="Resolução: escolha um valor da lista. A ficha pode não reconhecer outro valor." type="list" errorStyle="warning">
      <formula1>'Dados'!$AK$6:$AK$7</formula1>
    </dataValidation>
    <dataValidation sqref="G16" showDropDown="0" showInputMessage="0" showErrorMessage="1" allowBlank="1" errorTitle="Fora da lista" error="Alcance: escolha um valor da lista. A ficha pode não reconhecer outro valor." type="list" errorStyle="warning">
      <formula1>'Dados'!$X$6:$X$10</formula1>
    </dataValidation>
    <dataValidation sqref="H16" showDropDown="0" showInputMessage="0" showErrorMessage="1" allowBlank="1" errorTitle="Fora da lista" error="Ressonância III: escolha um valor da lista. A ficha pode não reconhecer outro valor." type="list" errorStyle="warning">
      <formula1>'Dados'!$AG$6:$AG$7</formula1>
    </dataValidation>
    <dataValidation sqref="C17" showDropDown="0" showInputMessage="0" showErrorMessage="1" allowBlank="1" errorTitle="Fora da lista" error="Tipo: escolha um valor da lista. A ficha pode não reconhecer outro valor." type="list" errorStyle="warning">
      <formula1>'Dados'!$W$6:$W$10</formula1>
    </dataValidation>
    <dataValidation sqref="D17" showDropDown="0" showInputMessage="0" showErrorMessage="1" allowBlank="1" errorTitle="Valor fora da faixa" error="Nível da Habilidade: use um número inteiro de 1 a 7." type="whole" errorStyle="warning" operator="between">
      <formula1>1</formula1>
      <formula2>7</formula2>
    </dataValidation>
    <dataValidation sqref="E17" showDropDown="0" showInputMessage="0" showErrorMessage="1" allowBlank="1" errorTitle="Fora da lista" error="Em área: escolha um valor da lista. A ficha pode não reconhecer outro valor." type="list" errorStyle="warning">
      <formula1>'Dados'!$AG$6:$AG$7</formula1>
    </dataValidation>
    <dataValidation sqref="F17" showDropDown="0" showInputMessage="0" showErrorMessage="1" allowBlank="1" errorTitle="Fora da lista" error="Resolução: escolha um valor da lista. A ficha pode não reconhecer outro valor." type="list" errorStyle="warning">
      <formula1>'Dados'!$AK$6:$AK$7</formula1>
    </dataValidation>
    <dataValidation sqref="G17" showDropDown="0" showInputMessage="0" showErrorMessage="1" allowBlank="1" errorTitle="Fora da lista" error="Alcance: escolha um valor da lista. A ficha pode não reconhecer outro valor." type="list" errorStyle="warning">
      <formula1>'Dados'!$X$6:$X$10</formula1>
    </dataValidation>
    <dataValidation sqref="H17" showDropDown="0" showInputMessage="0" showErrorMessage="1" allowBlank="1" errorTitle="Fora da lista" error="Ressonância III: escolha um valor da lista. A ficha pode não reconhecer outro valor." type="list" errorStyle="warning">
      <formula1>'Dados'!$AG$6:$AG$7</formula1>
    </dataValidation>
    <dataValidation sqref="C18" showDropDown="0" showInputMessage="0" showErrorMessage="1" allowBlank="1" errorTitle="Fora da lista" error="Tipo: escolha um valor da lista. A ficha pode não reconhecer outro valor." type="list" errorStyle="warning">
      <formula1>'Dados'!$W$6:$W$10</formula1>
    </dataValidation>
    <dataValidation sqref="D18" showDropDown="0" showInputMessage="0" showErrorMessage="1" allowBlank="1" errorTitle="Valor fora da faixa" error="Nível da Habilidade: use um número inteiro de 1 a 7." type="whole" errorStyle="warning" operator="between">
      <formula1>1</formula1>
      <formula2>7</formula2>
    </dataValidation>
    <dataValidation sqref="E18" showDropDown="0" showInputMessage="0" showErrorMessage="1" allowBlank="1" errorTitle="Fora da lista" error="Em área: escolha um valor da lista. A ficha pode não reconhecer outro valor." type="list" errorStyle="warning">
      <formula1>'Dados'!$AG$6:$AG$7</formula1>
    </dataValidation>
    <dataValidation sqref="F18" showDropDown="0" showInputMessage="0" showErrorMessage="1" allowBlank="1" errorTitle="Fora da lista" error="Resolução: escolha um valor da lista. A ficha pode não reconhecer outro valor." type="list" errorStyle="warning">
      <formula1>'Dados'!$AK$6:$AK$7</formula1>
    </dataValidation>
    <dataValidation sqref="G18" showDropDown="0" showInputMessage="0" showErrorMessage="1" allowBlank="1" errorTitle="Fora da lista" error="Alcance: escolha um valor da lista. A ficha pode não reconhecer outro valor." type="list" errorStyle="warning">
      <formula1>'Dados'!$X$6:$X$10</formula1>
    </dataValidation>
    <dataValidation sqref="H18" showDropDown="0" showInputMessage="0" showErrorMessage="1" allowBlank="1" errorTitle="Fora da lista" error="Ressonância III: escolha um valor da lista. A ficha pode não reconhecer outro valor." type="list" errorStyle="warning">
      <formula1>'Dados'!$AG$6:$AG$7</formula1>
    </dataValidation>
    <dataValidation sqref="C19" showDropDown="0" showInputMessage="0" showErrorMessage="1" allowBlank="1" errorTitle="Fora da lista" error="Tipo: escolha um valor da lista. A ficha pode não reconhecer outro valor." type="list" errorStyle="warning">
      <formula1>'Dados'!$W$6:$W$10</formula1>
    </dataValidation>
    <dataValidation sqref="D19" showDropDown="0" showInputMessage="0" showErrorMessage="1" allowBlank="1" errorTitle="Valor fora da faixa" error="Nível da Habilidade: use um número inteiro de 1 a 7." type="whole" errorStyle="warning" operator="between">
      <formula1>1</formula1>
      <formula2>7</formula2>
    </dataValidation>
    <dataValidation sqref="E19" showDropDown="0" showInputMessage="0" showErrorMessage="1" allowBlank="1" errorTitle="Fora da lista" error="Em área: escolha um valor da lista. A ficha pode não reconhecer outro valor." type="list" errorStyle="warning">
      <formula1>'Dados'!$AG$6:$AG$7</formula1>
    </dataValidation>
    <dataValidation sqref="F19" showDropDown="0" showInputMessage="0" showErrorMessage="1" allowBlank="1" errorTitle="Fora da lista" error="Resolução: escolha um valor da lista. A ficha pode não reconhecer outro valor." type="list" errorStyle="warning">
      <formula1>'Dados'!$AK$6:$AK$7</formula1>
    </dataValidation>
    <dataValidation sqref="G19" showDropDown="0" showInputMessage="0" showErrorMessage="1" allowBlank="1" errorTitle="Fora da lista" error="Alcance: escolha um valor da lista. A ficha pode não reconhecer outro valor." type="list" errorStyle="warning">
      <formula1>'Dados'!$X$6:$X$10</formula1>
    </dataValidation>
    <dataValidation sqref="H19" showDropDown="0" showInputMessage="0" showErrorMessage="1" allowBlank="1" errorTitle="Fora da lista" error="Ressonância III: escolha um valor da lista. A ficha pode não reconhecer outro valor." type="list" errorStyle="warning">
      <formula1>'Dados'!$AG$6:$AG$7</formula1>
    </dataValidation>
    <dataValidation sqref="C56" showDropDown="0" showInputMessage="0" showErrorMessage="1" allowBlank="1" errorTitle="Fora da lista" error="Ultimate: Tipo: escolha um valor da lista. A ficha pode não reconhecer outro valor." type="list" errorStyle="warning">
      <formula1>"Dano,Cura,Buff,Debuff,Controle"</formula1>
    </dataValidation>
    <dataValidation sqref="C57" showDropDown="0" showInputMessage="0" showErrorMessage="1" allowBlank="1" errorTitle="Fora da lista" error="Ultimate: Em área?: escolha um valor da lista. A ficha pode não reconhecer outro valor." type="list" errorStyle="warning">
      <formula1>'Dados'!$AG$6:$AG$7</formula1>
    </dataValidation>
    <dataValidation sqref="C58" showDropDown="0" showInputMessage="0" showErrorMessage="1" allowBlank="1" errorTitle="Fora da lista" error="Ultimate: Resolução: escolha um valor da lista. A ficha pode não reconhecer outro valor." type="list" errorStyle="warning">
      <formula1>'Dados'!$AK$6:$AK$7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96"/>
  <sheetViews>
    <sheetView showGridLines="1" workbookViewId="0">
      <selection activeCell="A1" sqref="A1"/>
    </sheetView>
  </sheetViews>
  <sheetFormatPr baseColWidth="8" defaultRowHeight="15"/>
  <cols>
    <col width="24" customWidth="1" min="1" max="1"/>
    <col width="12" customWidth="1" min="2" max="2"/>
    <col width="29" customWidth="1" min="3" max="3"/>
    <col width="11.8" customWidth="1" min="4" max="4"/>
    <col width="10" customWidth="1" min="5" max="5"/>
    <col width="17" customWidth="1" min="6" max="6"/>
    <col width="26.7" customWidth="1" min="7" max="7"/>
    <col width="13.6" customWidth="1" min="8" max="8"/>
    <col width="14" customWidth="1" min="9" max="9"/>
    <col width="1" customWidth="1" min="10" max="10"/>
    <col width="4.3" customWidth="1" min="11" max="11"/>
    <col width="22.643" customWidth="1" min="12" max="12"/>
    <col hidden="1" width="2" customWidth="1" min="13" max="13"/>
    <col hidden="1" width="9.4" customWidth="1" min="14" max="14"/>
    <col hidden="1" width="13" customWidth="1" min="16" max="16"/>
    <col hidden="1" width="13" customWidth="1" min="17" max="17"/>
    <col hidden="1" width="13" customWidth="1" min="18" max="18"/>
    <col hidden="1" width="13" customWidth="1" min="19" max="19"/>
    <col hidden="1" width="13" customWidth="1" min="20" max="20"/>
  </cols>
  <sheetData>
    <row r="1" ht="24" customHeight="1">
      <c r="A1" s="1" t="inlineStr">
        <is>
          <t>Caminho — Explorando Galáxias v1.2</t>
        </is>
      </c>
    </row>
    <row r="2" ht="37" customHeight="1">
      <c r="A2" s="2" t="inlineStr">
        <is>
          <t>Legenda:</t>
        </is>
      </c>
      <c r="B2" s="3" t="inlineStr">
        <is>
          <t>Entrada (preencha)</t>
        </is>
      </c>
      <c r="C2" s="4" t="inlineStr">
        <is>
          <t>Calculada (automático)</t>
        </is>
      </c>
      <c r="D2" s="5" t="inlineStr">
        <is>
          <t>Aviso (texto em vermelho)</t>
        </is>
      </c>
      <c r="F2" s="6" t="inlineStr">
        <is>
          <t>Título de bloco</t>
        </is>
      </c>
      <c r="G2" s="7" t="inlineStr">
        <is>
          <t>Cabeçalho de coluna</t>
        </is>
      </c>
      <c r="H2" s="8" t="inlineStr">
        <is>
          <t>Rótulo da linha</t>
        </is>
      </c>
      <c r="I2" s="9" t="inlineStr">
        <is>
          <t>Linha alternada (outro tom)</t>
        </is>
      </c>
      <c r="J2" s="10" t="inlineStr">
        <is>
          <t>Não se aplica</t>
        </is>
      </c>
    </row>
    <row r="3">
      <c r="A3" s="11" t="inlineStr">
        <is>
          <t>O seu Caminho, as Bênçãos adquiridas e o Memoespírito.</t>
        </is>
      </c>
    </row>
    <row r="4"/>
    <row r="5">
      <c r="A5" s="14" t="inlineStr">
        <is>
          <t>Ficha do Caminho (escolha o Caminho na aba Criação, Passo 3)</t>
        </is>
      </c>
    </row>
    <row r="6">
      <c r="A6" s="8" t="inlineStr">
        <is>
          <t>Caminho</t>
        </is>
      </c>
      <c r="B6" s="17">
        <f>IF('Criação'!$Q$33="","Escolha na aba Criação",'Criação'!$Q$33)</f>
        <v/>
      </c>
      <c r="D6" s="12" t="inlineStr">
        <is>
          <t>Aeon</t>
        </is>
      </c>
      <c r="E6" s="22">
        <f>'Criação'!$B$34</f>
        <v/>
      </c>
      <c r="G6" s="12" t="inlineStr">
        <is>
          <t>Atributo de Habilidade usado</t>
        </is>
      </c>
      <c r="H6" s="17">
        <f>'Criação'!$D$54</f>
        <v/>
      </c>
    </row>
    <row r="7">
      <c r="A7" s="8" t="inlineStr">
        <is>
          <t>A ideia</t>
        </is>
      </c>
      <c r="B7" s="22">
        <f>'Criação'!$B$35</f>
        <v/>
      </c>
    </row>
    <row r="8">
      <c r="A8" s="8" t="inlineStr">
        <is>
          <t>N (PV)</t>
        </is>
      </c>
      <c r="B8" s="17">
        <f>'Criação'!$B$36</f>
        <v/>
      </c>
      <c r="C8" s="12" t="inlineStr">
        <is>
          <t>Bônus de Velocidade</t>
        </is>
      </c>
      <c r="D8" s="17">
        <f>'Criação'!$B$37</f>
        <v/>
      </c>
      <c r="E8" s="12" t="inlineStr">
        <is>
          <t>Perícias do Caminho</t>
        </is>
      </c>
      <c r="G8" s="22">
        <f>'Criação'!$B$38&amp;IF('Criação'!$Q$33="",""," · ")&amp;'Criação'!$D$38&amp;IF('Criação'!$Q$33="",""," · ")&amp;'Criação'!$F$38</f>
        <v/>
      </c>
    </row>
    <row r="9">
      <c r="A9" s="8" t="inlineStr">
        <is>
          <t>Recurso próprio</t>
        </is>
      </c>
      <c r="B9" s="22">
        <f>'Criação'!$B$40</f>
        <v/>
      </c>
    </row>
    <row r="10"/>
    <row r="11">
      <c r="A11" s="14" t="inlineStr">
        <is>
          <t>Recurso próprio do Caminho (capítulos 07 a 15)</t>
        </is>
      </c>
    </row>
    <row r="12">
      <c r="A12" s="22">
        <f>IF('Criação'!$Q$33="A Preservação","Teto de Barreira (15.2) = 3 × Eficiência = "&amp;3*'Criação'!$C$14,IF('Criação'!$Q$33="A Caça","Marcação de Presa (14.2): Ação Complementar, 1 inimigo por vez, +1 dado base contra ele.",IF('Criação'!$Q$33="A Euforia","Tabela do Riso (13.2): role 1d6 quando uma Bênção mandar.",IF('Criação'!$Q$33="A Erudição","Acúmulos de Cálculo (12.2): máximo "&amp;IF((COUNTIF($I$27:$I$36,"Teto Rompido")&gt;0),7,5)&amp;" por combate",IF('Criação'!$Q$33="A Recordação","Memoespírito (11.3 a 11.5): monte a ficha dele no bloco abaixo.",IF('Criação'!$Q$33="A Abundância","Nenhum recurso além dos acúmulos das Bênçãos (10.1): Florescimento (até 5).",IF('Criação'!$Q$33="A Harmonia","Nenhum recurso além dos acúmulos das Bênçãos (9.1): Eco da Vitória (até 3).",IF('Criação'!$Q$33="A Inexistência","Nenhum recurso além dos acúmulos das Bênçãos (8.1): Marca do Vazio (até 3) e Corrupção (até 5).",IF('Criação'!$Q$33="A Destruição","PV como moeda (7.2): ativação ou acúmulo de Bênção de custo = 2 × nível = "&amp;2*'Criação'!$A$14&amp;" PV","Escolha o Caminho na aba Criação (Passo 3).")))))))))</f>
        <v/>
      </c>
    </row>
    <row r="13">
      <c r="A13" s="22">
        <f>IF('Criação'!$Q$33="A Preservação","Barreira não acumula com outro PV temporário: fica o maior valor.",IF('Criação'!$Q$33="A Caça","A marca dura até o fim do combate e migra de graça quando o alvo é derrotado.",IF('Criação'!$Q$33="A Euforia","1: Piada interna — +1 dado base no seu próximo ataque neste Ciclo",IF('Criação'!$Q$33="A Erudição","Ganha 1 acúmulo por inimigo atingido por um mesmo ataque, Habilidade ou Ultimate sua.",IF('Criação'!$Q$33="A Recordação","Invocar: Ação Complementar + 1 PH. A Energia das ações dele vale metade para você.",IF('Criação'!$Q$33="A Abundância","Use a frequência e os acúmulos das Bênçãos adquiridas, nos slots abaixo.",IF('Criação'!$Q$33="A Harmonia","Use a frequência e os acúmulos das Bênçãos adquiridas, nos slots abaixo.",IF('Criação'!$Q$33="A Inexistência","Use a frequência e os acúmulos das Bênçãos adquiridas, nos slots abaixo.",IF('Criação'!$Q$33="A Destruição","Dado base comprado no Avatar = 5 × nível = "&amp;(5*'Criação'!$A$14)&amp;" PV","")))))))))</f>
        <v/>
      </c>
    </row>
    <row r="14">
      <c r="A14" s="22">
        <f>IF('Criação'!$Q$33="A Preservação","Cura não repõe Barreira. O dano passa pela RD antes da Barreira.",IF('Criação'!$Q$33="A Caça","Faixa de crítico: "&amp;IF((COUNTIF($I$27:$I$36,"Olho de Lan")&gt;0),"19-20 (Olho de Lan)","20"),IF('Criação'!$Q$33="A Euforia","2: Tropeço cósmico — o inimigo mais próximo é Atrasado em 1 casa (capítulo 19, respeita a Firmeza de Elite e Boss)",IF('Criação'!$Q$33="A Erudição","Gastar 1 acúmulo: +1 alvo para a ação em curso. Gastar 2: +1 dado base no dano.",IF('Criação'!$Q$33="A Destruição","Você escolhe pagar e não pode pagar se o custo for igual ou maior que os seus PV atuais.","")))))</f>
        <v/>
      </c>
    </row>
    <row r="15">
      <c r="A15" s="22">
        <f>IF('Criação'!$Q$33="A Euforia","3: Riso contagioso — um aliado a até Distância Média ganha +2 na próxima rolagem dele",IF('Criação'!$Q$33="A Erudição","Gastar não consome ação. Os acúmulos zeram no fim do combate.",IF('Criação'!$Q$33="A Destruição","PV gastos assim não são dano: não geram Energia, não passam por RD e contam para as Marcas.","")))</f>
        <v/>
      </c>
    </row>
    <row r="16">
      <c r="A16" s="22">
        <f>IF('Criação'!$Q$33="A Euforia","4: Troca de lugar — você e um aliado trocam de casa na Fila; nenhum dos dois pode já ter agido neste Ciclo","")</f>
        <v/>
      </c>
    </row>
    <row r="17">
      <c r="A17" s="22">
        <f>IF('Criação'!$Q$33="A Euforia","5: Sorte do tolo — você ganha Vantagem na sua próxima rolagem neste Ciclo","")</f>
        <v/>
      </c>
    </row>
    <row r="18">
      <c r="A18" s="22">
        <f>IF('Criação'!$Q$33="A Euforia","6: Aha! aprova — o grupo recupera 1 PH (uma vez por Ciclo)","")</f>
        <v/>
      </c>
    </row>
    <row r="19"/>
    <row r="20">
      <c r="A20" s="14" t="inlineStr">
        <is>
          <t>Bênçãos com número na ficha</t>
        </is>
      </c>
    </row>
    <row r="21" ht="30" customHeight="1">
      <c r="A21" s="7" t="inlineStr">
        <is>
          <t>Bênção</t>
        </is>
      </c>
      <c r="B21" s="15" t="n"/>
      <c r="C21" s="7" t="inlineStr">
        <is>
          <t>Custo em PV</t>
        </is>
      </c>
      <c r="D21" s="7" t="inlineStr">
        <is>
          <t>Bônus de dano</t>
        </is>
      </c>
      <c r="E21" s="7" t="inlineStr">
        <is>
          <t>Bônus ferido</t>
        </is>
      </c>
      <c r="F21" s="7" t="inlineStr">
        <is>
          <t>Ferido com PV até</t>
        </is>
      </c>
      <c r="G21" s="7" t="inlineStr">
        <is>
          <t>Como funciona</t>
        </is>
      </c>
      <c r="H21" s="15" t="n"/>
    </row>
    <row r="22" ht="37" customHeight="1">
      <c r="A22" s="8" t="inlineStr">
        <is>
          <t>Pacto da Ruína (7.3, nº 1)</t>
        </is>
      </c>
      <c r="C22" s="17">
        <f>IF((COUNTIF($I$27:$I$36,"Pacto da Ruína")&gt;0),2*'Criação'!$A$14,"")</f>
        <v/>
      </c>
      <c r="D22" s="17">
        <f>IF((COUNTIF($I$27:$I$36,"Pacto da Ruína")&gt;0),'Criação'!$C$14,"")</f>
        <v/>
      </c>
      <c r="E22" s="17">
        <f>IF((COUNTIF($I$27:$I$36,"Pacto da Ruína")&gt;0),2*'Criação'!$C$14,"")</f>
        <v/>
      </c>
      <c r="F22" s="17">
        <f>IF((COUNTIF($I$27:$I$36,"Pacto da Ruína")&gt;0),INT('Criação'!$D$95/2),"")</f>
        <v/>
      </c>
      <c r="G22" s="4">
        <f>IF((COUNTIF($I$27:$I$36,"Pacto da Ruína")&gt;0),"Uma vez por turno: pague o custo e some o bônus ao dano; dobra com metade dos PV ou menos","Só com a Bênção Pacto da Ruína")</f>
        <v/>
      </c>
    </row>
    <row r="23"/>
    <row r="24">
      <c r="A24" s="14" t="inlineStr">
        <is>
          <t>Bênçãos adquiridas — uma por nível ímpar (06.7); o Tier I cabe em qualquer slot</t>
        </is>
      </c>
    </row>
    <row r="25" ht="26" customHeight="1">
      <c r="A25" s="8" t="inlineStr">
        <is>
          <t>Possuídas / permitidas no nível</t>
        </is>
      </c>
      <c r="B25" s="17">
        <f>SUMPRODUCT((LEN($I$27:$I$36)&gt;0)*1)</f>
        <v/>
      </c>
      <c r="C25" s="22">
        <f>"de "&amp;'Criação'!$L$14&amp;" permitidas no nível "&amp;'Criação'!$A$14</f>
        <v/>
      </c>
    </row>
    <row r="26" ht="60" customHeight="1">
      <c r="A26" s="7" t="inlineStr">
        <is>
          <t>Slot</t>
        </is>
      </c>
      <c r="B26" s="7" t="inlineStr">
        <is>
          <t>Nível do slot</t>
        </is>
      </c>
      <c r="C26" s="7" t="inlineStr">
        <is>
          <t>Bênção (preencha)</t>
        </is>
      </c>
      <c r="D26" s="7" t="inlineStr">
        <is>
          <t>Tier</t>
        </is>
      </c>
      <c r="E26" s="7" t="inlineStr">
        <is>
          <t>Requisito (nível)</t>
        </is>
      </c>
      <c r="F26" s="7" t="inlineStr">
        <is>
          <t>Liberado?</t>
        </is>
      </c>
      <c r="G26" s="7" t="inlineStr">
        <is>
          <t>Em uma linha</t>
        </is>
      </c>
      <c r="H26" s="7" t="inlineStr">
        <is>
          <t>Frequência</t>
        </is>
      </c>
      <c r="I26" s="7" t="inlineStr">
        <is>
          <t>Conta na ficha</t>
        </is>
      </c>
      <c r="K26" s="7" t="inlineStr">
        <is>
          <t>Aviso</t>
        </is>
      </c>
      <c r="L26" s="15" t="n"/>
      <c r="N26" s="26" t="inlineStr">
        <is>
          <t>Lista auxiliar: Bênçãos do Caminho</t>
        </is>
      </c>
    </row>
    <row r="27" ht="48" customHeight="1">
      <c r="A27" s="16" t="inlineStr">
        <is>
          <t>Slot 1</t>
        </is>
      </c>
      <c r="B27" s="22" t="n">
        <v>1</v>
      </c>
      <c r="C27" s="23" t="n"/>
      <c r="D27" s="22">
        <f>IF($Q$27="","",IFERROR(INDEX('Dados'!$D$126:$D$233,MATCH($Q$27,'Dados'!$C$126:$C$233,0)),"—"))</f>
        <v/>
      </c>
      <c r="E27" s="22">
        <f>IF($Q$27="","",IFERROR(INDEX('Dados'!$E$126:$E$233,MATCH($Q$27,'Dados'!$C$126:$C$233,0)),""))</f>
        <v/>
      </c>
      <c r="F27" s="22">
        <f>IF('Criação'!$A$14&gt;=1,"Sim","Não (nível 1)")</f>
        <v/>
      </c>
      <c r="G27" s="4">
        <f>IF($Q$27="","",IFERROR(INDEX('Dados'!$F$126:$F$233,MATCH($Q$27,'Dados'!$C$126:$C$233,0)),"Fora do catálogo dos capítulos 07 a 15"))</f>
        <v/>
      </c>
      <c r="H27" s="4">
        <f>IF($Q$27="","",IFERROR(INDEX('Dados'!$G$126:$G$233,MATCH($Q$27,'Dados'!$C$126:$C$233,0)),""))</f>
        <v/>
      </c>
      <c r="I27" s="4">
        <f>IF(AND($Q$27&lt;&gt;"",'Criação'!$A$14&gt;=1),$Q$27,"")</f>
        <v/>
      </c>
      <c r="K27" s="13">
        <f>IF(T27&gt;0,"O Google leu como fórmula: escolha de novo na lista.",IF($Q$27="","",IF('Criação'!$A$14&lt;1,"Slot ainda não liberado (nível 1). ","")&amp;IF(ISERROR(MATCH($Q$27,'Dados'!$C$126:$C$233,0)),"Bênção fora do catálogo dos capítulos 07 a 15. ",IF(INDEX('Dados'!$A$126:$A$233,MATCH($Q$27,'Dados'!$C$126:$C$233,0))&lt;&gt;'Criação'!$Q$33,"Bênção de outro Caminho ("&amp;INDEX('Dados'!$A$126:$A$233,MATCH($Q$27,'Dados'!$C$126:$C$233,0))&amp;"). ",IF(INDEX('Dados'!$E$126:$E$233,MATCH($Q$27,'Dados'!$C$126:$C$233,0))&gt;1,"Tier "&amp;INDEX('Dados'!$D$126:$D$233,MATCH($Q$27,'Dados'!$C$126:$C$233,0))&amp;" exige slot de nível "&amp;INDEX('Dados'!$E$126:$E$233,MATCH($Q$27,'Dados'!$C$126:$C$233,0))&amp;" ou mais. ","")))&amp;IF(COUNTIF($Q$27:$Q$36,$Q$27)&gt;1,"Bênção repetida.","")))</f>
        <v/>
      </c>
      <c r="N27" s="25">
        <f>IF('Criação'!$Q$33="","",IFERROR(INDEX('Dados'!$C$126:$C$233,MATCH('Criação'!$Q$33,'Dados'!$A$126:$A$233,0)+0),""))</f>
        <v/>
      </c>
      <c r="Q27">
        <f>IF(ISERROR($C$27),"",IF(ISBLANK($C$27),"",$C$27))</f>
        <v/>
      </c>
      <c r="T27">
        <f>ISERROR($C$27)*1</f>
        <v/>
      </c>
    </row>
    <row r="28" ht="48" customHeight="1">
      <c r="A28" s="18" t="inlineStr">
        <is>
          <t>Slot 2</t>
        </is>
      </c>
      <c r="B28" s="21" t="n">
        <v>3</v>
      </c>
      <c r="C28" s="36" t="n"/>
      <c r="D28" s="21">
        <f>IF($Q$28="","",IFERROR(INDEX('Dados'!$D$126:$D$233,MATCH($Q$28,'Dados'!$C$126:$C$233,0)),"—"))</f>
        <v/>
      </c>
      <c r="E28" s="21">
        <f>IF($Q$28="","",IFERROR(INDEX('Dados'!$E$126:$E$233,MATCH($Q$28,'Dados'!$C$126:$C$233,0)),""))</f>
        <v/>
      </c>
      <c r="F28" s="21">
        <f>IF('Criação'!$A$14&gt;=3,"Sim","Não (nível 3)")</f>
        <v/>
      </c>
      <c r="G28" s="9">
        <f>IF($Q$28="","",IFERROR(INDEX('Dados'!$F$126:$F$233,MATCH($Q$28,'Dados'!$C$126:$C$233,0)),"Fora do catálogo dos capítulos 07 a 15"))</f>
        <v/>
      </c>
      <c r="H28" s="9">
        <f>IF($Q$28="","",IFERROR(INDEX('Dados'!$G$126:$G$233,MATCH($Q$28,'Dados'!$C$126:$C$233,0)),""))</f>
        <v/>
      </c>
      <c r="I28" s="9">
        <f>IF(AND($Q$28&lt;&gt;"",'Criação'!$A$14&gt;=3),$Q$28,"")</f>
        <v/>
      </c>
      <c r="J28" s="35" t="n"/>
      <c r="K28" s="20">
        <f>IF(T28&gt;0,"O Google leu como fórmula: escolha de novo na lista.",IF($Q$28="","",IF('Criação'!$A$14&lt;3,"Slot ainda não liberado (nível 3). ","")&amp;IF(ISERROR(MATCH($Q$28,'Dados'!$C$126:$C$233,0)),"Bênção fora do catálogo dos capítulos 07 a 15. ",IF(INDEX('Dados'!$A$126:$A$233,MATCH($Q$28,'Dados'!$C$126:$C$233,0))&lt;&gt;'Criação'!$Q$33,"Bênção de outro Caminho ("&amp;INDEX('Dados'!$A$126:$A$233,MATCH($Q$28,'Dados'!$C$126:$C$233,0))&amp;"). ",IF(INDEX('Dados'!$E$126:$E$233,MATCH($Q$28,'Dados'!$C$126:$C$233,0))&gt;3,"Tier "&amp;INDEX('Dados'!$D$126:$D$233,MATCH($Q$28,'Dados'!$C$126:$C$233,0))&amp;" exige slot de nível "&amp;INDEX('Dados'!$E$126:$E$233,MATCH($Q$28,'Dados'!$C$126:$C$233,0))&amp;" ou mais. ","")))&amp;IF(COUNTIF($Q$27:$Q$36,$Q$28)&gt;1,"Bênção repetida.","")))</f>
        <v/>
      </c>
      <c r="N28" s="25">
        <f>IF('Criação'!$Q$33="","",IFERROR(INDEX('Dados'!$C$126:$C$233,MATCH('Criação'!$Q$33,'Dados'!$A$126:$A$233,0)+1),""))</f>
        <v/>
      </c>
      <c r="Q28">
        <f>IF(ISERROR($C$28),"",IF(ISBLANK($C$28),"",$C$28))</f>
        <v/>
      </c>
      <c r="T28">
        <f>ISERROR($C$28)*1</f>
        <v/>
      </c>
    </row>
    <row r="29" ht="48" customHeight="1">
      <c r="A29" s="16" t="inlineStr">
        <is>
          <t>Slot 3</t>
        </is>
      </c>
      <c r="B29" s="22" t="n">
        <v>5</v>
      </c>
      <c r="C29" s="23" t="n"/>
      <c r="D29" s="22">
        <f>IF($Q$29="","",IFERROR(INDEX('Dados'!$D$126:$D$233,MATCH($Q$29,'Dados'!$C$126:$C$233,0)),"—"))</f>
        <v/>
      </c>
      <c r="E29" s="22">
        <f>IF($Q$29="","",IFERROR(INDEX('Dados'!$E$126:$E$233,MATCH($Q$29,'Dados'!$C$126:$C$233,0)),""))</f>
        <v/>
      </c>
      <c r="F29" s="22">
        <f>IF('Criação'!$A$14&gt;=5,"Sim","Não (nível 5)")</f>
        <v/>
      </c>
      <c r="G29" s="4">
        <f>IF($Q$29="","",IFERROR(INDEX('Dados'!$F$126:$F$233,MATCH($Q$29,'Dados'!$C$126:$C$233,0)),"Fora do catálogo dos capítulos 07 a 15"))</f>
        <v/>
      </c>
      <c r="H29" s="4">
        <f>IF($Q$29="","",IFERROR(INDEX('Dados'!$G$126:$G$233,MATCH($Q$29,'Dados'!$C$126:$C$233,0)),""))</f>
        <v/>
      </c>
      <c r="I29" s="4">
        <f>IF(AND($Q$29&lt;&gt;"",'Criação'!$A$14&gt;=5),$Q$29,"")</f>
        <v/>
      </c>
      <c r="K29" s="13">
        <f>IF(T29&gt;0,"O Google leu como fórmula: escolha de novo na lista.",IF($Q$29="","",IF('Criação'!$A$14&lt;5,"Slot ainda não liberado (nível 5). ","")&amp;IF(ISERROR(MATCH($Q$29,'Dados'!$C$126:$C$233,0)),"Bênção fora do catálogo dos capítulos 07 a 15. ",IF(INDEX('Dados'!$A$126:$A$233,MATCH($Q$29,'Dados'!$C$126:$C$233,0))&lt;&gt;'Criação'!$Q$33,"Bênção de outro Caminho ("&amp;INDEX('Dados'!$A$126:$A$233,MATCH($Q$29,'Dados'!$C$126:$C$233,0))&amp;"). ",IF(INDEX('Dados'!$E$126:$E$233,MATCH($Q$29,'Dados'!$C$126:$C$233,0))&gt;5,"Tier "&amp;INDEX('Dados'!$D$126:$D$233,MATCH($Q$29,'Dados'!$C$126:$C$233,0))&amp;" exige slot de nível "&amp;INDEX('Dados'!$E$126:$E$233,MATCH($Q$29,'Dados'!$C$126:$C$233,0))&amp;" ou mais. ","")))&amp;IF(COUNTIF($Q$27:$Q$36,$Q$29)&gt;1,"Bênção repetida.","")))</f>
        <v/>
      </c>
      <c r="N29" s="25">
        <f>IF('Criação'!$Q$33="","",IFERROR(INDEX('Dados'!$C$126:$C$233,MATCH('Criação'!$Q$33,'Dados'!$A$126:$A$233,0)+2),""))</f>
        <v/>
      </c>
      <c r="Q29">
        <f>IF(ISERROR($C$29),"",IF(ISBLANK($C$29),"",$C$29))</f>
        <v/>
      </c>
      <c r="T29">
        <f>ISERROR($C$29)*1</f>
        <v/>
      </c>
    </row>
    <row r="30" ht="48" customHeight="1">
      <c r="A30" s="18" t="inlineStr">
        <is>
          <t>Slot 4</t>
        </is>
      </c>
      <c r="B30" s="21" t="n">
        <v>7</v>
      </c>
      <c r="C30" s="36" t="n"/>
      <c r="D30" s="21">
        <f>IF($Q$30="","",IFERROR(INDEX('Dados'!$D$126:$D$233,MATCH($Q$30,'Dados'!$C$126:$C$233,0)),"—"))</f>
        <v/>
      </c>
      <c r="E30" s="21">
        <f>IF($Q$30="","",IFERROR(INDEX('Dados'!$E$126:$E$233,MATCH($Q$30,'Dados'!$C$126:$C$233,0)),""))</f>
        <v/>
      </c>
      <c r="F30" s="21">
        <f>IF('Criação'!$A$14&gt;=7,"Sim","Não (nível 7)")</f>
        <v/>
      </c>
      <c r="G30" s="9">
        <f>IF($Q$30="","",IFERROR(INDEX('Dados'!$F$126:$F$233,MATCH($Q$30,'Dados'!$C$126:$C$233,0)),"Fora do catálogo dos capítulos 07 a 15"))</f>
        <v/>
      </c>
      <c r="H30" s="9">
        <f>IF($Q$30="","",IFERROR(INDEX('Dados'!$G$126:$G$233,MATCH($Q$30,'Dados'!$C$126:$C$233,0)),""))</f>
        <v/>
      </c>
      <c r="I30" s="9">
        <f>IF(AND($Q$30&lt;&gt;"",'Criação'!$A$14&gt;=7),$Q$30,"")</f>
        <v/>
      </c>
      <c r="J30" s="35" t="n"/>
      <c r="K30" s="20">
        <f>IF(T30&gt;0,"O Google leu como fórmula: escolha de novo na lista.",IF($Q$30="","",IF('Criação'!$A$14&lt;7,"Slot ainda não liberado (nível 7). ","")&amp;IF(ISERROR(MATCH($Q$30,'Dados'!$C$126:$C$233,0)),"Bênção fora do catálogo dos capítulos 07 a 15. ",IF(INDEX('Dados'!$A$126:$A$233,MATCH($Q$30,'Dados'!$C$126:$C$233,0))&lt;&gt;'Criação'!$Q$33,"Bênção de outro Caminho ("&amp;INDEX('Dados'!$A$126:$A$233,MATCH($Q$30,'Dados'!$C$126:$C$233,0))&amp;"). ",IF(INDEX('Dados'!$E$126:$E$233,MATCH($Q$30,'Dados'!$C$126:$C$233,0))&gt;7,"Tier "&amp;INDEX('Dados'!$D$126:$D$233,MATCH($Q$30,'Dados'!$C$126:$C$233,0))&amp;" exige slot de nível "&amp;INDEX('Dados'!$E$126:$E$233,MATCH($Q$30,'Dados'!$C$126:$C$233,0))&amp;" ou mais. ","")))&amp;IF(COUNTIF($Q$27:$Q$36,$Q$30)&gt;1,"Bênção repetida.","")))</f>
        <v/>
      </c>
      <c r="N30" s="25">
        <f>IF('Criação'!$Q$33="","",IFERROR(INDEX('Dados'!$C$126:$C$233,MATCH('Criação'!$Q$33,'Dados'!$A$126:$A$233,0)+3),""))</f>
        <v/>
      </c>
      <c r="Q30">
        <f>IF(ISERROR($C$30),"",IF(ISBLANK($C$30),"",$C$30))</f>
        <v/>
      </c>
      <c r="T30">
        <f>ISERROR($C$30)*1</f>
        <v/>
      </c>
    </row>
    <row r="31" ht="48" customHeight="1">
      <c r="A31" s="16" t="inlineStr">
        <is>
          <t>Slot 5</t>
        </is>
      </c>
      <c r="B31" s="22" t="n">
        <v>9</v>
      </c>
      <c r="C31" s="23" t="n"/>
      <c r="D31" s="22">
        <f>IF($Q$31="","",IFERROR(INDEX('Dados'!$D$126:$D$233,MATCH($Q$31,'Dados'!$C$126:$C$233,0)),"—"))</f>
        <v/>
      </c>
      <c r="E31" s="22">
        <f>IF($Q$31="","",IFERROR(INDEX('Dados'!$E$126:$E$233,MATCH($Q$31,'Dados'!$C$126:$C$233,0)),""))</f>
        <v/>
      </c>
      <c r="F31" s="22">
        <f>IF('Criação'!$A$14&gt;=9,"Sim","Não (nível 9)")</f>
        <v/>
      </c>
      <c r="G31" s="4">
        <f>IF($Q$31="","",IFERROR(INDEX('Dados'!$F$126:$F$233,MATCH($Q$31,'Dados'!$C$126:$C$233,0)),"Fora do catálogo dos capítulos 07 a 15"))</f>
        <v/>
      </c>
      <c r="H31" s="4">
        <f>IF($Q$31="","",IFERROR(INDEX('Dados'!$G$126:$G$233,MATCH($Q$31,'Dados'!$C$126:$C$233,0)),""))</f>
        <v/>
      </c>
      <c r="I31" s="4">
        <f>IF(AND($Q$31&lt;&gt;"",'Criação'!$A$14&gt;=9),$Q$31,"")</f>
        <v/>
      </c>
      <c r="K31" s="13">
        <f>IF(T31&gt;0,"O Google leu como fórmula: escolha de novo na lista.",IF($Q$31="","",IF('Criação'!$A$14&lt;9,"Slot ainda não liberado (nível 9). ","")&amp;IF(ISERROR(MATCH($Q$31,'Dados'!$C$126:$C$233,0)),"Bênção fora do catálogo dos capítulos 07 a 15. ",IF(INDEX('Dados'!$A$126:$A$233,MATCH($Q$31,'Dados'!$C$126:$C$233,0))&lt;&gt;'Criação'!$Q$33,"Bênção de outro Caminho ("&amp;INDEX('Dados'!$A$126:$A$233,MATCH($Q$31,'Dados'!$C$126:$C$233,0))&amp;"). ",IF(INDEX('Dados'!$E$126:$E$233,MATCH($Q$31,'Dados'!$C$126:$C$233,0))&gt;9,"Tier "&amp;INDEX('Dados'!$D$126:$D$233,MATCH($Q$31,'Dados'!$C$126:$C$233,0))&amp;" exige slot de nível "&amp;INDEX('Dados'!$E$126:$E$233,MATCH($Q$31,'Dados'!$C$126:$C$233,0))&amp;" ou mais. ","")))&amp;IF(COUNTIF($Q$27:$Q$36,$Q$31)&gt;1,"Bênção repetida.","")))</f>
        <v/>
      </c>
      <c r="N31" s="25">
        <f>IF('Criação'!$Q$33="","",IFERROR(INDEX('Dados'!$C$126:$C$233,MATCH('Criação'!$Q$33,'Dados'!$A$126:$A$233,0)+4),""))</f>
        <v/>
      </c>
      <c r="Q31">
        <f>IF(ISERROR($C$31),"",IF(ISBLANK($C$31),"",$C$31))</f>
        <v/>
      </c>
      <c r="T31">
        <f>ISERROR($C$31)*1</f>
        <v/>
      </c>
    </row>
    <row r="32" ht="48" customHeight="1">
      <c r="A32" s="18" t="inlineStr">
        <is>
          <t>Slot 6</t>
        </is>
      </c>
      <c r="B32" s="21" t="n">
        <v>11</v>
      </c>
      <c r="C32" s="36" t="n"/>
      <c r="D32" s="21">
        <f>IF($Q$32="","",IFERROR(INDEX('Dados'!$D$126:$D$233,MATCH($Q$32,'Dados'!$C$126:$C$233,0)),"—"))</f>
        <v/>
      </c>
      <c r="E32" s="21">
        <f>IF($Q$32="","",IFERROR(INDEX('Dados'!$E$126:$E$233,MATCH($Q$32,'Dados'!$C$126:$C$233,0)),""))</f>
        <v/>
      </c>
      <c r="F32" s="21">
        <f>IF('Criação'!$A$14&gt;=11,"Sim","Não (nível 11)")</f>
        <v/>
      </c>
      <c r="G32" s="9">
        <f>IF($Q$32="","",IFERROR(INDEX('Dados'!$F$126:$F$233,MATCH($Q$32,'Dados'!$C$126:$C$233,0)),"Fora do catálogo dos capítulos 07 a 15"))</f>
        <v/>
      </c>
      <c r="H32" s="9">
        <f>IF($Q$32="","",IFERROR(INDEX('Dados'!$G$126:$G$233,MATCH($Q$32,'Dados'!$C$126:$C$233,0)),""))</f>
        <v/>
      </c>
      <c r="I32" s="9">
        <f>IF(AND($Q$32&lt;&gt;"",'Criação'!$A$14&gt;=11),$Q$32,"")</f>
        <v/>
      </c>
      <c r="J32" s="35" t="n"/>
      <c r="K32" s="20">
        <f>IF(T32&gt;0,"O Google leu como fórmula: escolha de novo na lista.",IF($Q$32="","",IF('Criação'!$A$14&lt;11,"Slot ainda não liberado (nível 11). ","")&amp;IF(ISERROR(MATCH($Q$32,'Dados'!$C$126:$C$233,0)),"Bênção fora do catálogo dos capítulos 07 a 15. ",IF(INDEX('Dados'!$A$126:$A$233,MATCH($Q$32,'Dados'!$C$126:$C$233,0))&lt;&gt;'Criação'!$Q$33,"Bênção de outro Caminho ("&amp;INDEX('Dados'!$A$126:$A$233,MATCH($Q$32,'Dados'!$C$126:$C$233,0))&amp;"). ",IF(INDEX('Dados'!$E$126:$E$233,MATCH($Q$32,'Dados'!$C$126:$C$233,0))&gt;11,"Tier "&amp;INDEX('Dados'!$D$126:$D$233,MATCH($Q$32,'Dados'!$C$126:$C$233,0))&amp;" exige slot de nível "&amp;INDEX('Dados'!$E$126:$E$233,MATCH($Q$32,'Dados'!$C$126:$C$233,0))&amp;" ou mais. ","")))&amp;IF(COUNTIF($Q$27:$Q$36,$Q$32)&gt;1,"Bênção repetida.","")))</f>
        <v/>
      </c>
      <c r="N32" s="25">
        <f>IF('Criação'!$Q$33="","",IFERROR(INDEX('Dados'!$C$126:$C$233,MATCH('Criação'!$Q$33,'Dados'!$A$126:$A$233,0)+5),""))</f>
        <v/>
      </c>
      <c r="Q32">
        <f>IF(ISERROR($C$32),"",IF(ISBLANK($C$32),"",$C$32))</f>
        <v/>
      </c>
      <c r="T32">
        <f>ISERROR($C$32)*1</f>
        <v/>
      </c>
    </row>
    <row r="33" ht="48" customHeight="1">
      <c r="A33" s="16" t="inlineStr">
        <is>
          <t>Slot 7</t>
        </is>
      </c>
      <c r="B33" s="22" t="n">
        <v>13</v>
      </c>
      <c r="C33" s="23" t="n"/>
      <c r="D33" s="22">
        <f>IF($Q$33="","",IFERROR(INDEX('Dados'!$D$126:$D$233,MATCH($Q$33,'Dados'!$C$126:$C$233,0)),"—"))</f>
        <v/>
      </c>
      <c r="E33" s="22">
        <f>IF($Q$33="","",IFERROR(INDEX('Dados'!$E$126:$E$233,MATCH($Q$33,'Dados'!$C$126:$C$233,0)),""))</f>
        <v/>
      </c>
      <c r="F33" s="22">
        <f>IF('Criação'!$A$14&gt;=13,"Sim","Não (nível 13)")</f>
        <v/>
      </c>
      <c r="G33" s="4">
        <f>IF($Q$33="","",IFERROR(INDEX('Dados'!$F$126:$F$233,MATCH($Q$33,'Dados'!$C$126:$C$233,0)),"Fora do catálogo dos capítulos 07 a 15"))</f>
        <v/>
      </c>
      <c r="H33" s="4">
        <f>IF($Q$33="","",IFERROR(INDEX('Dados'!$G$126:$G$233,MATCH($Q$33,'Dados'!$C$126:$C$233,0)),""))</f>
        <v/>
      </c>
      <c r="I33" s="4">
        <f>IF(AND($Q$33&lt;&gt;"",'Criação'!$A$14&gt;=13),$Q$33,"")</f>
        <v/>
      </c>
      <c r="K33" s="13">
        <f>IF(T33&gt;0,"O Google leu como fórmula: escolha de novo na lista.",IF($Q$33="","",IF('Criação'!$A$14&lt;13,"Slot ainda não liberado (nível 13). ","")&amp;IF(ISERROR(MATCH($Q$33,'Dados'!$C$126:$C$233,0)),"Bênção fora do catálogo dos capítulos 07 a 15. ",IF(INDEX('Dados'!$A$126:$A$233,MATCH($Q$33,'Dados'!$C$126:$C$233,0))&lt;&gt;'Criação'!$Q$33,"Bênção de outro Caminho ("&amp;INDEX('Dados'!$A$126:$A$233,MATCH($Q$33,'Dados'!$C$126:$C$233,0))&amp;"). ",IF(INDEX('Dados'!$E$126:$E$233,MATCH($Q$33,'Dados'!$C$126:$C$233,0))&gt;13,"Tier "&amp;INDEX('Dados'!$D$126:$D$233,MATCH($Q$33,'Dados'!$C$126:$C$233,0))&amp;" exige slot de nível "&amp;INDEX('Dados'!$E$126:$E$233,MATCH($Q$33,'Dados'!$C$126:$C$233,0))&amp;" ou mais. ","")))&amp;IF(COUNTIF($Q$27:$Q$36,$Q$33)&gt;1,"Bênção repetida.","")))</f>
        <v/>
      </c>
      <c r="N33" s="25">
        <f>IF('Criação'!$Q$33="","",IFERROR(INDEX('Dados'!$C$126:$C$233,MATCH('Criação'!$Q$33,'Dados'!$A$126:$A$233,0)+6),""))</f>
        <v/>
      </c>
      <c r="Q33">
        <f>IF(ISERROR($C$33),"",IF(ISBLANK($C$33),"",$C$33))</f>
        <v/>
      </c>
      <c r="T33">
        <f>ISERROR($C$33)*1</f>
        <v/>
      </c>
    </row>
    <row r="34" ht="48" customHeight="1">
      <c r="A34" s="18" t="inlineStr">
        <is>
          <t>Slot 8</t>
        </is>
      </c>
      <c r="B34" s="21" t="n">
        <v>15</v>
      </c>
      <c r="C34" s="36" t="n"/>
      <c r="D34" s="21">
        <f>IF($Q$34="","",IFERROR(INDEX('Dados'!$D$126:$D$233,MATCH($Q$34,'Dados'!$C$126:$C$233,0)),"—"))</f>
        <v/>
      </c>
      <c r="E34" s="21">
        <f>IF($Q$34="","",IFERROR(INDEX('Dados'!$E$126:$E$233,MATCH($Q$34,'Dados'!$C$126:$C$233,0)),""))</f>
        <v/>
      </c>
      <c r="F34" s="21">
        <f>IF('Criação'!$A$14&gt;=15,"Sim","Não (nível 15)")</f>
        <v/>
      </c>
      <c r="G34" s="9">
        <f>IF($Q$34="","",IFERROR(INDEX('Dados'!$F$126:$F$233,MATCH($Q$34,'Dados'!$C$126:$C$233,0)),"Fora do catálogo dos capítulos 07 a 15"))</f>
        <v/>
      </c>
      <c r="H34" s="9">
        <f>IF($Q$34="","",IFERROR(INDEX('Dados'!$G$126:$G$233,MATCH($Q$34,'Dados'!$C$126:$C$233,0)),""))</f>
        <v/>
      </c>
      <c r="I34" s="9">
        <f>IF(AND($Q$34&lt;&gt;"",'Criação'!$A$14&gt;=15),$Q$34,"")</f>
        <v/>
      </c>
      <c r="J34" s="35" t="n"/>
      <c r="K34" s="20">
        <f>IF(T34&gt;0,"O Google leu como fórmula: escolha de novo na lista.",IF($Q$34="","",IF('Criação'!$A$14&lt;15,"Slot ainda não liberado (nível 15). ","")&amp;IF(ISERROR(MATCH($Q$34,'Dados'!$C$126:$C$233,0)),"Bênção fora do catálogo dos capítulos 07 a 15. ",IF(INDEX('Dados'!$A$126:$A$233,MATCH($Q$34,'Dados'!$C$126:$C$233,0))&lt;&gt;'Criação'!$Q$33,"Bênção de outro Caminho ("&amp;INDEX('Dados'!$A$126:$A$233,MATCH($Q$34,'Dados'!$C$126:$C$233,0))&amp;"). ",IF(INDEX('Dados'!$E$126:$E$233,MATCH($Q$34,'Dados'!$C$126:$C$233,0))&gt;15,"Tier "&amp;INDEX('Dados'!$D$126:$D$233,MATCH($Q$34,'Dados'!$C$126:$C$233,0))&amp;" exige slot de nível "&amp;INDEX('Dados'!$E$126:$E$233,MATCH($Q$34,'Dados'!$C$126:$C$233,0))&amp;" ou mais. ","")))&amp;IF(COUNTIF($Q$27:$Q$36,$Q$34)&gt;1,"Bênção repetida.","")))</f>
        <v/>
      </c>
      <c r="N34" s="25">
        <f>IF('Criação'!$Q$33="","",IFERROR(INDEX('Dados'!$C$126:$C$233,MATCH('Criação'!$Q$33,'Dados'!$A$126:$A$233,0)+7),""))</f>
        <v/>
      </c>
      <c r="Q34">
        <f>IF(ISERROR($C$34),"",IF(ISBLANK($C$34),"",$C$34))</f>
        <v/>
      </c>
      <c r="T34">
        <f>ISERROR($C$34)*1</f>
        <v/>
      </c>
    </row>
    <row r="35" ht="48" customHeight="1">
      <c r="A35" s="16" t="inlineStr">
        <is>
          <t>Slot 9</t>
        </is>
      </c>
      <c r="B35" s="22" t="n">
        <v>17</v>
      </c>
      <c r="C35" s="23" t="n"/>
      <c r="D35" s="22">
        <f>IF($Q$35="","",IFERROR(INDEX('Dados'!$D$126:$D$233,MATCH($Q$35,'Dados'!$C$126:$C$233,0)),"—"))</f>
        <v/>
      </c>
      <c r="E35" s="22">
        <f>IF($Q$35="","",IFERROR(INDEX('Dados'!$E$126:$E$233,MATCH($Q$35,'Dados'!$C$126:$C$233,0)),""))</f>
        <v/>
      </c>
      <c r="F35" s="22">
        <f>IF('Criação'!$A$14&gt;=17,"Sim","Não (nível 17)")</f>
        <v/>
      </c>
      <c r="G35" s="4">
        <f>IF($Q$35="","",IFERROR(INDEX('Dados'!$F$126:$F$233,MATCH($Q$35,'Dados'!$C$126:$C$233,0)),"Fora do catálogo dos capítulos 07 a 15"))</f>
        <v/>
      </c>
      <c r="H35" s="4">
        <f>IF($Q$35="","",IFERROR(INDEX('Dados'!$G$126:$G$233,MATCH($Q$35,'Dados'!$C$126:$C$233,0)),""))</f>
        <v/>
      </c>
      <c r="I35" s="4">
        <f>IF(AND($Q$35&lt;&gt;"",'Criação'!$A$14&gt;=17),$Q$35,"")</f>
        <v/>
      </c>
      <c r="K35" s="13">
        <f>IF(T35&gt;0,"O Google leu como fórmula: escolha de novo na lista.",IF($Q$35="","",IF('Criação'!$A$14&lt;17,"Slot ainda não liberado (nível 17). ","")&amp;IF(ISERROR(MATCH($Q$35,'Dados'!$C$126:$C$233,0)),"Bênção fora do catálogo dos capítulos 07 a 15. ",IF(INDEX('Dados'!$A$126:$A$233,MATCH($Q$35,'Dados'!$C$126:$C$233,0))&lt;&gt;'Criação'!$Q$33,"Bênção de outro Caminho ("&amp;INDEX('Dados'!$A$126:$A$233,MATCH($Q$35,'Dados'!$C$126:$C$233,0))&amp;"). ",IF(INDEX('Dados'!$E$126:$E$233,MATCH($Q$35,'Dados'!$C$126:$C$233,0))&gt;17,"Tier "&amp;INDEX('Dados'!$D$126:$D$233,MATCH($Q$35,'Dados'!$C$126:$C$233,0))&amp;" exige slot de nível "&amp;INDEX('Dados'!$E$126:$E$233,MATCH($Q$35,'Dados'!$C$126:$C$233,0))&amp;" ou mais. ","")))&amp;IF(COUNTIF($Q$27:$Q$36,$Q$35)&gt;1,"Bênção repetida.","")))</f>
        <v/>
      </c>
      <c r="N35" s="25">
        <f>IF('Criação'!$Q$33="","",IFERROR(INDEX('Dados'!$C$126:$C$233,MATCH('Criação'!$Q$33,'Dados'!$A$126:$A$233,0)+8),""))</f>
        <v/>
      </c>
      <c r="Q35">
        <f>IF(ISERROR($C$35),"",IF(ISBLANK($C$35),"",$C$35))</f>
        <v/>
      </c>
      <c r="T35">
        <f>ISERROR($C$35)*1</f>
        <v/>
      </c>
    </row>
    <row r="36" ht="48" customHeight="1">
      <c r="A36" s="18" t="inlineStr">
        <is>
          <t>Slot 10</t>
        </is>
      </c>
      <c r="B36" s="21" t="n">
        <v>19</v>
      </c>
      <c r="C36" s="36" t="n"/>
      <c r="D36" s="21">
        <f>IF($Q$36="","",IFERROR(INDEX('Dados'!$D$126:$D$233,MATCH($Q$36,'Dados'!$C$126:$C$233,0)),"—"))</f>
        <v/>
      </c>
      <c r="E36" s="21">
        <f>IF($Q$36="","",IFERROR(INDEX('Dados'!$E$126:$E$233,MATCH($Q$36,'Dados'!$C$126:$C$233,0)),""))</f>
        <v/>
      </c>
      <c r="F36" s="21">
        <f>IF('Criação'!$A$14&gt;=19,"Sim","Não (nível 19)")</f>
        <v/>
      </c>
      <c r="G36" s="9">
        <f>IF($Q$36="","",IFERROR(INDEX('Dados'!$F$126:$F$233,MATCH($Q$36,'Dados'!$C$126:$C$233,0)),"Fora do catálogo dos capítulos 07 a 15"))</f>
        <v/>
      </c>
      <c r="H36" s="9">
        <f>IF($Q$36="","",IFERROR(INDEX('Dados'!$G$126:$G$233,MATCH($Q$36,'Dados'!$C$126:$C$233,0)),""))</f>
        <v/>
      </c>
      <c r="I36" s="9">
        <f>IF(AND($Q$36&lt;&gt;"",'Criação'!$A$14&gt;=19),$Q$36,"")</f>
        <v/>
      </c>
      <c r="J36" s="35" t="n"/>
      <c r="K36" s="20">
        <f>IF(T36&gt;0,"O Google leu como fórmula: escolha de novo na lista.",IF($Q$36="","",IF('Criação'!$A$14&lt;19,"Slot ainda não liberado (nível 19). ","")&amp;IF(ISERROR(MATCH($Q$36,'Dados'!$C$126:$C$233,0)),"Bênção fora do catálogo dos capítulos 07 a 15. ",IF(INDEX('Dados'!$A$126:$A$233,MATCH($Q$36,'Dados'!$C$126:$C$233,0))&lt;&gt;'Criação'!$Q$33,"Bênção de outro Caminho ("&amp;INDEX('Dados'!$A$126:$A$233,MATCH($Q$36,'Dados'!$C$126:$C$233,0))&amp;"). ",IF(INDEX('Dados'!$E$126:$E$233,MATCH($Q$36,'Dados'!$C$126:$C$233,0))&gt;19,"Tier "&amp;INDEX('Dados'!$D$126:$D$233,MATCH($Q$36,'Dados'!$C$126:$C$233,0))&amp;" exige slot de nível "&amp;INDEX('Dados'!$E$126:$E$233,MATCH($Q$36,'Dados'!$C$126:$C$233,0))&amp;" ou mais. ","")))&amp;IF(COUNTIF($Q$27:$Q$36,$Q$36)&gt;1,"Bênção repetida.","")))</f>
        <v/>
      </c>
      <c r="N36" s="25">
        <f>IF('Criação'!$Q$33="","",IFERROR(INDEX('Dados'!$C$126:$C$233,MATCH('Criação'!$Q$33,'Dados'!$A$126:$A$233,0)+9),""))</f>
        <v/>
      </c>
      <c r="Q36">
        <f>IF(ISERROR($C$36),"",IF(ISBLANK($C$36),"",$C$36))</f>
        <v/>
      </c>
      <c r="T36">
        <f>ISERROR($C$36)*1</f>
        <v/>
      </c>
    </row>
    <row r="37">
      <c r="N37" s="25">
        <f>IF('Criação'!$Q$33="","",IFERROR(INDEX('Dados'!$C$126:$C$233,MATCH('Criação'!$Q$33,'Dados'!$A$126:$A$233,0)+10),""))</f>
        <v/>
      </c>
    </row>
    <row r="38">
      <c r="A38" s="14" t="inlineStr">
        <is>
          <t>Catálogo das 12 Bênçãos do seu Caminho</t>
        </is>
      </c>
      <c r="N38" s="25">
        <f>IF('Criação'!$Q$33="","",IFERROR(INDEX('Dados'!$C$126:$C$233,MATCH('Criação'!$Q$33,'Dados'!$A$126:$A$233,0)+11),""))</f>
        <v/>
      </c>
    </row>
    <row r="39" ht="30" customHeight="1">
      <c r="A39" s="7" t="inlineStr">
        <is>
          <t>Nº</t>
        </is>
      </c>
      <c r="C39" s="7" t="inlineStr">
        <is>
          <t>Bênção</t>
        </is>
      </c>
      <c r="D39" s="7" t="inlineStr">
        <is>
          <t>Tier</t>
        </is>
      </c>
      <c r="E39" s="7" t="inlineStr">
        <is>
          <t>Requisito (nível)</t>
        </is>
      </c>
      <c r="F39" s="7" t="inlineStr">
        <is>
          <t>Pode escolher agora?</t>
        </is>
      </c>
      <c r="G39" s="7" t="inlineStr">
        <is>
          <t>Em uma linha</t>
        </is>
      </c>
      <c r="H39" s="7" t="inlineStr">
        <is>
          <t>Frequência</t>
        </is>
      </c>
    </row>
    <row r="40" ht="48" customHeight="1">
      <c r="A40" s="16" t="n">
        <v>1</v>
      </c>
      <c r="C40" s="22">
        <f>$N$27</f>
        <v/>
      </c>
      <c r="D40" s="22">
        <f>IF($N$27="","",IFERROR(INDEX('Dados'!$D$126:$D$233,MATCH($N$27,'Dados'!$C$126:$C$233,0)),""))</f>
        <v/>
      </c>
      <c r="E40" s="22">
        <f>IF($N$27="","",IFERROR(INDEX('Dados'!$E$126:$E$233,MATCH($N$27,'Dados'!$C$126:$C$233,0)),""))</f>
        <v/>
      </c>
      <c r="F40" s="4">
        <f>IF($N$27="","",IF(COUNTIF($Q$27:$Q$36,$N$27)&gt;0,"Já escolhida",IF('Criação'!$A$14&gt;=$E$40,"Sim","A partir do nível "&amp;$E$40)))</f>
        <v/>
      </c>
      <c r="G40" s="4">
        <f>IF($N$27="","",IFERROR(INDEX('Dados'!$F$126:$F$233,MATCH($N$27,'Dados'!$C$126:$C$233,0)),""))</f>
        <v/>
      </c>
      <c r="H40" s="4">
        <f>IF($N$27="","",IFERROR(INDEX('Dados'!$G$126:$G$233,MATCH($N$27,'Dados'!$C$126:$C$233,0)),""))</f>
        <v/>
      </c>
    </row>
    <row r="41" ht="48" customHeight="1">
      <c r="A41" s="18" t="n">
        <v>2</v>
      </c>
      <c r="B41" s="35" t="n"/>
      <c r="C41" s="21">
        <f>$N$28</f>
        <v/>
      </c>
      <c r="D41" s="21">
        <f>IF($N$28="","",IFERROR(INDEX('Dados'!$D$126:$D$233,MATCH($N$28,'Dados'!$C$126:$C$233,0)),""))</f>
        <v/>
      </c>
      <c r="E41" s="21">
        <f>IF($N$28="","",IFERROR(INDEX('Dados'!$E$126:$E$233,MATCH($N$28,'Dados'!$C$126:$C$233,0)),""))</f>
        <v/>
      </c>
      <c r="F41" s="9">
        <f>IF($N$28="","",IF(COUNTIF($Q$27:$Q$36,$N$28)&gt;0,"Já escolhida",IF('Criação'!$A$14&gt;=$E$41,"Sim","A partir do nível "&amp;$E$41)))</f>
        <v/>
      </c>
      <c r="G41" s="9">
        <f>IF($N$28="","",IFERROR(INDEX('Dados'!$F$126:$F$233,MATCH($N$28,'Dados'!$C$126:$C$233,0)),""))</f>
        <v/>
      </c>
      <c r="H41" s="9">
        <f>IF($N$28="","",IFERROR(INDEX('Dados'!$G$126:$G$233,MATCH($N$28,'Dados'!$C$126:$C$233,0)),""))</f>
        <v/>
      </c>
    </row>
    <row r="42" ht="48" customHeight="1">
      <c r="A42" s="16" t="n">
        <v>3</v>
      </c>
      <c r="C42" s="22">
        <f>$N$29</f>
        <v/>
      </c>
      <c r="D42" s="22">
        <f>IF($N$29="","",IFERROR(INDEX('Dados'!$D$126:$D$233,MATCH($N$29,'Dados'!$C$126:$C$233,0)),""))</f>
        <v/>
      </c>
      <c r="E42" s="22">
        <f>IF($N$29="","",IFERROR(INDEX('Dados'!$E$126:$E$233,MATCH($N$29,'Dados'!$C$126:$C$233,0)),""))</f>
        <v/>
      </c>
      <c r="F42" s="4">
        <f>IF($N$29="","",IF(COUNTIF($Q$27:$Q$36,$N$29)&gt;0,"Já escolhida",IF('Criação'!$A$14&gt;=$E$42,"Sim","A partir do nível "&amp;$E$42)))</f>
        <v/>
      </c>
      <c r="G42" s="4">
        <f>IF($N$29="","",IFERROR(INDEX('Dados'!$F$126:$F$233,MATCH($N$29,'Dados'!$C$126:$C$233,0)),""))</f>
        <v/>
      </c>
      <c r="H42" s="4">
        <f>IF($N$29="","",IFERROR(INDEX('Dados'!$G$126:$G$233,MATCH($N$29,'Dados'!$C$126:$C$233,0)),""))</f>
        <v/>
      </c>
    </row>
    <row r="43" ht="48" customHeight="1">
      <c r="A43" s="18" t="n">
        <v>4</v>
      </c>
      <c r="B43" s="35" t="n"/>
      <c r="C43" s="21">
        <f>$N$30</f>
        <v/>
      </c>
      <c r="D43" s="21">
        <f>IF($N$30="","",IFERROR(INDEX('Dados'!$D$126:$D$233,MATCH($N$30,'Dados'!$C$126:$C$233,0)),""))</f>
        <v/>
      </c>
      <c r="E43" s="21">
        <f>IF($N$30="","",IFERROR(INDEX('Dados'!$E$126:$E$233,MATCH($N$30,'Dados'!$C$126:$C$233,0)),""))</f>
        <v/>
      </c>
      <c r="F43" s="9">
        <f>IF($N$30="","",IF(COUNTIF($Q$27:$Q$36,$N$30)&gt;0,"Já escolhida",IF('Criação'!$A$14&gt;=$E$43,"Sim","A partir do nível "&amp;$E$43)))</f>
        <v/>
      </c>
      <c r="G43" s="9">
        <f>IF($N$30="","",IFERROR(INDEX('Dados'!$F$126:$F$233,MATCH($N$30,'Dados'!$C$126:$C$233,0)),""))</f>
        <v/>
      </c>
      <c r="H43" s="9">
        <f>IF($N$30="","",IFERROR(INDEX('Dados'!$G$126:$G$233,MATCH($N$30,'Dados'!$C$126:$C$233,0)),""))</f>
        <v/>
      </c>
    </row>
    <row r="44" ht="48" customHeight="1">
      <c r="A44" s="16" t="n">
        <v>5</v>
      </c>
      <c r="C44" s="22">
        <f>$N$31</f>
        <v/>
      </c>
      <c r="D44" s="22">
        <f>IF($N$31="","",IFERROR(INDEX('Dados'!$D$126:$D$233,MATCH($N$31,'Dados'!$C$126:$C$233,0)),""))</f>
        <v/>
      </c>
      <c r="E44" s="22">
        <f>IF($N$31="","",IFERROR(INDEX('Dados'!$E$126:$E$233,MATCH($N$31,'Dados'!$C$126:$C$233,0)),""))</f>
        <v/>
      </c>
      <c r="F44" s="4">
        <f>IF($N$31="","",IF(COUNTIF($Q$27:$Q$36,$N$31)&gt;0,"Já escolhida",IF('Criação'!$A$14&gt;=$E$44,"Sim","A partir do nível "&amp;$E$44)))</f>
        <v/>
      </c>
      <c r="G44" s="4">
        <f>IF($N$31="","",IFERROR(INDEX('Dados'!$F$126:$F$233,MATCH($N$31,'Dados'!$C$126:$C$233,0)),""))</f>
        <v/>
      </c>
      <c r="H44" s="4">
        <f>IF($N$31="","",IFERROR(INDEX('Dados'!$G$126:$G$233,MATCH($N$31,'Dados'!$C$126:$C$233,0)),""))</f>
        <v/>
      </c>
    </row>
    <row r="45" ht="48" customHeight="1">
      <c r="A45" s="18" t="n">
        <v>6</v>
      </c>
      <c r="B45" s="35" t="n"/>
      <c r="C45" s="21">
        <f>$N$32</f>
        <v/>
      </c>
      <c r="D45" s="21">
        <f>IF($N$32="","",IFERROR(INDEX('Dados'!$D$126:$D$233,MATCH($N$32,'Dados'!$C$126:$C$233,0)),""))</f>
        <v/>
      </c>
      <c r="E45" s="21">
        <f>IF($N$32="","",IFERROR(INDEX('Dados'!$E$126:$E$233,MATCH($N$32,'Dados'!$C$126:$C$233,0)),""))</f>
        <v/>
      </c>
      <c r="F45" s="9">
        <f>IF($N$32="","",IF(COUNTIF($Q$27:$Q$36,$N$32)&gt;0,"Já escolhida",IF('Criação'!$A$14&gt;=$E$45,"Sim","A partir do nível "&amp;$E$45)))</f>
        <v/>
      </c>
      <c r="G45" s="9">
        <f>IF($N$32="","",IFERROR(INDEX('Dados'!$F$126:$F$233,MATCH($N$32,'Dados'!$C$126:$C$233,0)),""))</f>
        <v/>
      </c>
      <c r="H45" s="9">
        <f>IF($N$32="","",IFERROR(INDEX('Dados'!$G$126:$G$233,MATCH($N$32,'Dados'!$C$126:$C$233,0)),""))</f>
        <v/>
      </c>
    </row>
    <row r="46" ht="48" customHeight="1">
      <c r="A46" s="16" t="n">
        <v>7</v>
      </c>
      <c r="C46" s="22">
        <f>$N$33</f>
        <v/>
      </c>
      <c r="D46" s="22">
        <f>IF($N$33="","",IFERROR(INDEX('Dados'!$D$126:$D$233,MATCH($N$33,'Dados'!$C$126:$C$233,0)),""))</f>
        <v/>
      </c>
      <c r="E46" s="22">
        <f>IF($N$33="","",IFERROR(INDEX('Dados'!$E$126:$E$233,MATCH($N$33,'Dados'!$C$126:$C$233,0)),""))</f>
        <v/>
      </c>
      <c r="F46" s="4">
        <f>IF($N$33="","",IF(COUNTIF($Q$27:$Q$36,$N$33)&gt;0,"Já escolhida",IF('Criação'!$A$14&gt;=$E$46,"Sim","A partir do nível "&amp;$E$46)))</f>
        <v/>
      </c>
      <c r="G46" s="4">
        <f>IF($N$33="","",IFERROR(INDEX('Dados'!$F$126:$F$233,MATCH($N$33,'Dados'!$C$126:$C$233,0)),""))</f>
        <v/>
      </c>
      <c r="H46" s="4">
        <f>IF($N$33="","",IFERROR(INDEX('Dados'!$G$126:$G$233,MATCH($N$33,'Dados'!$C$126:$C$233,0)),""))</f>
        <v/>
      </c>
    </row>
    <row r="47" ht="48" customHeight="1">
      <c r="A47" s="18" t="n">
        <v>8</v>
      </c>
      <c r="B47" s="35" t="n"/>
      <c r="C47" s="21">
        <f>$N$34</f>
        <v/>
      </c>
      <c r="D47" s="21">
        <f>IF($N$34="","",IFERROR(INDEX('Dados'!$D$126:$D$233,MATCH($N$34,'Dados'!$C$126:$C$233,0)),""))</f>
        <v/>
      </c>
      <c r="E47" s="21">
        <f>IF($N$34="","",IFERROR(INDEX('Dados'!$E$126:$E$233,MATCH($N$34,'Dados'!$C$126:$C$233,0)),""))</f>
        <v/>
      </c>
      <c r="F47" s="9">
        <f>IF($N$34="","",IF(COUNTIF($Q$27:$Q$36,$N$34)&gt;0,"Já escolhida",IF('Criação'!$A$14&gt;=$E$47,"Sim","A partir do nível "&amp;$E$47)))</f>
        <v/>
      </c>
      <c r="G47" s="9">
        <f>IF($N$34="","",IFERROR(INDEX('Dados'!$F$126:$F$233,MATCH($N$34,'Dados'!$C$126:$C$233,0)),""))</f>
        <v/>
      </c>
      <c r="H47" s="9">
        <f>IF($N$34="","",IFERROR(INDEX('Dados'!$G$126:$G$233,MATCH($N$34,'Dados'!$C$126:$C$233,0)),""))</f>
        <v/>
      </c>
    </row>
    <row r="48" ht="48" customHeight="1">
      <c r="A48" s="16" t="n">
        <v>9</v>
      </c>
      <c r="C48" s="22">
        <f>$N$35</f>
        <v/>
      </c>
      <c r="D48" s="22">
        <f>IF($N$35="","",IFERROR(INDEX('Dados'!$D$126:$D$233,MATCH($N$35,'Dados'!$C$126:$C$233,0)),""))</f>
        <v/>
      </c>
      <c r="E48" s="22">
        <f>IF($N$35="","",IFERROR(INDEX('Dados'!$E$126:$E$233,MATCH($N$35,'Dados'!$C$126:$C$233,0)),""))</f>
        <v/>
      </c>
      <c r="F48" s="4">
        <f>IF($N$35="","",IF(COUNTIF($Q$27:$Q$36,$N$35)&gt;0,"Já escolhida",IF('Criação'!$A$14&gt;=$E$48,"Sim","A partir do nível "&amp;$E$48)))</f>
        <v/>
      </c>
      <c r="G48" s="4">
        <f>IF($N$35="","",IFERROR(INDEX('Dados'!$F$126:$F$233,MATCH($N$35,'Dados'!$C$126:$C$233,0)),""))</f>
        <v/>
      </c>
      <c r="H48" s="4">
        <f>IF($N$35="","",IFERROR(INDEX('Dados'!$G$126:$G$233,MATCH($N$35,'Dados'!$C$126:$C$233,0)),""))</f>
        <v/>
      </c>
    </row>
    <row r="49" ht="48" customHeight="1">
      <c r="A49" s="18" t="n">
        <v>10</v>
      </c>
      <c r="B49" s="35" t="n"/>
      <c r="C49" s="21">
        <f>$N$36</f>
        <v/>
      </c>
      <c r="D49" s="21">
        <f>IF($N$36="","",IFERROR(INDEX('Dados'!$D$126:$D$233,MATCH($N$36,'Dados'!$C$126:$C$233,0)),""))</f>
        <v/>
      </c>
      <c r="E49" s="21">
        <f>IF($N$36="","",IFERROR(INDEX('Dados'!$E$126:$E$233,MATCH($N$36,'Dados'!$C$126:$C$233,0)),""))</f>
        <v/>
      </c>
      <c r="F49" s="9">
        <f>IF($N$36="","",IF(COUNTIF($Q$27:$Q$36,$N$36)&gt;0,"Já escolhida",IF('Criação'!$A$14&gt;=$E$49,"Sim","A partir do nível "&amp;$E$49)))</f>
        <v/>
      </c>
      <c r="G49" s="9">
        <f>IF($N$36="","",IFERROR(INDEX('Dados'!$F$126:$F$233,MATCH($N$36,'Dados'!$C$126:$C$233,0)),""))</f>
        <v/>
      </c>
      <c r="H49" s="9">
        <f>IF($N$36="","",IFERROR(INDEX('Dados'!$G$126:$G$233,MATCH($N$36,'Dados'!$C$126:$C$233,0)),""))</f>
        <v/>
      </c>
    </row>
    <row r="50" ht="48" customHeight="1">
      <c r="A50" s="16" t="n">
        <v>11</v>
      </c>
      <c r="C50" s="22">
        <f>$N$37</f>
        <v/>
      </c>
      <c r="D50" s="22">
        <f>IF($N$37="","",IFERROR(INDEX('Dados'!$D$126:$D$233,MATCH($N$37,'Dados'!$C$126:$C$233,0)),""))</f>
        <v/>
      </c>
      <c r="E50" s="22">
        <f>IF($N$37="","",IFERROR(INDEX('Dados'!$E$126:$E$233,MATCH($N$37,'Dados'!$C$126:$C$233,0)),""))</f>
        <v/>
      </c>
      <c r="F50" s="4">
        <f>IF($N$37="","",IF(COUNTIF($Q$27:$Q$36,$N$37)&gt;0,"Já escolhida",IF('Criação'!$A$14&gt;=$E$50,"Sim","A partir do nível "&amp;$E$50)))</f>
        <v/>
      </c>
      <c r="G50" s="4">
        <f>IF($N$37="","",IFERROR(INDEX('Dados'!$F$126:$F$233,MATCH($N$37,'Dados'!$C$126:$C$233,0)),""))</f>
        <v/>
      </c>
      <c r="H50" s="4">
        <f>IF($N$37="","",IFERROR(INDEX('Dados'!$G$126:$G$233,MATCH($N$37,'Dados'!$C$126:$C$233,0)),""))</f>
        <v/>
      </c>
    </row>
    <row r="51" ht="48" customHeight="1">
      <c r="A51" s="18" t="n">
        <v>12</v>
      </c>
      <c r="B51" s="35" t="n"/>
      <c r="C51" s="21">
        <f>$N$38</f>
        <v/>
      </c>
      <c r="D51" s="21">
        <f>IF($N$38="","",IFERROR(INDEX('Dados'!$D$126:$D$233,MATCH($N$38,'Dados'!$C$126:$C$233,0)),""))</f>
        <v/>
      </c>
      <c r="E51" s="21">
        <f>IF($N$38="","",IFERROR(INDEX('Dados'!$E$126:$E$233,MATCH($N$38,'Dados'!$C$126:$C$233,0)),""))</f>
        <v/>
      </c>
      <c r="F51" s="9">
        <f>IF($N$38="","",IF(COUNTIF($Q$27:$Q$36,$N$38)&gt;0,"Já escolhida",IF('Criação'!$A$14&gt;=$E$51,"Sim","A partir do nível "&amp;$E$51)))</f>
        <v/>
      </c>
      <c r="G51" s="9">
        <f>IF($N$38="","",IFERROR(INDEX('Dados'!$F$126:$F$233,MATCH($N$38,'Dados'!$C$126:$C$233,0)),""))</f>
        <v/>
      </c>
      <c r="H51" s="9">
        <f>IF($N$38="","",IFERROR(INDEX('Dados'!$G$126:$G$233,MATCH($N$38,'Dados'!$C$126:$C$233,0)),""))</f>
        <v/>
      </c>
    </row>
    <row r="52"/>
    <row r="53">
      <c r="A53" s="14">
        <f>IF('Criação'!$Q$33="A Recordação","Memoespírito — 11.3 a 11.5","Memoespírito — só para A Recordação")</f>
        <v/>
      </c>
    </row>
    <row r="54" ht="37" customHeight="1">
      <c r="A54" s="8" t="inlineStr">
        <is>
          <t>Só para A Recordação?</t>
        </is>
      </c>
      <c r="B54" s="17">
        <f>IF('Criação'!$Q$33="A Recordação","Sim","Não")</f>
        <v/>
      </c>
      <c r="D54" s="12" t="inlineStr">
        <is>
          <t>Fora da Recordação o bloco fica cinza e as contas ficam vazias.</t>
        </is>
      </c>
      <c r="K54" s="13">
        <f>IF(AND(NOT(($B$54="Sim")),(LEN($P$55)+LEN($P$56)+LEN($P$57)+LEN($P$58)+LEN($P$60)+LEN($P$61)+LEN($P$62)+LEN($P$63)+LEN($P$64)+LEN($P$65)+LEN($P$67)+LEN($P$69)+LEN($P$70)+LEN($P$71)+LEN($P$72)+LEN($S$72)+LEN($P$73)+LEN($S$73)+LEN($Q$75)+LEN($Q$76)+LEN($Q$77)+LEN($P$78))&gt;0),"Memoespírito só na Recordação: estes campos não contam","")</f>
        <v/>
      </c>
    </row>
    <row r="55" ht="37" customHeight="1">
      <c r="A55" s="8" t="inlineStr">
        <is>
          <t>Nome do Memoespírito</t>
        </is>
      </c>
      <c r="B55" s="27" t="n"/>
      <c r="C55" s="28" t="n"/>
      <c r="D55" s="28" t="n"/>
      <c r="E55" s="29" t="n"/>
      <c r="K55" s="13">
        <f>IF(T55&gt;0,"O Google leu como fórmula: digite de novo com ' na frente.","")</f>
        <v/>
      </c>
      <c r="P55">
        <f>IF(ISERROR($B$55),"",IF(ISBLANK($B$55),"",$B$55))</f>
        <v/>
      </c>
      <c r="T55">
        <f>ISERROR($B$55)*1</f>
        <v/>
      </c>
    </row>
    <row r="56" ht="37" customHeight="1">
      <c r="A56" s="8" t="inlineStr">
        <is>
          <t>Conceito (11.3 Passo 2)</t>
        </is>
      </c>
      <c r="B56" s="23" t="n"/>
      <c r="C56" s="29" t="n"/>
      <c r="D56" s="22">
        <f>IF(OR(NOT(($B$54="Sim")),$P$56=""),"",IFERROR(VLOOKUP($P$56,'Dados'!$A$550:$B$554,2,FALSE),""))</f>
        <v/>
      </c>
      <c r="K56" s="13">
        <f>IF(T56&gt;0,"O Google leu como fórmula: escolha de novo na lista.","")</f>
        <v/>
      </c>
      <c r="P56">
        <f>IF(ISERROR($B$56),"",IF(ISBLANK($B$56),"",$B$56))</f>
        <v/>
      </c>
      <c r="T56">
        <f>ISERROR($B$56)*1</f>
        <v/>
      </c>
    </row>
    <row r="57" ht="37" customHeight="1">
      <c r="A57" s="8" t="inlineStr">
        <is>
          <t>Função (11.3 Passo 3)</t>
        </is>
      </c>
      <c r="B57" s="23" t="n"/>
      <c r="C57" s="29" t="n"/>
      <c r="D57" s="4">
        <f>IF(OR(NOT(($B$54="Sim")),$P$57=""),"",IFERROR(VLOOKUP($P$57,'Dados'!$A$558:$B$561,2,FALSE),""))</f>
        <v/>
      </c>
      <c r="K57" s="13">
        <f>IF(T57&gt;0,"O Google leu como fórmula: escolha de novo na lista.","")</f>
        <v/>
      </c>
      <c r="P57">
        <f>IF(ISERROR($B$57),"",IF(ISBLANK($B$57),"",$B$57))</f>
        <v/>
      </c>
      <c r="T57">
        <f>ISERROR($B$57)*1</f>
        <v/>
      </c>
    </row>
    <row r="58" ht="37" customHeight="1">
      <c r="A58" s="8" t="inlineStr">
        <is>
          <t>Elemento dele</t>
        </is>
      </c>
      <c r="B58" s="23" t="n"/>
      <c r="C58" s="29" t="n"/>
      <c r="K58" s="13">
        <f>IF(T58&gt;0,"O Google leu como fórmula: escolha de novo na lista.","")</f>
        <v/>
      </c>
      <c r="P58">
        <f>IF(ISERROR($B$58),"",IF(ISBLANK($B$58),"",$B$58))</f>
        <v/>
      </c>
      <c r="T58">
        <f>ISERROR($B$58)*1</f>
        <v/>
      </c>
    </row>
    <row r="59" ht="37" customHeight="1">
      <c r="A59" s="7" t="inlineStr">
        <is>
          <t>Atributo</t>
        </is>
      </c>
      <c r="B59" s="7" t="inlineStr">
        <is>
          <t>Pontos (preencha, máx. 5)</t>
        </is>
      </c>
      <c r="C59" s="7" t="inlineStr">
        <is>
          <t>Pontos usados</t>
        </is>
      </c>
      <c r="D59" s="7" t="inlineStr">
        <is>
          <t>Teste de Resistência dele</t>
        </is>
      </c>
      <c r="K59" s="7" t="inlineStr">
        <is>
          <t>Aviso</t>
        </is>
      </c>
      <c r="L59" s="15" t="n"/>
    </row>
    <row r="60" ht="37" customHeight="1">
      <c r="A60" s="16" t="inlineStr">
        <is>
          <t>Poder</t>
        </is>
      </c>
      <c r="B60" s="23" t="n"/>
      <c r="C60" s="22">
        <f>IF(ISNUMBER($P$60),MAX(0,MIN(5,INT($P$60))),0)</f>
        <v/>
      </c>
      <c r="D60" s="22">
        <f>IF(($B$54="Sim"),"d20"&amp;IF(($C$60+'Criação'!$C$14)&gt;=0,"+","")&amp;($C$60+'Criação'!$C$14),"")</f>
        <v/>
      </c>
      <c r="K60" s="13">
        <f>IF(T60&gt;0,"O Google leu como fórmula: digite de novo com ' na frente.",IF($P$60="","",IF(ISNUMBER($P$60),IF($P$60&gt;5,"Máximo 5 pontos por Atributo","")&amp;IF($P$60&lt;0,"Pontos não podem ser negativos",""),"Precisa ser um número")))</f>
        <v/>
      </c>
      <c r="P60">
        <f>IF(ISERROR($B$60),"",IF(ISBLANK($B$60),"",$B$60))</f>
        <v/>
      </c>
      <c r="T60">
        <f>ISERROR($B$60)*1</f>
        <v/>
      </c>
    </row>
    <row r="61" ht="37" customHeight="1">
      <c r="A61" s="18" t="inlineStr">
        <is>
          <t>Agilidade</t>
        </is>
      </c>
      <c r="B61" s="36" t="n"/>
      <c r="C61" s="21">
        <f>IF(ISNUMBER($P$61),MAX(0,MIN(5,INT($P$61))),0)</f>
        <v/>
      </c>
      <c r="D61" s="21">
        <f>IF(($B$54="Sim"),"d20"&amp;IF(($C$61+'Criação'!$C$14)&gt;=0,"+","")&amp;($C$61+'Criação'!$C$14),"")</f>
        <v/>
      </c>
      <c r="E61" s="35" t="n"/>
      <c r="F61" s="35" t="n"/>
      <c r="G61" s="35" t="n"/>
      <c r="H61" s="35" t="n"/>
      <c r="I61" s="35" t="n"/>
      <c r="J61" s="35" t="n"/>
      <c r="K61" s="20">
        <f>IF(T61&gt;0,"O Google leu como fórmula: digite de novo com ' na frente.",IF($P$61="","",IF(ISNUMBER($P$61),IF($P$61&gt;5,"Máximo 5 pontos por Atributo","")&amp;IF($P$61&lt;0,"Pontos não podem ser negativos",""),"Precisa ser um número")))</f>
        <v/>
      </c>
      <c r="P61">
        <f>IF(ISERROR($B$61),"",IF(ISBLANK($B$61),"",$B$61))</f>
        <v/>
      </c>
      <c r="T61">
        <f>ISERROR($B$61)*1</f>
        <v/>
      </c>
    </row>
    <row r="62" ht="37" customHeight="1">
      <c r="A62" s="16" t="inlineStr">
        <is>
          <t>Vigor</t>
        </is>
      </c>
      <c r="B62" s="23" t="n"/>
      <c r="C62" s="22">
        <f>IF(ISNUMBER($P$62),MAX(0,MIN(5,INT($P$62))),0)</f>
        <v/>
      </c>
      <c r="D62" s="22">
        <f>IF(($B$54="Sim"),"d20"&amp;IF(($C$62+'Criação'!$C$14)&gt;=0,"+","")&amp;($C$62+'Criação'!$C$14),"")</f>
        <v/>
      </c>
      <c r="K62" s="13">
        <f>IF(T62&gt;0,"O Google leu como fórmula: digite de novo com ' na frente.",IF($P$62="","",IF(ISNUMBER($P$62),IF($P$62&gt;5,"Máximo 5 pontos por Atributo","")&amp;IF($P$62&lt;0,"Pontos não podem ser negativos",""),"Precisa ser um número")))</f>
        <v/>
      </c>
      <c r="P62">
        <f>IF(ISERROR($B$62),"",IF(ISBLANK($B$62),"",$B$62))</f>
        <v/>
      </c>
      <c r="T62">
        <f>ISERROR($B$62)*1</f>
        <v/>
      </c>
    </row>
    <row r="63" ht="37" customHeight="1">
      <c r="A63" s="18" t="inlineStr">
        <is>
          <t>Sincronia</t>
        </is>
      </c>
      <c r="B63" s="36" t="n"/>
      <c r="C63" s="21">
        <f>IF(ISNUMBER($P$63),MAX(0,MIN(5,INT($P$63))),0)</f>
        <v/>
      </c>
      <c r="D63" s="21">
        <f>IF(($B$54="Sim"),"d20"&amp;IF(($C$63+'Criação'!$C$14)&gt;=0,"+","")&amp;($C$63+'Criação'!$C$14),"")</f>
        <v/>
      </c>
      <c r="E63" s="35" t="n"/>
      <c r="F63" s="35" t="n"/>
      <c r="G63" s="35" t="n"/>
      <c r="H63" s="35" t="n"/>
      <c r="I63" s="35" t="n"/>
      <c r="J63" s="35" t="n"/>
      <c r="K63" s="20">
        <f>IF(T63&gt;0,"O Google leu como fórmula: digite de novo com ' na frente.",IF($P$63="","",IF(ISNUMBER($P$63),IF($P$63&gt;5,"Máximo 5 pontos por Atributo","")&amp;IF($P$63&lt;0,"Pontos não podem ser negativos",""),"Precisa ser um número")))</f>
        <v/>
      </c>
      <c r="P63">
        <f>IF(ISERROR($B$63),"",IF(ISBLANK($B$63),"",$B$63))</f>
        <v/>
      </c>
      <c r="T63">
        <f>ISERROR($B$63)*1</f>
        <v/>
      </c>
    </row>
    <row r="64" ht="37" customHeight="1">
      <c r="A64" s="16" t="inlineStr">
        <is>
          <t>Discernimento</t>
        </is>
      </c>
      <c r="B64" s="23" t="n"/>
      <c r="C64" s="22">
        <f>IF(ISNUMBER($P$64),MAX(0,MIN(5,INT($P$64))),0)</f>
        <v/>
      </c>
      <c r="D64" s="22">
        <f>IF(($B$54="Sim"),"d20"&amp;IF(($C$64+'Criação'!$C$14)&gt;=0,"+","")&amp;($C$64+'Criação'!$C$14),"")</f>
        <v/>
      </c>
      <c r="K64" s="13">
        <f>IF(T64&gt;0,"O Google leu como fórmula: digite de novo com ' na frente.",IF($P$64="","",IF(ISNUMBER($P$64),IF($P$64&gt;5,"Máximo 5 pontos por Atributo","")&amp;IF($P$64&lt;0,"Pontos não podem ser negativos",""),"Precisa ser um número")))</f>
        <v/>
      </c>
      <c r="P64">
        <f>IF(ISERROR($B$64),"",IF(ISBLANK($B$64),"",$B$64))</f>
        <v/>
      </c>
      <c r="T64">
        <f>ISERROR($B$64)*1</f>
        <v/>
      </c>
    </row>
    <row r="65" ht="37" customHeight="1">
      <c r="A65" s="18" t="inlineStr">
        <is>
          <t>Presença</t>
        </is>
      </c>
      <c r="B65" s="36" t="n"/>
      <c r="C65" s="21">
        <f>IF(ISNUMBER($P$65),MAX(0,MIN(5,INT($P$65))),0)</f>
        <v/>
      </c>
      <c r="D65" s="21">
        <f>IF(($B$54="Sim"),"d20"&amp;IF(($C$65+'Criação'!$C$14)&gt;=0,"+","")&amp;($C$65+'Criação'!$C$14),"")</f>
        <v/>
      </c>
      <c r="E65" s="35" t="n"/>
      <c r="F65" s="35" t="n"/>
      <c r="G65" s="35" t="n"/>
      <c r="H65" s="35" t="n"/>
      <c r="I65" s="35" t="n"/>
      <c r="J65" s="35" t="n"/>
      <c r="K65" s="20">
        <f>IF(T65&gt;0,"O Google leu como fórmula: digite de novo com ' na frente.",IF($P$65="","",IF(ISNUMBER($P$65),IF($P$65&gt;5,"Máximo 5 pontos por Atributo","")&amp;IF($P$65&lt;0,"Pontos não podem ser negativos",""),"Precisa ser um número")))</f>
        <v/>
      </c>
      <c r="P65">
        <f>IF(ISERROR($B$65),"",IF(ISBLANK($B$65),"",$B$65))</f>
        <v/>
      </c>
      <c r="T65">
        <f>ISERROR($B$65)*1</f>
        <v/>
      </c>
    </row>
    <row r="66" ht="37" customHeight="1">
      <c r="A66" s="8" t="inlineStr">
        <is>
          <t>Pontos totais (12 + metade do nível) / gastos</t>
        </is>
      </c>
      <c r="B66" s="17">
        <f>IF(($B$54="Sim"),'Criação'!$K$16,"")</f>
        <v/>
      </c>
      <c r="C66" s="17">
        <f>SUM($P$60:$P$65)</f>
        <v/>
      </c>
      <c r="K66" s="13">
        <f>IF(AND(($B$54="Sim"),$C$66&gt;'Criação'!$K$16),"Pontos acima do total ("&amp;'Criação'!$K$16&amp;")","")</f>
        <v/>
      </c>
    </row>
    <row r="67" ht="37" customHeight="1">
      <c r="A67" s="33" t="inlineStr">
        <is>
          <t>Atributo de ataque dele (vazio = Poder)</t>
        </is>
      </c>
      <c r="B67" s="36" t="n"/>
      <c r="C67" s="29" t="n"/>
      <c r="D67" s="21">
        <f>IF($P$67="","Poder",$P$67)</f>
        <v/>
      </c>
      <c r="F67" s="35" t="n"/>
      <c r="G67" s="35" t="n"/>
      <c r="H67" s="35" t="n"/>
      <c r="I67" s="35" t="n"/>
      <c r="J67" s="35" t="n"/>
      <c r="K67" s="20">
        <f>IF(T67&gt;0,"O Google leu como fórmula: escolha de novo na lista.","")</f>
        <v/>
      </c>
      <c r="P67">
        <f>IF(ISERROR($B$67),"",IF(ISBLANK($B$67),"",$B$67))</f>
        <v/>
      </c>
      <c r="T67">
        <f>ISERROR($B$67)*1</f>
        <v/>
      </c>
    </row>
    <row r="68" ht="26" customHeight="1">
      <c r="A68" s="7" t="inlineStr">
        <is>
          <t>Bônus menor (11.3 Passo 4)</t>
        </is>
      </c>
      <c r="B68" s="7" t="inlineStr">
        <is>
          <t>Escolha (preencha)</t>
        </is>
      </c>
      <c r="D68" s="7" t="inlineStr">
        <is>
          <t>Efeito</t>
        </is>
      </c>
    </row>
    <row r="69" ht="37" customHeight="1">
      <c r="A69" s="16" t="inlineStr">
        <is>
          <t>Bônus menor 1</t>
        </is>
      </c>
      <c r="B69" s="23" t="n"/>
      <c r="C69" s="29" t="n"/>
      <c r="D69" s="4">
        <f>IF($P$69="","",IFERROR(VLOOKUP($P$69,'Dados'!$A$565:$B$570,2,FALSE),""))</f>
        <v/>
      </c>
      <c r="K69" s="13">
        <f>IF(T69&gt;0,"O Google leu como fórmula: escolha de novo na lista.",IF($P$69="","",IF(COUNTIF($P$69:$P$71,$P$69)&gt;1,"Bônus menor repetido: escolha 3 diferentes",IF(COUNTIF('Dados'!$AE$6:$AE$11,$P$69)=0,"Fora da lista de 11.3",""))))</f>
        <v/>
      </c>
      <c r="P69">
        <f>IF(ISERROR($B$69),"",IF(ISBLANK($B$69),"",$B$69))</f>
        <v/>
      </c>
      <c r="T69">
        <f>ISERROR($B$69)*1</f>
        <v/>
      </c>
    </row>
    <row r="70" ht="37" customHeight="1">
      <c r="A70" s="18" t="inlineStr">
        <is>
          <t>Bônus menor 2</t>
        </is>
      </c>
      <c r="B70" s="36" t="n"/>
      <c r="C70" s="29" t="n"/>
      <c r="D70" s="9">
        <f>IF($P$70="","",IFERROR(VLOOKUP($P$70,'Dados'!$A$565:$B$570,2,FALSE),""))</f>
        <v/>
      </c>
      <c r="K70" s="13">
        <f>IF(T70&gt;0,"O Google leu como fórmula: escolha de novo na lista.",IF($P$70="","",IF(COUNTIF($P$69:$P$71,$P$70)&gt;1,"Bônus menor repetido: escolha 3 diferentes",IF(COUNTIF('Dados'!$AE$6:$AE$11,$P$70)=0,"Fora da lista de 11.3",""))))</f>
        <v/>
      </c>
      <c r="P70">
        <f>IF(ISERROR($B$70),"",IF(ISBLANK($B$70),"",$B$70))</f>
        <v/>
      </c>
      <c r="T70">
        <f>ISERROR($B$70)*1</f>
        <v/>
      </c>
    </row>
    <row r="71" ht="37" customHeight="1">
      <c r="A71" s="16" t="inlineStr">
        <is>
          <t>Bônus menor 3</t>
        </is>
      </c>
      <c r="B71" s="23" t="n"/>
      <c r="C71" s="29" t="n"/>
      <c r="D71" s="4">
        <f>IF($P$71="","",IFERROR(VLOOKUP($P$71,'Dados'!$A$565:$B$570,2,FALSE),""))</f>
        <v/>
      </c>
      <c r="K71" s="13">
        <f>IF(T71&gt;0,"O Google leu como fórmula: escolha de novo na lista.",IF($P$71="","",IF(COUNTIF($P$69:$P$71,$P$71)&gt;1,"Bônus menor repetido: escolha 3 diferentes",IF(COUNTIF('Dados'!$AE$6:$AE$11,$P$71)=0,"Fora da lista de 11.3",""))))</f>
        <v/>
      </c>
      <c r="P71">
        <f>IF(ISERROR($B$71),"",IF(ISBLANK($B$71),"",$B$71))</f>
        <v/>
      </c>
      <c r="T71">
        <f>ISERROR($B$71)*1</f>
        <v/>
      </c>
    </row>
    <row r="72" ht="59" customHeight="1">
      <c r="A72" s="33" t="inlineStr">
        <is>
          <t>Técnica Principal: nome</t>
        </is>
      </c>
      <c r="B72" s="60" t="n"/>
      <c r="C72" s="29" t="n"/>
      <c r="D72" s="34" t="inlineStr">
        <is>
          <t>o que faz</t>
        </is>
      </c>
      <c r="E72" s="27" t="n"/>
      <c r="F72" s="28" t="n"/>
      <c r="G72" s="28" t="n"/>
      <c r="H72" s="29" t="n"/>
      <c r="K72" s="13">
        <f>IF(T72&gt;0,"O Google leu como fórmula: digite de novo com ' na frente.","")</f>
        <v/>
      </c>
      <c r="P72">
        <f>IF(ISERROR($B$72),"",IF(ISBLANK($B$72),"",$B$72))</f>
        <v/>
      </c>
      <c r="S72">
        <f>IF(ISERROR($E$72),"",IF(ISBLANK($E$72),"",$E$72))</f>
        <v/>
      </c>
      <c r="T72">
        <f>ISERROR($B$72)*1+ISERROR($E$72)*1</f>
        <v/>
      </c>
    </row>
    <row r="73" ht="60" customHeight="1">
      <c r="A73" s="8" t="inlineStr">
        <is>
          <t>Técnica Auxiliar: nome</t>
        </is>
      </c>
      <c r="B73" s="27" t="n"/>
      <c r="C73" s="29" t="n"/>
      <c r="D73" s="12" t="inlineStr">
        <is>
          <t>o que faz</t>
        </is>
      </c>
      <c r="E73" s="27" t="n"/>
      <c r="F73" s="28" t="n"/>
      <c r="G73" s="28" t="n"/>
      <c r="H73" s="29" t="n"/>
      <c r="K73" s="13">
        <f>IF(T73&gt;0,"O Google leu como fórmula: digite de novo com ' na frente.","")</f>
        <v/>
      </c>
      <c r="P73">
        <f>IF(ISERROR($B$73),"",IF(ISBLANK($B$73),"",$B$73))</f>
        <v/>
      </c>
      <c r="S73">
        <f>IF(ISERROR($E$73),"",IF(ISBLANK($E$73),"",$E$73))</f>
        <v/>
      </c>
      <c r="T73">
        <f>ISERROR($B$73)*1+ISERROR($E$73)*1</f>
        <v/>
      </c>
    </row>
    <row r="74">
      <c r="A74" s="7" t="inlineStr">
        <is>
          <t>Evolução (11.3)</t>
        </is>
      </c>
      <c r="B74" s="7" t="inlineStr">
        <is>
          <t>Nível</t>
        </is>
      </c>
      <c r="C74" s="7" t="inlineStr">
        <is>
          <t>Escolha (preencha)</t>
        </is>
      </c>
      <c r="D74" s="7" t="inlineStr">
        <is>
          <t>Efeito</t>
        </is>
      </c>
    </row>
    <row r="75" ht="37" customHeight="1">
      <c r="A75" s="16" t="inlineStr">
        <is>
          <t>Evolução 1</t>
        </is>
      </c>
      <c r="B75" s="22" t="n">
        <v>8</v>
      </c>
      <c r="C75" s="23" t="n"/>
      <c r="D75" s="4">
        <f>IF($Q$75="","",IFERROR(VLOOKUP($Q$75,'Dados'!$A$588:$B$590,2,FALSE),""))</f>
        <v/>
      </c>
      <c r="K75" s="13">
        <f>IF(T75&gt;0,"O Google leu como fórmula: escolha de novo na lista.",IF($Q$75="","",IF('Criação'!$A$14&lt;8,"Só a partir do nível 8. ","")&amp;IF(COUNTIF($Q$75:$Q$77,$Q$75)&gt;1,"Evolução repetida: cada uma só uma vez.","")))</f>
        <v/>
      </c>
      <c r="Q75">
        <f>IF(ISERROR($C$75),"",IF(ISBLANK($C$75),"",$C$75))</f>
        <v/>
      </c>
      <c r="T75">
        <f>ISERROR($C$75)*1</f>
        <v/>
      </c>
    </row>
    <row r="76" ht="37" customHeight="1">
      <c r="A76" s="18" t="inlineStr">
        <is>
          <t>Evolução 2</t>
        </is>
      </c>
      <c r="B76" s="21" t="n">
        <v>14</v>
      </c>
      <c r="C76" s="36" t="n"/>
      <c r="D76" s="9">
        <f>IF($Q$76="","",IFERROR(VLOOKUP($Q$76,'Dados'!$A$588:$B$590,2,FALSE),""))</f>
        <v/>
      </c>
      <c r="K76" s="13">
        <f>IF(T76&gt;0,"O Google leu como fórmula: escolha de novo na lista.",IF($Q$76="","",IF('Criação'!$A$14&lt;14,"Só a partir do nível 14. ","")&amp;IF(COUNTIF($Q$75:$Q$77,$Q$76)&gt;1,"Evolução repetida: cada uma só uma vez.","")))</f>
        <v/>
      </c>
      <c r="Q76">
        <f>IF(ISERROR($C$76),"",IF(ISBLANK($C$76),"",$C$76))</f>
        <v/>
      </c>
      <c r="T76">
        <f>ISERROR($C$76)*1</f>
        <v/>
      </c>
    </row>
    <row r="77" ht="37" customHeight="1">
      <c r="A77" s="16" t="inlineStr">
        <is>
          <t>Evolução 3</t>
        </is>
      </c>
      <c r="B77" s="22" t="n">
        <v>20</v>
      </c>
      <c r="C77" s="23" t="n"/>
      <c r="D77" s="4">
        <f>IF($Q$77="","",IFERROR(VLOOKUP($Q$77,'Dados'!$A$588:$B$590,2,FALSE),""))</f>
        <v/>
      </c>
      <c r="K77" s="13">
        <f>IF(T77&gt;0,"O Google leu como fórmula: escolha de novo na lista.",IF($Q$77="","",IF('Criação'!$A$14&lt;20,"Só a partir do nível 20. ","")&amp;IF(COUNTIF($Q$75:$Q$77,$Q$77)&gt;1,"Evolução repetida: cada uma só uma vez.","")))</f>
        <v/>
      </c>
      <c r="Q77">
        <f>IF(ISERROR($C$77),"",IF(ISBLANK($C$77),"",$C$77))</f>
        <v/>
      </c>
      <c r="T77">
        <f>ISERROR($C$77)*1</f>
        <v/>
      </c>
    </row>
    <row r="78" ht="37" customHeight="1">
      <c r="A78" s="33" t="inlineStr">
        <is>
          <t>Memória Desperta: +2 em</t>
        </is>
      </c>
      <c r="B78" s="36" t="n"/>
      <c r="C78" s="29" t="n"/>
      <c r="D78" s="35" t="n"/>
      <c r="K78" s="13">
        <f>IF(T78&gt;0,"O Google leu como fórmula: escolha de novo na lista.","")</f>
        <v/>
      </c>
      <c r="P78">
        <f>IF(ISERROR($B$78),"",IF(ISBLANK($B$78),"",$B$78))</f>
        <v/>
      </c>
      <c r="T78">
        <f>ISERROR($B$78)*1</f>
        <v/>
      </c>
    </row>
    <row r="79">
      <c r="A79" s="14" t="inlineStr">
        <is>
          <t>Estatísticas do Memoespírito (11.4, com Função, Bônus menores, Evoluções e Bênçãos)</t>
        </is>
      </c>
    </row>
    <row r="80">
      <c r="A80" s="8" t="inlineStr">
        <is>
          <t>PV</t>
        </is>
      </c>
      <c r="B80" s="17">
        <f>IF(($B$54="Sim"),8*'Criação'!$A$14+3*$C$62+IF($P$57="Guardião",3*'Criação'!$A$14,0)+IF((COUNTIF($P$69:$P$71,"Resistência Espiritual")&gt;0),2*'Criação'!$A$14,0)+IF((COUNTIF($I$27:$I$36,"Ecos do Passado")&gt;0),4*'Criação'!$A$14,0),"")</f>
        <v/>
      </c>
    </row>
    <row r="81">
      <c r="A81" s="8" t="inlineStr">
        <is>
          <t>Defesa</t>
        </is>
      </c>
      <c r="B81" s="17">
        <f>IF(($B$54="Sim"),10+$C$61+'Criação'!$C$14+IF(AND((COUNTIF($Q$75:$Q$77,"Memória Desperta")&gt;0),$P$78&lt;&gt;"Velocidade"),2,0),"")</f>
        <v/>
      </c>
    </row>
    <row r="82">
      <c r="A82" s="8" t="inlineStr">
        <is>
          <t>Velocidade</t>
        </is>
      </c>
      <c r="B82" s="17">
        <f>IF(($B$54="Sim"),10+$C$61+'Criação'!$B$37+IF((COUNTIF($P$69:$P$71,"Velocidade Espiritual")&gt;0),2,0)+IF(AND((COUNTIF($Q$75:$Q$77,"Memória Desperta")&gt;0),$P$78="Velocidade"),2,0),"")</f>
        <v/>
      </c>
    </row>
    <row r="83" ht="26" customHeight="1">
      <c r="A83" s="8" t="inlineStr">
        <is>
          <t>Teste de Ataque (número)</t>
        </is>
      </c>
      <c r="B83" s="17">
        <f>IF(($B$54="Sim"),'Criação'!$B$55+IFERROR(INDEX($C$60:$C$65,MATCH($D$67,$A$60:$A$65,0)),0)+'Criação'!$C$14,"")</f>
        <v/>
      </c>
    </row>
    <row r="84">
      <c r="A84" s="8" t="inlineStr">
        <is>
          <t>Teste de Ataque</t>
        </is>
      </c>
      <c r="B84" s="17">
        <f>IF(($B$54="Sim"),"d20"&amp;IF($B$83&gt;=0,"+","")&amp;$B$83,"")</f>
        <v/>
      </c>
    </row>
    <row r="85">
      <c r="A85" s="8" t="inlineStr">
        <is>
          <t>Dados de dano (d6)</t>
        </is>
      </c>
      <c r="B85" s="17">
        <f>IF(($B$54="Sim"),'Criação'!$D$16+IF('Criação'!$Q$108="",0,IFERROR(VLOOKUP('Criação'!$Q$108,'Dados'!$A$464:$J$469,3,FALSE),1)-1)+IF((COUNTIF($Q$75:$Q$77,"Forma Completa")&gt;0),1,0),"")</f>
        <v/>
      </c>
    </row>
    <row r="86">
      <c r="A86" s="8" t="inlineStr">
        <is>
          <t>Dano fixo</t>
        </is>
      </c>
      <c r="B86" s="17">
        <f>IF(($B$54="Sim"),IFERROR(INDEX($C$60:$C$65,MATCH($D$67,$A$60:$A$65,0)),0)+IF((COUNTIF($P$69:$P$71,"Força Espiritual")&gt;0),2,0)+IF((COUNTIF($I$27:$I$36,"Ecos do Passado")&gt;0),'Criação'!$B$55,0),"")</f>
        <v/>
      </c>
    </row>
    <row r="87">
      <c r="A87" s="8" t="inlineStr">
        <is>
          <t>Dano do ataque</t>
        </is>
      </c>
      <c r="B87" s="17">
        <f>IF(($B$54="Sim"),IF($B$85&lt;=0,""&amp;$B$86,$B$85&amp;"d"&amp;6&amp;IF($B$86&gt;0,"+"&amp;$B$86,IF($B$86&lt;0,""&amp;$B$86,""))),"")</f>
        <v/>
      </c>
    </row>
    <row r="88">
      <c r="A88" s="8" t="inlineStr">
        <is>
          <t>Média do dano</t>
        </is>
      </c>
      <c r="B88" s="17">
        <f>IF(($B$54="Sim"),INT($B$85*7/2)+$B$86,"")</f>
        <v/>
      </c>
    </row>
    <row r="89" ht="26" customHeight="1">
      <c r="A89" s="8" t="inlineStr">
        <is>
          <t>Média contra Fraqueza (+2 dados)</t>
        </is>
      </c>
      <c r="B89" s="17">
        <f>IF(($B$54="Sim"),INT(($B$85+2)*7/2)+$B$86,"")</f>
        <v/>
      </c>
    </row>
    <row r="90">
      <c r="A90" s="8" t="inlineStr">
        <is>
          <t>Redução de Tenacidade</t>
        </is>
      </c>
      <c r="B90" s="17">
        <f>IF(($B$54="Sim"),IF('Criação'!$A$14&gt;=11,2,1)+IF((COUNTIF($I$27:$I$36,"Eternidade Recordada")&gt;0),1,0),"")</f>
        <v/>
      </c>
    </row>
    <row r="91">
      <c r="A91" s="8" t="inlineStr">
        <is>
          <t>RD</t>
        </is>
      </c>
      <c r="B91" s="17">
        <f>IF(($B$54="Sim"),IF((COUNTIF($P$69:$P$71,"Resistência Espiritual")&gt;0),1,0),"")</f>
        <v/>
      </c>
    </row>
    <row r="92">
      <c r="A92" s="8" t="inlineStr">
        <is>
          <t>Função Predador</t>
        </is>
      </c>
      <c r="B92" s="17">
        <f>IF(AND(($B$54="Sim"),$P$57="Predador"),"+1d8 de dano nos ataques dele","")</f>
        <v/>
      </c>
    </row>
    <row r="93"/>
    <row r="94">
      <c r="A94" s="14" t="inlineStr">
        <is>
          <t>Escolhas permanentes de Bênção (só vale com a Bênção adquirida)</t>
        </is>
      </c>
    </row>
    <row r="95" ht="49" customHeight="1">
      <c r="A95" s="8" t="inlineStr">
        <is>
          <t>Fragmentos do Eu Perdido: Memória escolhida</t>
        </is>
      </c>
      <c r="B95" s="23" t="n"/>
      <c r="C95" s="29" t="n"/>
      <c r="D95" s="4">
        <f>"Fúria: +1d8 nos ataques dele e nos seus com ele ativo · Guarda: +Eficiência de Defesa com ele ativo · Sabedoria: Eficácia em um Teste de Perícia, 2 vezes por dia"</f>
        <v/>
      </c>
      <c r="K95" s="13">
        <f>IF(T95&gt;0,"O Google leu como fórmula: escolha de novo na lista.",IF($P$95="","",IF(OR($P$95="Fúria",$P$95="Guarda",$P$95="Sabedoria"),"","Escolha uma opção da lista. ")&amp;IF((COUNTIF($I$27:$I$36,"Fragmentos do Eu Perdido")&gt;0),"","Só vale com a Bênção Fragmentos do Eu Perdido num slot liberado.")))</f>
        <v/>
      </c>
      <c r="P95">
        <f>IF(ISERROR($B$95),"",IF(ISBLANK($B$95),"",$B$95))</f>
        <v/>
      </c>
      <c r="T95">
        <f>ISERROR($B$95)*1</f>
        <v/>
      </c>
    </row>
    <row r="96" ht="49" customHeight="1">
      <c r="A96" s="8" t="inlineStr">
        <is>
          <t>Avatar da Recordação: Forma escolhida</t>
        </is>
      </c>
      <c r="B96" s="23" t="n"/>
      <c r="C96" s="29" t="n"/>
      <c r="D96" s="4">
        <f>"Manifestada: o Memoespírito ganha +1 Distância e +2 dados · Sincronizada: você ganha PV +2 × nível, +1 de Defesa e +1 dado base nos seus ataques"</f>
        <v/>
      </c>
      <c r="K96" s="13">
        <f>IF(T96&gt;0,"O Google leu como fórmula: escolha de novo na lista.",IF($P$96="","",IF(OR($P$96="Manifestada",$P$96="Sincronizada"),"","Escolha uma opção da lista. ")&amp;IF((COUNTIF($I$27:$I$36,"Avatar da Recordação")&gt;0),"","Só vale com a Bênção Avatar da Recordação num slot liberado.")))</f>
        <v/>
      </c>
      <c r="P96">
        <f>IF(ISERROR($B$96),"",IF(ISBLANK($B$96),"",$B$96))</f>
        <v/>
      </c>
      <c r="T96">
        <f>ISERROR($B$96)*1</f>
        <v/>
      </c>
    </row>
  </sheetData>
  <mergeCells count="106">
    <mergeCell ref="B91:C91"/>
    <mergeCell ref="G21:H21"/>
    <mergeCell ref="K95:L95"/>
    <mergeCell ref="K33:L33"/>
    <mergeCell ref="E8:F8"/>
    <mergeCell ref="K26:L26"/>
    <mergeCell ref="K35:L35"/>
    <mergeCell ref="B86:C86"/>
    <mergeCell ref="B67:C67"/>
    <mergeCell ref="K76:L76"/>
    <mergeCell ref="D76:H76"/>
    <mergeCell ref="K58:L58"/>
    <mergeCell ref="B69:C69"/>
    <mergeCell ref="D75:H75"/>
    <mergeCell ref="K67:L67"/>
    <mergeCell ref="B78:C78"/>
    <mergeCell ref="D96:I96"/>
    <mergeCell ref="E73:H73"/>
    <mergeCell ref="A22:B22"/>
    <mergeCell ref="K28:L28"/>
    <mergeCell ref="A13:H13"/>
    <mergeCell ref="G22:H22"/>
    <mergeCell ref="K69:L69"/>
    <mergeCell ref="C25:E25"/>
    <mergeCell ref="K78:L78"/>
    <mergeCell ref="D95:I95"/>
    <mergeCell ref="K30:L30"/>
    <mergeCell ref="A15:H15"/>
    <mergeCell ref="B90:C90"/>
    <mergeCell ref="A3:L3"/>
    <mergeCell ref="K55:L55"/>
    <mergeCell ref="K64:L64"/>
    <mergeCell ref="D2:E2"/>
    <mergeCell ref="D57:H57"/>
    <mergeCell ref="A16:H16"/>
    <mergeCell ref="K32:L32"/>
    <mergeCell ref="A5:L5"/>
    <mergeCell ref="K63:L63"/>
    <mergeCell ref="K72:L72"/>
    <mergeCell ref="B7:H7"/>
    <mergeCell ref="K96:L96"/>
    <mergeCell ref="A18:H18"/>
    <mergeCell ref="K56:L56"/>
    <mergeCell ref="A38:L38"/>
    <mergeCell ref="K27:L27"/>
    <mergeCell ref="B84:C84"/>
    <mergeCell ref="A24:L24"/>
    <mergeCell ref="B6:C6"/>
    <mergeCell ref="B80:C80"/>
    <mergeCell ref="B95:C95"/>
    <mergeCell ref="B89:C89"/>
    <mergeCell ref="K66:L66"/>
    <mergeCell ref="D54:H54"/>
    <mergeCell ref="D69:H69"/>
    <mergeCell ref="B9:H9"/>
    <mergeCell ref="B72:C72"/>
    <mergeCell ref="B81:C81"/>
    <mergeCell ref="B55:E55"/>
    <mergeCell ref="B56:C56"/>
    <mergeCell ref="B71:C71"/>
    <mergeCell ref="B96:C96"/>
    <mergeCell ref="K54:L54"/>
    <mergeCell ref="B58:C58"/>
    <mergeCell ref="K60:L60"/>
    <mergeCell ref="K29:L29"/>
    <mergeCell ref="K31:L31"/>
    <mergeCell ref="B57:C57"/>
    <mergeCell ref="B88:C88"/>
    <mergeCell ref="B82:C82"/>
    <mergeCell ref="A20:L20"/>
    <mergeCell ref="A21:B21"/>
    <mergeCell ref="E6:F6"/>
    <mergeCell ref="K71:L71"/>
    <mergeCell ref="D71:H71"/>
    <mergeCell ref="B83:C83"/>
    <mergeCell ref="A17:H17"/>
    <mergeCell ref="B92:C92"/>
    <mergeCell ref="K73:L73"/>
    <mergeCell ref="K65:L65"/>
    <mergeCell ref="D67:E67"/>
    <mergeCell ref="J2:K2"/>
    <mergeCell ref="B85:C85"/>
    <mergeCell ref="K57:L57"/>
    <mergeCell ref="K34:L34"/>
    <mergeCell ref="E72:H72"/>
    <mergeCell ref="G8:H8"/>
    <mergeCell ref="K36:L36"/>
    <mergeCell ref="B70:C70"/>
    <mergeCell ref="D77:H77"/>
    <mergeCell ref="K75:L75"/>
    <mergeCell ref="D70:H70"/>
    <mergeCell ref="A53:L53"/>
    <mergeCell ref="B73:C73"/>
    <mergeCell ref="A12:H12"/>
    <mergeCell ref="B87:C87"/>
    <mergeCell ref="K59:L59"/>
    <mergeCell ref="K77:L77"/>
    <mergeCell ref="A14:H14"/>
    <mergeCell ref="K61:L61"/>
    <mergeCell ref="D56:H56"/>
    <mergeCell ref="K70:L70"/>
    <mergeCell ref="A11:L11"/>
    <mergeCell ref="A1:L1"/>
    <mergeCell ref="A94:L94"/>
    <mergeCell ref="A79:L79"/>
    <mergeCell ref="K62:L62"/>
  </mergeCells>
  <conditionalFormatting sqref="A54:K92">
    <cfRule type="expression" priority="1" dxfId="1">
      <formula>$B$54="Não"</formula>
    </cfRule>
  </conditionalFormatting>
  <conditionalFormatting sqref="K27">
    <cfRule type="expression" priority="2" dxfId="0">
      <formula>LEN(K27)&gt;0</formula>
    </cfRule>
  </conditionalFormatting>
  <conditionalFormatting sqref="K28">
    <cfRule type="expression" priority="3" dxfId="0">
      <formula>LEN(K28)&gt;0</formula>
    </cfRule>
  </conditionalFormatting>
  <conditionalFormatting sqref="K29">
    <cfRule type="expression" priority="4" dxfId="0">
      <formula>LEN(K29)&gt;0</formula>
    </cfRule>
  </conditionalFormatting>
  <conditionalFormatting sqref="K30">
    <cfRule type="expression" priority="5" dxfId="0">
      <formula>LEN(K30)&gt;0</formula>
    </cfRule>
  </conditionalFormatting>
  <conditionalFormatting sqref="K31">
    <cfRule type="expression" priority="6" dxfId="0">
      <formula>LEN(K31)&gt;0</formula>
    </cfRule>
  </conditionalFormatting>
  <conditionalFormatting sqref="K32">
    <cfRule type="expression" priority="7" dxfId="0">
      <formula>LEN(K32)&gt;0</formula>
    </cfRule>
  </conditionalFormatting>
  <conditionalFormatting sqref="K33">
    <cfRule type="expression" priority="8" dxfId="0">
      <formula>LEN(K33)&gt;0</formula>
    </cfRule>
  </conditionalFormatting>
  <conditionalFormatting sqref="K34">
    <cfRule type="expression" priority="9" dxfId="0">
      <formula>LEN(K34)&gt;0</formula>
    </cfRule>
  </conditionalFormatting>
  <conditionalFormatting sqref="K35">
    <cfRule type="expression" priority="10" dxfId="0">
      <formula>LEN(K35)&gt;0</formula>
    </cfRule>
  </conditionalFormatting>
  <conditionalFormatting sqref="K36">
    <cfRule type="expression" priority="11" dxfId="0">
      <formula>LEN(K36)&gt;0</formula>
    </cfRule>
  </conditionalFormatting>
  <conditionalFormatting sqref="K60">
    <cfRule type="expression" priority="12" dxfId="0">
      <formula>LEN(K60)&gt;0</formula>
    </cfRule>
  </conditionalFormatting>
  <conditionalFormatting sqref="K61">
    <cfRule type="expression" priority="13" dxfId="0">
      <formula>LEN(K61)&gt;0</formula>
    </cfRule>
  </conditionalFormatting>
  <conditionalFormatting sqref="K62">
    <cfRule type="expression" priority="14" dxfId="0">
      <formula>LEN(K62)&gt;0</formula>
    </cfRule>
  </conditionalFormatting>
  <conditionalFormatting sqref="K63">
    <cfRule type="expression" priority="15" dxfId="0">
      <formula>LEN(K63)&gt;0</formula>
    </cfRule>
  </conditionalFormatting>
  <conditionalFormatting sqref="K64">
    <cfRule type="expression" priority="16" dxfId="0">
      <formula>LEN(K64)&gt;0</formula>
    </cfRule>
  </conditionalFormatting>
  <conditionalFormatting sqref="K65">
    <cfRule type="expression" priority="17" dxfId="0">
      <formula>LEN(K65)&gt;0</formula>
    </cfRule>
  </conditionalFormatting>
  <conditionalFormatting sqref="K66">
    <cfRule type="expression" priority="18" dxfId="0">
      <formula>LEN(K66)&gt;0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5">
    <cfRule type="expression" priority="22" dxfId="0">
      <formula>LEN(K75)&gt;0</formula>
    </cfRule>
  </conditionalFormatting>
  <conditionalFormatting sqref="K76">
    <cfRule type="expression" priority="23" dxfId="0">
      <formula>LEN(K76)&gt;0</formula>
    </cfRule>
  </conditionalFormatting>
  <conditionalFormatting sqref="K77">
    <cfRule type="expression" priority="24" dxfId="0">
      <formula>LEN(K77)&gt;0</formula>
    </cfRule>
  </conditionalFormatting>
  <conditionalFormatting sqref="K54">
    <cfRule type="expression" priority="25" dxfId="0">
      <formula>LEN(K54)&gt;0</formula>
    </cfRule>
  </conditionalFormatting>
  <conditionalFormatting sqref="K95">
    <cfRule type="expression" priority="26" dxfId="0">
      <formula>LEN(K95)&gt;0</formula>
    </cfRule>
  </conditionalFormatting>
  <conditionalFormatting sqref="K96">
    <cfRule type="expression" priority="27" dxfId="0">
      <formula>LEN(K96)&gt;0</formula>
    </cfRule>
  </conditionalFormatting>
  <conditionalFormatting sqref="K55">
    <cfRule type="expression" priority="28" dxfId="0">
      <formula>LEN(K55)&gt;0</formula>
    </cfRule>
  </conditionalFormatting>
  <conditionalFormatting sqref="K56">
    <cfRule type="expression" priority="29" dxfId="0">
      <formula>LEN(K56)&gt;0</formula>
    </cfRule>
  </conditionalFormatting>
  <conditionalFormatting sqref="K57">
    <cfRule type="expression" priority="30" dxfId="0">
      <formula>LEN(K57)&gt;0</formula>
    </cfRule>
  </conditionalFormatting>
  <conditionalFormatting sqref="K58">
    <cfRule type="expression" priority="31" dxfId="0">
      <formula>LEN(K58)&gt;0</formula>
    </cfRule>
  </conditionalFormatting>
  <conditionalFormatting sqref="K67">
    <cfRule type="expression" priority="32" dxfId="0">
      <formula>LEN(K67)&gt;0</formula>
    </cfRule>
  </conditionalFormatting>
  <conditionalFormatting sqref="K72">
    <cfRule type="expression" priority="33" dxfId="0">
      <formula>LEN(K72)&gt;0</formula>
    </cfRule>
  </conditionalFormatting>
  <conditionalFormatting sqref="K73">
    <cfRule type="expression" priority="34" dxfId="0">
      <formula>LEN(K73)&gt;0</formula>
    </cfRule>
  </conditionalFormatting>
  <conditionalFormatting sqref="K78">
    <cfRule type="expression" priority="35" dxfId="0">
      <formula>LEN(K78)&gt;0</formula>
    </cfRule>
  </conditionalFormatting>
  <dataValidations count="29">
    <dataValidation sqref="C27" showDropDown="0" showInputMessage="0" showErrorMessage="1" allowBlank="1" errorTitle="Fora da lista" error="Bênção do slot 1: escolha um valor da lista. A ficha pode não reconhecer outro valor." type="list" errorStyle="warning">
      <formula1>$N$27:$N$38</formula1>
    </dataValidation>
    <dataValidation sqref="C28" showDropDown="0" showInputMessage="0" showErrorMessage="1" allowBlank="1" errorTitle="Fora da lista" error="Bênção do slot 2: escolha um valor da lista. A ficha pode não reconhecer outro valor." type="list" errorStyle="warning">
      <formula1>$N$27:$N$38</formula1>
    </dataValidation>
    <dataValidation sqref="C29" showDropDown="0" showInputMessage="0" showErrorMessage="1" allowBlank="1" errorTitle="Fora da lista" error="Bênção do slot 3: escolha um valor da lista. A ficha pode não reconhecer outro valor." type="list" errorStyle="warning">
      <formula1>$N$27:$N$38</formula1>
    </dataValidation>
    <dataValidation sqref="C30" showDropDown="0" showInputMessage="0" showErrorMessage="1" allowBlank="1" errorTitle="Fora da lista" error="Bênção do slot 4: escolha um valor da lista. A ficha pode não reconhecer outro valor." type="list" errorStyle="warning">
      <formula1>$N$27:$N$38</formula1>
    </dataValidation>
    <dataValidation sqref="C31" showDropDown="0" showInputMessage="0" showErrorMessage="1" allowBlank="1" errorTitle="Fora da lista" error="Bênção do slot 5: escolha um valor da lista. A ficha pode não reconhecer outro valor." type="list" errorStyle="warning">
      <formula1>$N$27:$N$38</formula1>
    </dataValidation>
    <dataValidation sqref="C32" showDropDown="0" showInputMessage="0" showErrorMessage="1" allowBlank="1" errorTitle="Fora da lista" error="Bênção do slot 6: escolha um valor da lista. A ficha pode não reconhecer outro valor." type="list" errorStyle="warning">
      <formula1>$N$27:$N$38</formula1>
    </dataValidation>
    <dataValidation sqref="C33" showDropDown="0" showInputMessage="0" showErrorMessage="1" allowBlank="1" errorTitle="Fora da lista" error="Bênção do slot 7: escolha um valor da lista. A ficha pode não reconhecer outro valor." type="list" errorStyle="warning">
      <formula1>$N$27:$N$38</formula1>
    </dataValidation>
    <dataValidation sqref="C34" showDropDown="0" showInputMessage="0" showErrorMessage="1" allowBlank="1" errorTitle="Fora da lista" error="Bênção do slot 8: escolha um valor da lista. A ficha pode não reconhecer outro valor." type="list" errorStyle="warning">
      <formula1>$N$27:$N$38</formula1>
    </dataValidation>
    <dataValidation sqref="C35" showDropDown="0" showInputMessage="0" showErrorMessage="1" allowBlank="1" errorTitle="Fora da lista" error="Bênção do slot 9: escolha um valor da lista. A ficha pode não reconhecer outro valor." type="list" errorStyle="warning">
      <formula1>$N$27:$N$38</formula1>
    </dataValidation>
    <dataValidation sqref="C36" showDropDown="0" showInputMessage="0" showErrorMessage="1" allowBlank="1" errorTitle="Fora da lista" error="Bênção do slot 10: escolha um valor da lista. A ficha pode não reconhecer outro valor." type="list" errorStyle="warning">
      <formula1>$N$27:$N$38</formula1>
    </dataValidation>
    <dataValidation sqref="B56" showDropDown="0" showInputMessage="0" showErrorMessage="1" allowBlank="1" errorTitle="Fora da lista" error="Conceito (11.3 Passo 2): escolha um valor da lista. A ficha pode não reconhecer outro valor." type="list" errorStyle="warning">
      <formula1>'Dados'!$AC$6:$AC$10</formula1>
    </dataValidation>
    <dataValidation sqref="B57" showDropDown="0" showInputMessage="0" showErrorMessage="1" allowBlank="1" errorTitle="Fora da lista" error="Função (11.3 Passo 3): escolha um valor da lista. A ficha pode não reconhecer outro valor." type="list" errorStyle="warning">
      <formula1>'Dados'!$AD$6:$AD$9</formula1>
    </dataValidation>
    <dataValidation sqref="B58" showDropDown="0" showInputMessage="0" showErrorMessage="1" allowBlank="1" errorTitle="Fora da lista" error="Elemento dele: escolha um valor da lista. A ficha pode não reconhecer outro valor." type="list" errorStyle="warning">
      <formula1>'Dados'!$R$6:$R$12</formula1>
    </dataValidation>
    <dataValidation sqref="B60" showDropDown="0" showInputMessage="0" showErrorMessage="1" allowBlank="1" errorTitle="Valor fora da faixa" error="Pontos em Poder: use um número inteiro de 0 a 5." type="whole" errorStyle="warning" operator="between">
      <formula1>0</formula1>
      <formula2>5</formula2>
    </dataValidation>
    <dataValidation sqref="B61" showDropDown="0" showInputMessage="0" showErrorMessage="1" allowBlank="1" errorTitle="Valor fora da faixa" error="Pontos em Agilidade: use um número inteiro de 0 a 5." type="whole" errorStyle="warning" operator="between">
      <formula1>0</formula1>
      <formula2>5</formula2>
    </dataValidation>
    <dataValidation sqref="B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Valor fora da faixa" error="Pontos em Sincronia: use um número inteiro de 0 a 5." type="whole" errorStyle="warning" operator="between">
      <formula1>0</formula1>
      <formula2>5</formula2>
    </dataValidation>
    <dataValidation sqref="B64" showDropDown="0" showInputMessage="0" showErrorMessage="1" allowBlank="1" errorTitle="Valor fora da faixa" error="Pontos em Discernimento: use um número inteiro de 0 a 5." type="whole" errorStyle="warning" operator="between">
      <formula1>0</formula1>
      <formula2>5</formula2>
    </dataValidation>
    <dataValidation sqref="B65" showDropDown="0" showInputMessage="0" showErrorMessage="1" allowBlank="1" errorTitle="Valor fora da faixa" error="Pontos em Presença: use um número inteiro de 0 a 5." type="whole" errorStyle="warning" operator="between">
      <formula1>0</formula1>
      <formula2>5</formula2>
    </dataValidation>
    <dataValidation sqref="B67" showDropDown="0" showInputMessage="0" showErrorMessage="1" allowBlank="1" errorTitle="Fora da lista" error="Atributo de ataque: escolha um valor da lista. A ficha pode não reconhecer outro valor." type="list" errorStyle="warning">
      <formula1>'Dados'!$Q$6:$Q$11</formula1>
    </dataValidation>
    <dataValidation sqref="B69" showDropDown="0" showInputMessage="0" showErrorMessage="1" allowBlank="1" errorTitle="Fora da lista" error="Bônus menor 1: escolha um valor da lista. A ficha pode não reconhecer outro valor." type="list" errorStyle="warning">
      <formula1>'Dados'!$AE$6:$AE$11</formula1>
    </dataValidation>
    <dataValidation sqref="B70" showDropDown="0" showInputMessage="0" showErrorMessage="1" allowBlank="1" errorTitle="Fora da lista" error="Bônus menor 2: escolha um valor da lista. A ficha pode não reconhecer outro valor." type="list" errorStyle="warning">
      <formula1>'Dados'!$AE$6:$AE$11</formula1>
    </dataValidation>
    <dataValidation sqref="B71" showDropDown="0" showInputMessage="0" showErrorMessage="1" allowBlank="1" errorTitle="Fora da lista" error="Bônus menor 3: escolha um valor da lista. A ficha pode não reconhecer outro valor." type="list" errorStyle="warning">
      <formula1>'Dados'!$AE$6:$AE$11</formula1>
    </dataValidation>
    <dataValidation sqref="C75" showDropDown="0" showInputMessage="0" showErrorMessage="1" allowBlank="1" errorTitle="Fora da lista" error="Evolução do nível 8: escolha um valor da lista. A ficha pode não reconhecer outro valor." type="list" errorStyle="warning">
      <formula1>'Dados'!$AF$6:$AF$8</formula1>
    </dataValidation>
    <dataValidation sqref="C76" showDropDown="0" showInputMessage="0" showErrorMessage="1" allowBlank="1" errorTitle="Fora da lista" error="Evolução do nível 14: escolha um valor da lista. A ficha pode não reconhecer outro valor." type="list" errorStyle="warning">
      <formula1>'Dados'!$AF$6:$AF$8</formula1>
    </dataValidation>
    <dataValidation sqref="C77" showDropDown="0" showInputMessage="0" showErrorMessage="1" allowBlank="1" errorTitle="Fora da lista" error="Evolução do nível 20: escolha um valor da lista. A ficha pode não reconhecer outro valor." type="list" errorStyle="warning">
      <formula1>'Dados'!$AF$6:$AF$8</formula1>
    </dataValidation>
    <dataValidation sqref="B78" showDropDown="0" showInputMessage="0" showErrorMessage="1" allowBlank="1" errorTitle="Fora da lista" error="Memória Desperta: escolha um valor da lista. A ficha pode não reconhecer outro valor." type="list" errorStyle="warning">
      <formula1>"Defesa,Velocidade"</formula1>
    </dataValidation>
    <dataValidation sqref="B95" showDropDown="0" showInputMessage="0" showErrorMessage="1" allowBlank="1" errorTitle="Fora da lista" error="Fragmentos do Eu Perdido: Memória escolhida: escolha um valor da lista. A ficha pode não reconhecer outro valor." type="list" errorStyle="warning">
      <formula1>"Fúria,Guarda,Sabedoria"</formula1>
    </dataValidation>
    <dataValidation sqref="B96" showDropDown="0" showInputMessage="0" showErrorMessage="1" allowBlank="1" errorTitle="Fora da lista" error="Avatar da Recordação: Forma escolhida: escolha um valor da lista. A ficha pode não reconhecer outro valor." type="list" errorStyle="warning">
      <formula1>"Manifestada,Sincronizada"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97"/>
  <sheetViews>
    <sheetView showGridLines="1" workbookViewId="0">
      <selection activeCell="A1" sqref="A1"/>
    </sheetView>
  </sheetViews>
  <sheetFormatPr baseColWidth="8" defaultRowHeight="15"/>
  <cols>
    <col width="20" customWidth="1" min="1" max="1"/>
    <col width="18" customWidth="1" min="2" max="2"/>
    <col width="16" customWidth="1" min="3" max="3"/>
    <col width="13" customWidth="1" min="4" max="4"/>
    <col width="14" customWidth="1" min="5" max="5"/>
    <col width="20" customWidth="1" min="6" max="6"/>
    <col width="11" customWidth="1" min="7" max="7"/>
    <col width="10" customWidth="1" min="8" max="8"/>
    <col width="11.8" customWidth="1" min="9" max="9"/>
    <col width="13" customWidth="1" min="10" max="10"/>
    <col width="12" customWidth="1" min="11" max="11"/>
    <col width="27.071" customWidth="1" min="12" max="12"/>
    <col hidden="1" width="2" customWidth="1" min="13" max="13"/>
    <col hidden="1" width="2" customWidth="1" min="14" max="14"/>
    <col hidden="1" width="2" customWidth="1" min="15" max="15"/>
    <col hidden="1" width="8.6" customWidth="1" min="16" max="16"/>
    <col hidden="1" width="4.7" customWidth="1" min="17" max="17"/>
    <col hidden="1" width="3.4" customWidth="1" min="18" max="18"/>
    <col hidden="1" width="5.5" customWidth="1" min="19" max="19"/>
    <col hidden="1" width="3.4" customWidth="1" min="20" max="20"/>
    <col hidden="1" width="2" customWidth="1" min="21" max="21"/>
    <col hidden="1" width="9.300000000000001" customWidth="1" min="22" max="22"/>
    <col hidden="1" width="7.8" customWidth="1" min="23" max="23"/>
    <col hidden="1" width="2" customWidth="1" min="24" max="24"/>
    <col hidden="1" width="11.8" customWidth="1" min="25" max="25"/>
    <col hidden="1" width="2" customWidth="1" min="26" max="26"/>
    <col hidden="1" width="8" customWidth="1" min="27" max="27"/>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s>
  <sheetData>
    <row r="1" ht="24" customHeight="1">
      <c r="A1" s="1" t="inlineStr">
        <is>
          <t>Equipamento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J2" s="10" t="inlineStr">
        <is>
          <t>Não se aplica</t>
        </is>
      </c>
    </row>
    <row r="3">
      <c r="A3" s="11" t="inlineStr">
        <is>
          <t>Arma, armadura, Cone de Luz, Relíquias, inventário e Créditos.</t>
        </is>
      </c>
    </row>
    <row r="4"/>
    <row r="5">
      <c r="A5" s="14" t="inlineStr">
        <is>
          <t>Armas e armadura — a arma principal e a armadura vêm da aba Criação (Passos 8 e 12)</t>
        </is>
      </c>
    </row>
    <row r="6" ht="37" customHeight="1">
      <c r="A6" s="7" t="inlineStr">
        <is>
          <t>Arma</t>
        </is>
      </c>
      <c r="B6" s="7" t="inlineStr">
        <is>
          <t>Nome</t>
        </is>
      </c>
      <c r="C6" s="7" t="inlineStr">
        <is>
          <t>Categoria</t>
        </is>
      </c>
      <c r="D6" s="7" t="inlineStr">
        <is>
          <t>Atributo (só arma Média)</t>
        </is>
      </c>
      <c r="E6" s="7" t="inlineStr">
        <is>
          <t>Elemento próprio</t>
        </is>
      </c>
      <c r="F6" s="7" t="inlineStr">
        <is>
          <t>Propriedade especial</t>
        </is>
      </c>
      <c r="G6" s="7" t="inlineStr">
        <is>
          <t>Espaço</t>
        </is>
      </c>
      <c r="H6" s="7" t="inlineStr">
        <is>
          <t>Dados base</t>
        </is>
      </c>
      <c r="I6" s="7" t="inlineStr">
        <is>
          <t>Atributo de ataque</t>
        </is>
      </c>
      <c r="J6" s="7" t="inlineStr">
        <is>
          <t>Elemento do Ataque Básico</t>
        </is>
      </c>
      <c r="K6" s="7" t="inlineStr">
        <is>
          <t>Aviso</t>
        </is>
      </c>
      <c r="L6" s="15" t="n"/>
    </row>
    <row r="7" ht="37" customHeight="1">
      <c r="A7" s="8" t="inlineStr">
        <is>
          <t>Principal (edite na aba Criação)</t>
        </is>
      </c>
      <c r="B7" s="4">
        <f>IF(LEN('Criação'!$Q$107)=0,"—",""&amp;'Criação'!$Q$107)</f>
        <v/>
      </c>
      <c r="C7" s="4">
        <f>IF(LEN('Criação'!$Q$108)=0,"—",""&amp;'Criação'!$Q$108)</f>
        <v/>
      </c>
      <c r="D7" s="4">
        <f>IF(LEN('Criação'!$Q$109)=0,"—",""&amp;'Criação'!$Q$109)</f>
        <v/>
      </c>
      <c r="E7" s="4">
        <f>IF(LEN('Criação'!$Q$110)=0,"—",""&amp;'Criação'!$Q$110)</f>
        <v/>
      </c>
      <c r="F7" s="22">
        <f>IF(LEN('Criação'!$Q$111)=0,"Nenhuma",""&amp;'Criação'!$Q$111)</f>
        <v/>
      </c>
      <c r="G7" s="22">
        <f>'Criação'!$B$113</f>
        <v/>
      </c>
      <c r="H7" s="22">
        <f>IF('Criação'!$Q$108="","",IFERROR(VLOOKUP('Criação'!$Q$108,'Dados'!$A$464:$J$469,2,FALSE),""))</f>
        <v/>
      </c>
      <c r="I7" s="22">
        <f>'Criação'!$D$109</f>
        <v/>
      </c>
      <c r="J7" s="22">
        <f>IF('Criação'!$Q$108="","",'Criação'!$D$110)</f>
        <v/>
      </c>
    </row>
    <row r="8" ht="94" customHeight="1">
      <c r="A8" s="33" t="inlineStr">
        <is>
          <t>Secundária (preencha)</t>
        </is>
      </c>
      <c r="B8" s="60" t="n"/>
      <c r="C8" s="36" t="n"/>
      <c r="D8" s="36" t="n"/>
      <c r="E8" s="36" t="n"/>
      <c r="F8" s="36" t="n"/>
      <c r="G8" s="21">
        <f>IF($AE$8="",0,IF($AH$8="Dissimulada",0.5,IFERROR(VLOOKUP($AE$8,'Dados'!$A$464:$J$469,8,FALSE),0)))</f>
        <v/>
      </c>
      <c r="H8" s="21">
        <f>IF($AE$8="","",IFERROR(VLOOKUP($AE$8,'Dados'!$A$464:$J$469,2,FALSE),""))</f>
        <v/>
      </c>
      <c r="I8" s="9">
        <f>IF($AE$8="","",IF($AE$8="Média",IF(OR($AF$8="Poder",$AF$8="Agilidade"),$AF$8,"Poder"),IFERROR(VLOOKUP($AE$8,'Dados'!$A$464:$J$469,6,FALSE),"")))</f>
        <v/>
      </c>
      <c r="J8" s="21">
        <f>IF($AE$8="","",IF($AG$8="","Físico",$AG$8))</f>
        <v/>
      </c>
      <c r="K8" s="20">
        <f>IF(AM8&gt;0,"O Google leu como fórmula: escolha de novo ou digite com ' na frente.",IF(AND($AE$8&lt;&gt;"",COUNTIF('Dados'!$T$6:$T$11,$AE$8)=0),"Categoria fora da lista do capítulo 24. ","")&amp;IF(AND($AF$8&lt;&gt;"",$AE$8&lt;&gt;"Média"),"O atributo só se escolhe na arma Média. ","")&amp;IF(AND($AE$8="Média",$AF$8=""),"Arma Média: escolha Poder ou Agilidade (contando Poder). ","")&amp;IF(AND($AG$8&lt;&gt;"",COUNTIF('Dados'!$R$6:$R$12,$AG$8)=0),"Elemento fora da lista do capítulo 20. ","")&amp;IF(AND($AH$8&lt;&gt;"",COUNTIF('Dados'!$V$6:$V$10,$AH$8)=0),"Só uma propriedade especial por arma (24.2): escolha uma da lista. ","")&amp;IF(AND($AE$8="",OR(LEN($AD$8)&gt;0,$AF$8&lt;&gt;"",$AG$8&lt;&gt;"",$AH$8&lt;&gt;"")),"Escolha a categoria da arma secundária.",""))</f>
        <v/>
      </c>
      <c r="AD8">
        <f>IF(ISERROR($B$8),"",IF(ISBLANK($B$8),"",$B$8))</f>
        <v/>
      </c>
      <c r="AE8">
        <f>IF(ISERROR($C$8),"",IF(ISBLANK($C$8),"",$C$8))</f>
        <v/>
      </c>
      <c r="AF8">
        <f>IF(ISERROR($D$8),"",IF(ISBLANK($D$8),"",$D$8))</f>
        <v/>
      </c>
      <c r="AG8">
        <f>IF(ISERROR($E$8),"",IF(ISBLANK($E$8),"",$E$8))</f>
        <v/>
      </c>
      <c r="AH8">
        <f>IF(ISERROR($F$8),"",IF(ISBLANK($F$8),"",$F$8))</f>
        <v/>
      </c>
      <c r="AM8">
        <f>ISERROR($B$8)*1+ISERROR($C$8)*1+ISERROR($D$8)*1+ISERROR($E$8)*1+ISERROR($F$8)*1</f>
        <v/>
      </c>
    </row>
    <row r="9" ht="26" customHeight="1">
      <c r="A9" s="8" t="inlineStr">
        <is>
          <t>Armadura (edite na aba Criação)</t>
        </is>
      </c>
      <c r="B9" s="22">
        <f>IF(LEN('Criação'!$Q$91)=0,"Sem armadura",""&amp;'Criação'!$Q$91)</f>
        <v/>
      </c>
      <c r="C9" s="22">
        <f>"Defesa +"&amp;'Criação'!$B$93</f>
        <v/>
      </c>
      <c r="D9" s="22">
        <f>"RD "&amp;'Criação'!$D$93</f>
        <v/>
      </c>
      <c r="E9" s="22">
        <f>"Velocidade "&amp;IF('Criação'!$C$93&gt;=0,"+","")&amp;'Criação'!$C$93</f>
        <v/>
      </c>
      <c r="F9" s="22">
        <f>"Esquiva: "&amp;'Criação'!$F$93</f>
        <v/>
      </c>
      <c r="G9" s="22">
        <f>IFERROR(VLOOKUP('Criação'!$Q$91,'Dados'!$A$480:$I$482,5,FALSE),0)</f>
        <v/>
      </c>
    </row>
    <row r="10"/>
    <row r="11">
      <c r="A11" s="14" t="inlineStr">
        <is>
          <t>Ataque Básico — 18.2 e 18.5 (dano = dados + atributo + equipamento: Mãos, Cone e Conjuntos, 25.3)</t>
        </is>
      </c>
    </row>
    <row r="12" ht="40" customHeight="1">
      <c r="A12" s="7" t="inlineStr">
        <is>
          <t>Arma</t>
        </is>
      </c>
      <c r="B12" s="7" t="inlineStr">
        <is>
          <t>Teste de Ataque</t>
        </is>
      </c>
      <c r="C12" s="7" t="inlineStr">
        <is>
          <t>Dano</t>
        </is>
      </c>
      <c r="D12" s="7" t="inlineStr">
        <is>
          <t>Média</t>
        </is>
      </c>
      <c r="E12" s="7" t="inlineStr">
        <is>
          <t>Fixo do atributo</t>
        </is>
      </c>
      <c r="F12" s="7" t="inlineStr">
        <is>
          <t>Fixo do equipamento</t>
        </is>
      </c>
      <c r="G12" s="7" t="inlineStr">
        <is>
          <t>Contra Fraqueza (+2 dados)</t>
        </is>
      </c>
      <c r="H12" s="7" t="inlineStr">
        <is>
          <t>Média</t>
        </is>
      </c>
      <c r="I12" s="7" t="inlineStr">
        <is>
          <t>Crítico</t>
        </is>
      </c>
      <c r="J12" s="7" t="inlineStr">
        <is>
          <t>Redução de Tenacidade</t>
        </is>
      </c>
      <c r="K12" s="7" t="inlineStr">
        <is>
          <t>Alcance</t>
        </is>
      </c>
      <c r="L12" s="7" t="inlineStr">
        <is>
          <t>Elemento</t>
        </is>
      </c>
      <c r="P12" s="7" t="inlineStr">
        <is>
          <t>nº de dados</t>
        </is>
      </c>
      <c r="Q12" s="7" t="inlineStr">
        <is>
          <t>face</t>
        </is>
      </c>
      <c r="R12" s="7" t="inlineStr">
        <is>
          <t>dano fixo</t>
        </is>
      </c>
      <c r="S12" s="7" t="inlineStr">
        <is>
          <t>equipamento</t>
        </is>
      </c>
      <c r="T12" s="7" t="inlineStr">
        <is>
          <t>ataque</t>
        </is>
      </c>
    </row>
    <row r="13">
      <c r="A13" s="16" t="inlineStr">
        <is>
          <t>Principal</t>
        </is>
      </c>
      <c r="B13" s="17">
        <f>IF('Criação'!$Q$108="","—","d20"&amp;IF($T$13&gt;=0,"+","")&amp;$T$13)</f>
        <v/>
      </c>
      <c r="C13" s="17">
        <f>IF('Criação'!$Q$108="","",IF($P$13&lt;=0,""&amp;($R$13+$S$13),$P$13&amp;"d"&amp;$Q$13&amp;IF(($R$13+$S$13)&gt;0,"+"&amp;($R$13+$S$13),IF(($R$13+$S$13)&lt;0,""&amp;($R$13+$S$13),""))))</f>
        <v/>
      </c>
      <c r="D13" s="17">
        <f>IF('Criação'!$Q$108="","",INT($P$13*($Q$13+1)/2)+($R$13+$S$13))</f>
        <v/>
      </c>
      <c r="E13" s="22">
        <f>IF('Criação'!$Q$108="","",$R$13)</f>
        <v/>
      </c>
      <c r="F13" s="22">
        <f>IF('Criação'!$Q$108="","",$S$13)</f>
        <v/>
      </c>
      <c r="G13" s="22">
        <f>IF('Criação'!$Q$108="","",IF(($P$13+2)&lt;=0,""&amp;($R$13+$S$13),($P$13+2)&amp;"d"&amp;$Q$13&amp;IF(($R$13+$S$13)&gt;0,"+"&amp;($R$13+$S$13),IF(($R$13+$S$13)&lt;0,""&amp;($R$13+$S$13),""))))</f>
        <v/>
      </c>
      <c r="H13" s="22">
        <f>IF('Criação'!$Q$108="","",INT(($P$13+2)*($Q$13+1)/2)+($R$13+$S$13))</f>
        <v/>
      </c>
      <c r="I13" s="22">
        <f>IF('Criação'!$Q$108="","",IF((COUNTIF('Caminho'!$I$27:$I$36,"Olho de Lan")&gt;0),"19-20","20"))</f>
        <v/>
      </c>
      <c r="J13" s="22">
        <f>IF('Criação'!$Q$108="","",1+IF('Criação'!$Q$111="Peso de impacto",1,0))</f>
        <v/>
      </c>
      <c r="K13" s="22">
        <f>IF('Criação'!$Q$108="","",IFERROR(INDEX('Dados'!$X$6:$X$10,MIN(5,MATCH(VLOOKUP('Criação'!$Q$108,'Dados'!$A$464:$J$469,5,FALSE),'Dados'!$X$6:$X$10,0)+IF('Criação'!$Q$111="Alcance estendido",1,0))),""))</f>
        <v/>
      </c>
      <c r="L13" s="22">
        <f>IF('Criação'!$Q$108="","",'Criação'!$D$110)</f>
        <v/>
      </c>
      <c r="P13" s="25">
        <f>IF('Criação'!$Q$108="",0,'Criação'!$D$16+IFERROR(VLOOKUP('Criação'!$Q$108,'Dados'!$A$464:$J$469,3,FALSE),1)-1+IF(AND((COUNTIF('Caminho'!$I$27:$I$36,"Avatar da Recordação")&gt;0),'Caminho'!$P$96="Sincronizada"),1,0))</f>
        <v/>
      </c>
      <c r="Q13" s="25">
        <f>IFERROR(VLOOKUP('Criação'!$Q$108,'Dados'!$A$464:$J$469,4,FALSE),0)</f>
        <v/>
      </c>
      <c r="R13" s="25">
        <f>IFERROR(INDEX('Criação'!$F$44:$F$49,MATCH('Criação'!$D$109,'Criação'!$A$44:$A$49,0)),0)</f>
        <v/>
      </c>
      <c r="S13" s="25">
        <f>$G$37+$D$31+$G$48</f>
        <v/>
      </c>
      <c r="T13" s="25">
        <f>IFERROR(INDEX('Criação'!$F$44:$F$49,MATCH('Criação'!$D$109,'Criação'!$A$44:$A$49,0)),0)+'Criação'!$C$14+'Criação'!$G$14+'Criação'!$B$125</f>
        <v/>
      </c>
    </row>
    <row r="14">
      <c r="A14" s="18" t="inlineStr">
        <is>
          <t>Secundária</t>
        </is>
      </c>
      <c r="B14" s="19">
        <f>IF($AE$8="","—","d20"&amp;IF($T$14&gt;=0,"+","")&amp;$T$14)</f>
        <v/>
      </c>
      <c r="C14" s="19">
        <f>IF($AE$8="","",IF($P$14&lt;=0,""&amp;($R$14+$S$14),$P$14&amp;"d"&amp;$Q$14&amp;IF(($R$14+$S$14)&gt;0,"+"&amp;($R$14+$S$14),IF(($R$14+$S$14)&lt;0,""&amp;($R$14+$S$14),""))))</f>
        <v/>
      </c>
      <c r="D14" s="19">
        <f>IF($AE$8="","",INT($P$14*($Q$14+1)/2)+($R$14+$S$14))</f>
        <v/>
      </c>
      <c r="E14" s="21">
        <f>IF($AE$8="","",$R$14)</f>
        <v/>
      </c>
      <c r="F14" s="21">
        <f>IF($AE$8="","",$S$14)</f>
        <v/>
      </c>
      <c r="G14" s="21">
        <f>IF($AE$8="","",IF(($P$14+2)&lt;=0,""&amp;($R$14+$S$14),($P$14+2)&amp;"d"&amp;$Q$14&amp;IF(($R$14+$S$14)&gt;0,"+"&amp;($R$14+$S$14),IF(($R$14+$S$14)&lt;0,""&amp;($R$14+$S$14),""))))</f>
        <v/>
      </c>
      <c r="H14" s="21">
        <f>IF($AE$8="","",INT(($P$14+2)*($Q$14+1)/2)+($R$14+$S$14))</f>
        <v/>
      </c>
      <c r="I14" s="21">
        <f>IF($AE$8="","",IF((COUNTIF('Caminho'!$I$27:$I$36,"Olho de Lan")&gt;0),"19-20","20"))</f>
        <v/>
      </c>
      <c r="J14" s="21">
        <f>IF($AE$8="","",1+IF($AH$8="Peso de impacto",1,0))</f>
        <v/>
      </c>
      <c r="K14" s="21">
        <f>IF($AE$8="","",IFERROR(INDEX('Dados'!$X$6:$X$10,MIN(5,MATCH(VLOOKUP($AE$8,'Dados'!$A$464:$J$469,5,FALSE),'Dados'!$X$6:$X$10,0)+IF($AH$8="Alcance estendido",1,0))),""))</f>
        <v/>
      </c>
      <c r="L14" s="21">
        <f>IF($AE$8="","",$J$8)</f>
        <v/>
      </c>
      <c r="M14" s="35" t="n"/>
      <c r="N14" s="35" t="n"/>
      <c r="O14" s="35" t="n"/>
      <c r="P14" s="25">
        <f>IF($AE$8="",0,'Criação'!$D$16+IFERROR(VLOOKUP($AE$8,'Dados'!$A$464:$J$469,3,FALSE),1)-1+IF(AND((COUNTIF('Caminho'!$I$27:$I$36,"Avatar da Recordação")&gt;0),'Caminho'!$P$96="Sincronizada"),1,0))</f>
        <v/>
      </c>
      <c r="Q14" s="25">
        <f>IFERROR(VLOOKUP($AE$8,'Dados'!$A$464:$J$469,4,FALSE),0)</f>
        <v/>
      </c>
      <c r="R14" s="25">
        <f>IFERROR(INDEX('Criação'!$F$44:$F$49,MATCH($I$8,'Criação'!$A$44:$A$49,0)),0)</f>
        <v/>
      </c>
      <c r="S14" s="25">
        <f>$G$37+$D$31+$G$48</f>
        <v/>
      </c>
      <c r="T14" s="25">
        <f>IFERROR(INDEX('Criação'!$F$44:$F$49,MATCH($I$8,'Criação'!$A$44:$A$49,0)),0)+'Criação'!$C$14+'Criação'!$G$14+'Criação'!$B$125</f>
        <v/>
      </c>
    </row>
    <row r="15">
      <c r="A15" s="8" t="inlineStr">
        <is>
          <t>Mãos (Relíquia) soma no Ataque Básico; a Esfera Planar nunca (25.3). Fraqueza: +2 dados que não critam; o crítico dobra só os dados base (18.3).</t>
        </is>
      </c>
    </row>
    <row r="16"/>
    <row r="17">
      <c r="A17" s="14" t="inlineStr">
        <is>
          <t>Cone de Luz — 25.2 (Bônus Maior permanente, fora do teto; Efeito Condicional temporário)</t>
        </is>
      </c>
    </row>
    <row r="18" ht="26" customHeight="1">
      <c r="A18" s="8" t="inlineStr">
        <is>
          <t>Nome do Cone de Luz</t>
        </is>
      </c>
      <c r="B18" s="27" t="n"/>
      <c r="C18" s="28" t="n"/>
      <c r="D18" s="28" t="n"/>
      <c r="E18" s="28" t="n"/>
      <c r="F18" s="29" t="n"/>
      <c r="K18" s="13">
        <f>IF(AM18&gt;0,"O Google leu como fórmula: digite de novo com ' na frente.","")</f>
        <v/>
      </c>
      <c r="AM18">
        <f>ISERROR($B$18)*1</f>
        <v/>
      </c>
    </row>
    <row r="19" ht="48" customHeight="1">
      <c r="A19" s="8" t="inlineStr">
        <is>
          <t>Nível do Cone (1 a 5)</t>
        </is>
      </c>
      <c r="B19" s="23" t="n"/>
      <c r="C19" s="22">
        <f>"Máximo na sua faixa: Nível "&amp;'Criação'!$B$14&amp;IF($P$28&gt;0," · Bônus Maior da tabela: "&amp;INDEX('Dados'!$C$528:$C$532,$P$28),"")</f>
        <v/>
      </c>
      <c r="L19" s="13">
        <f>IF(AM19&gt;0,"O Google leu como fórmula: digite de novo com ' na frente.",IF(LEN($AD$19)=0,"",IF(ISNUMBER($AD$19),IF(OR($AD$19&lt;1,$AD$19&gt;5),"O Nível do Cone vai de 1 a 5. ","")&amp;IF($P$28&gt;'Criação'!$B$14,"Cone de Nível "&amp;$P$28&amp;" acima do máximo da sua faixa (Nível "&amp;'Criação'!$B$14&amp;").",""),"Nível precisa ser um número de 1 a 5.")))</f>
        <v/>
      </c>
      <c r="AD19">
        <f>IF(ISERROR($B$19),"",IF(ISBLANK($B$19),"",$B$19))</f>
        <v/>
      </c>
      <c r="AM19">
        <f>ISERROR($B$19)*1</f>
        <v/>
      </c>
    </row>
    <row r="20" ht="93" customHeight="1">
      <c r="A20" s="8" t="inlineStr">
        <is>
          <t>Alvo do Bônus Maior (escolha um)</t>
        </is>
      </c>
      <c r="B20" s="23" t="n"/>
      <c r="C20" s="29" t="n"/>
      <c r="D20" s="22">
        <f>IF($AD$20="","Sem alvo, o bônus numérico não conta (o +PV dos Níveis 2 e 4 conta sempre)","O bônus vai para: "&amp;$AD$20&amp;IF(LEN($AD$21)&gt;0," ("&amp;$AD$21&amp;")",""))</f>
        <v/>
      </c>
      <c r="L20" s="13">
        <f>IF(AM20&gt;0,"O Google leu como fórmula: escolha de novo na lista.",IF($AD$20="","",IF(COUNTIF('Dados'!$AM$6:$AM$15,$AD$20)=0,"Alvo fora da lista de 25.2. ",IF(AND(OR($AD$20="Um Teste de Resistência",$AD$20="Uma Perícia"),LEN($AD$21)=0),"Escolha qual "&amp;IF($AD$20="Um Teste de Resistência","Teste de Resistência","Perícia")&amp;" recebe o bônus. ",""))&amp;IF($P$28=0,"Preencha o Nível do Cone para o bônus contar.","")))</f>
        <v/>
      </c>
      <c r="Y20" s="26" t="inlineStr">
        <is>
          <t>Lista: Teste de Resistência ou Perícia do Cone</t>
        </is>
      </c>
      <c r="AD20">
        <f>IF(ISERROR($B$20),"",IF(ISBLANK($B$20),"",$B$20))</f>
        <v/>
      </c>
      <c r="AM20">
        <f>ISERROR($B$20)*1</f>
        <v/>
      </c>
    </row>
    <row r="21" ht="48" customHeight="1">
      <c r="A21" s="8" t="inlineStr">
        <is>
          <t>Qual Teste de Resistência ou Perícia (se o alvo pedir)</t>
        </is>
      </c>
      <c r="B21" s="23" t="n"/>
      <c r="C21" s="29" t="n"/>
      <c r="K21" s="13">
        <f>IF(AM21&gt;0,"O Google leu como fórmula: escolha de novo na lista.",IF(LEN($AD$21)=0,"",IF(AND($AD$20&lt;&gt;"Um Teste de Resistência",$AD$20&lt;&gt;"Uma Perícia"),"Só vale com o alvo Um Teste de Resistência ou Uma Perícia.",IF(COUNTIF($Y$21:$Y$38,$AD$21)=0,"Escolha um nome da lista.",""))))</f>
        <v/>
      </c>
      <c r="Y21" s="25">
        <f>IF($AD$20="Um Teste de Resistência",IFERROR(INDEX('Dados'!$AA$6:$AA$11,1),""),IF($AD$20="Uma Perícia",IFERROR(INDEX('Dados'!$Z$6:$Z$23,1),""),""))</f>
        <v/>
      </c>
      <c r="AD21">
        <f>IF(ISERROR($B$21),"",IF(ISBLANK($B$21),"",$B$21))</f>
        <v/>
      </c>
      <c r="AM21">
        <f>ISERROR($B$21)*1</f>
        <v/>
      </c>
    </row>
    <row r="22" ht="37" customHeight="1">
      <c r="A22" s="8" t="inlineStr">
        <is>
          <t>Numérico ou PV (só nos Níveis 1, 3 e 5)</t>
        </is>
      </c>
      <c r="B22" s="23" t="n"/>
      <c r="C22" s="22">
        <f>IF($P$28=0,"",IF($Q$28="e","No Nível "&amp;$P$28&amp;" o Cone dá os dois: +"&amp;$S$28&amp;" e +"&amp;$T$28&amp;" PV",IF($AD$22="PV","Vale o PV: +"&amp;$T$28&amp;" PV","Vale o numérico: +"&amp;$S$28&amp;IF($AD$22=""," (vazio = Numérico)",""))))</f>
        <v/>
      </c>
      <c r="L22" s="13">
        <f>IF(AM22&gt;0,"O Google leu como fórmula: escolha de novo na lista.",IF($AD$22="","",IF(COUNTIF('Dados'!$AN$6:$AN$7,$AD$22)=0,"Escolha Numérico ou PV.",IF($Q$28="e","No Nível "&amp;$P$28&amp;" o Cone dá os dois: a escolha não se aplica.",""))))</f>
        <v/>
      </c>
      <c r="Y22" s="25">
        <f>IF($AD$20="Um Teste de Resistência",IFERROR(INDEX('Dados'!$AA$6:$AA$11,2),""),IF($AD$20="Uma Perícia",IFERROR(INDEX('Dados'!$Z$6:$Z$23,2),""),""))</f>
        <v/>
      </c>
      <c r="AD22">
        <f>IF(ISERROR($B$22),"",IF(ISBLANK($B$22),"",$B$22))</f>
        <v/>
      </c>
      <c r="AM22">
        <f>ISERROR($B$22)*1</f>
        <v/>
      </c>
    </row>
    <row r="23" ht="94" customHeight="1">
      <c r="A23" s="8" t="inlineStr">
        <is>
          <t>Sobreposições (cópias extras do mesmo Cone)</t>
        </is>
      </c>
      <c r="B23" s="23" t="n"/>
      <c r="C23" s="22">
        <f>"Cada uma: +1 e +10 PV, até o numérico chegar a +3 · no máximo 1 por faixa alcançada ("&amp;'Criação'!$B$14&amp;")"&amp;IF($P$28&gt;0," · este Cone aceita até "&amp;(3-INDEX('Dados'!$D$528:$D$532,$P$28)),"")&amp;" (25.2)"</f>
        <v/>
      </c>
      <c r="L23" s="13">
        <f>IF(AM23&gt;0,"O Google leu como fórmula: digite de novo com ' na frente.",IF(LEN($AD$23)=0,"",IF(ISNUMBER($AD$23),IF($AD$23&gt;'Criação'!$B$14,"Sobreposições acima de uma por faixa alcançada (máximo "&amp;'Criação'!$B$14&amp;"). ","")&amp;IF($AD$23&lt;0,"Não pode ser negativo. ","")&amp;IF($P$28=0,"Sem Cone: preencha o Nível.",IF($R$28&gt;(3-INDEX('Dados'!$D$528:$D$532,$P$28)),"Acima do teto: o Cone de Nível "&amp;$P$28&amp;" aceita no máximo "&amp;(3-INDEX('Dados'!$D$528:$D$532,$P$28))&amp;" (o numérico para em +3 e o PV para junto, 25.2).","")),"Precisa ser um número.")))</f>
        <v/>
      </c>
      <c r="Y23" s="25">
        <f>IF($AD$20="Um Teste de Resistência",IFERROR(INDEX('Dados'!$AA$6:$AA$11,3),""),IF($AD$20="Uma Perícia",IFERROR(INDEX('Dados'!$Z$6:$Z$23,3),""),""))</f>
        <v/>
      </c>
      <c r="AD23">
        <f>IF(ISERROR($B$23),"",IF(ISBLANK($B$23),"",$B$23))</f>
        <v/>
      </c>
      <c r="AM23">
        <f>ISERROR($B$23)*1</f>
        <v/>
      </c>
    </row>
    <row r="24" ht="37" customHeight="1">
      <c r="A24" s="8" t="inlineStr">
        <is>
          <t>Efeito Condicional (escreva com o Mestre)</t>
        </is>
      </c>
      <c r="B24" s="27" t="n"/>
      <c r="C24" s="28" t="n"/>
      <c r="D24" s="28" t="n"/>
      <c r="E24" s="28" t="n"/>
      <c r="F24" s="28" t="n"/>
      <c r="G24" s="28" t="n"/>
      <c r="H24" s="28" t="n"/>
      <c r="I24" s="28" t="n"/>
      <c r="J24" s="28" t="n"/>
      <c r="K24" s="29" t="n"/>
      <c r="L24" s="13">
        <f>IF(AM24&gt;0,"O Google leu como fórmula: digite de novo com ' na frente.","")</f>
        <v/>
      </c>
      <c r="Y24" s="25">
        <f>IF($AD$20="Um Teste de Resistência",IFERROR(INDEX('Dados'!$AA$6:$AA$11,4),""),IF($AD$20="Uma Perícia",IFERROR(INDEX('Dados'!$Z$6:$Z$23,4),""),""))</f>
        <v/>
      </c>
      <c r="AM24">
        <f>ISERROR($B$24)*1</f>
        <v/>
      </c>
    </row>
    <row r="25" ht="26" customHeight="1">
      <c r="A25" s="8" t="inlineStr">
        <is>
          <t>Frequência do Efeito Condicional</t>
        </is>
      </c>
      <c r="B25" s="22">
        <f>IF($P$28=0,"",IF($P$28=1,"1 vez por combate","1 vez por Ciclo")&amp;" · temporário: entra no teto de bônus somado (25.4)")</f>
        <v/>
      </c>
      <c r="Y25" s="25">
        <f>IF($AD$20="Um Teste de Resistência",IFERROR(INDEX('Dados'!$AA$6:$AA$11,5),""),IF($AD$20="Uma Perícia",IFERROR(INDEX('Dados'!$Z$6:$Z$23,5),""),""))</f>
        <v/>
      </c>
    </row>
    <row r="26" ht="26" customHeight="1">
      <c r="A26" s="8" t="inlineStr">
        <is>
          <t>Energia do Cone (17.2)</t>
        </is>
      </c>
      <c r="B26" s="22">
        <f>IF($P$28&gt;=3,"Sim: +5 de Energia, no máximo 1 vez por Ciclo (Efeito Condicional)",IF($P$28=0,"","Não: só no Nível 3 ou maior"))</f>
        <v/>
      </c>
      <c r="Y26" s="25">
        <f>IF($AD$20="Um Teste de Resistência",IFERROR(INDEX('Dados'!$AA$6:$AA$11,6),""),IF($AD$20="Uma Perícia",IFERROR(INDEX('Dados'!$Z$6:$Z$23,6),""),""))</f>
        <v/>
      </c>
    </row>
    <row r="27" ht="30" customHeight="1">
      <c r="B27" s="7" t="inlineStr">
        <is>
          <t>Numérico que vale</t>
        </is>
      </c>
      <c r="C27" s="7" t="inlineStr">
        <is>
          <t>PV que vale</t>
        </is>
      </c>
      <c r="D27" s="7" t="inlineStr">
        <is>
          <t>Resumo do Bônus Maior</t>
        </is>
      </c>
      <c r="P27" s="7" t="inlineStr">
        <is>
          <t>nível</t>
        </is>
      </c>
      <c r="Q27" s="7" t="inlineStr">
        <is>
          <t>e/ou</t>
        </is>
      </c>
      <c r="R27" s="7" t="inlineStr">
        <is>
          <t>cópias</t>
        </is>
      </c>
      <c r="S27" s="7" t="inlineStr">
        <is>
          <t>numérico</t>
        </is>
      </c>
      <c r="T27" s="7" t="inlineStr">
        <is>
          <t>PV</t>
        </is>
      </c>
      <c r="Y27" s="25">
        <f>IF($AD$20="Um Teste de Resistência",IFERROR(INDEX('Dados'!$AA$6:$AA$11,7),""),IF($AD$20="Uma Perícia",IFERROR(INDEX('Dados'!$Z$6:$Z$23,7),""),""))</f>
        <v/>
      </c>
    </row>
    <row r="28" ht="26" customHeight="1">
      <c r="A28" s="12" t="inlineStr">
        <is>
          <t>Numérico / PV que valem</t>
        </is>
      </c>
      <c r="B28" s="58">
        <f>IF($P$28=0,0,IF($AD$20="PV máximos",0,IF($Q$28="e",$S$28,IF($AD$22="PV",0,$S$28))))</f>
        <v/>
      </c>
      <c r="C28" s="17">
        <f>IF($P$28=0,0,IF(OR($AD$20="PV máximos",$Q$28="e",$AD$22="PV"),$T$28,0))</f>
        <v/>
      </c>
      <c r="D28" s="22">
        <f>IF($P$28=0,"Sem Cone","+"&amp;$B$28&amp;IF($AD$20=""," (sem alvo)"," em "&amp;$AD$20)&amp;IF($C$28&gt;0," · +"&amp;$C$28&amp;" PV máximos",""))</f>
        <v/>
      </c>
      <c r="P28" s="25">
        <f>IF(ISNUMBER($AD$19),IF($AD$19&lt;1,0,MIN(5,INT($AD$19))),0)</f>
        <v/>
      </c>
      <c r="Q28" s="25">
        <f>IF($P$28=0,"",INDEX('Dados'!$E$528:$E$532,$P$28))</f>
        <v/>
      </c>
      <c r="R28" s="25">
        <f>IF(ISNUMBER($AD$23),MAX(0,MIN('Criação'!$B$14,INT($AD$23))),0)</f>
        <v/>
      </c>
      <c r="S28" s="25">
        <f>IF($P$28=0,0,INDEX('Dados'!$D$528:$D$532,$P$28)+MIN($R$28,(3-INDEX('Dados'!$D$528:$D$532,$P$28))))</f>
        <v/>
      </c>
      <c r="T28" s="25">
        <f>IF($P$28=0,0,INDEX('Dados'!$F$528:$F$532,$P$28)+10*MIN($R$28,(3-INDEX('Dados'!$D$528:$D$532,$P$28))))</f>
        <v/>
      </c>
      <c r="Y28" s="25">
        <f>IF($AD$20="Um Teste de Resistência",IFERROR(INDEX('Dados'!$AA$6:$AA$11,8),""),IF($AD$20="Uma Perícia",IFERROR(INDEX('Dados'!$Z$6:$Z$23,8),""),""))</f>
        <v/>
      </c>
    </row>
    <row r="29" ht="37" customHeight="1">
      <c r="A29" s="26" t="inlineStr">
        <is>
          <t>Onde o Bônus Maior entra (automático)</t>
        </is>
      </c>
      <c r="Y29" s="25">
        <f>IF($AD$20="Um Teste de Resistência",IFERROR(INDEX('Dados'!$AA$6:$AA$11,9),""),IF($AD$20="Uma Perícia",IFERROR(INDEX('Dados'!$Z$6:$Z$23,9),""),""))</f>
        <v/>
      </c>
    </row>
    <row r="30" ht="37" customHeight="1">
      <c r="A30" s="7" t="inlineStr">
        <is>
          <t>PV máximos</t>
        </is>
      </c>
      <c r="B30" s="7" t="inlineStr">
        <is>
          <t>Defesa</t>
        </is>
      </c>
      <c r="C30" s="7" t="inlineStr">
        <is>
          <t>Velocidade</t>
        </is>
      </c>
      <c r="D30" s="7" t="inlineStr">
        <is>
          <t>Dano de Ataque Básico</t>
        </is>
      </c>
      <c r="E30" s="7" t="inlineStr">
        <is>
          <t>Dano de Habilidade</t>
        </is>
      </c>
      <c r="F30" s="7" t="inlineStr">
        <is>
          <t>Dano de Ultimate</t>
        </is>
      </c>
      <c r="G30" s="7" t="inlineStr">
        <is>
          <t>RD</t>
        </is>
      </c>
      <c r="H30" s="7" t="inlineStr">
        <is>
          <t>Teste de Ataque</t>
        </is>
      </c>
      <c r="I30" s="7" t="inlineStr">
        <is>
          <t>Teste de Resistência</t>
        </is>
      </c>
      <c r="J30" s="7" t="inlineStr">
        <is>
          <t>Qual Teste de Resistência</t>
        </is>
      </c>
      <c r="K30" s="7" t="inlineStr">
        <is>
          <t>Perícia</t>
        </is>
      </c>
      <c r="L30" s="7" t="inlineStr">
        <is>
          <t>Qual Perícia</t>
        </is>
      </c>
      <c r="Y30" s="25">
        <f>IF($AD$20="Um Teste de Resistência",IFERROR(INDEX('Dados'!$AA$6:$AA$11,10),""),IF($AD$20="Uma Perícia",IFERROR(INDEX('Dados'!$Z$6:$Z$23,10),""),""))</f>
        <v/>
      </c>
    </row>
    <row r="31" ht="26" customHeight="1">
      <c r="A31" s="58">
        <f>$C$28</f>
        <v/>
      </c>
      <c r="B31" s="17">
        <f>IF($AD$20="Defesa",$B$28,0)</f>
        <v/>
      </c>
      <c r="C31" s="17">
        <f>IF($AD$20="Velocidade",$B$28,0)</f>
        <v/>
      </c>
      <c r="D31" s="17">
        <f>IF($AD$20="Dano de Ataque Básico",$B$28,0)</f>
        <v/>
      </c>
      <c r="E31" s="17">
        <f>IF($AD$20="Dano de Habilidade",$B$28,0)</f>
        <v/>
      </c>
      <c r="F31" s="17">
        <f>IF($AD$20="Dano de Ultimate",$B$28,0)</f>
        <v/>
      </c>
      <c r="G31" s="17">
        <f>IF($AD$20="RD",$B$28,0)</f>
        <v/>
      </c>
      <c r="H31" s="17">
        <f>IF($AD$20="Teste de Ataque",$B$28,0)</f>
        <v/>
      </c>
      <c r="I31" s="17">
        <f>IF(AND($AD$20="Um Teste de Resistência",LEN($AD$21)&gt;0),$B$28,0)</f>
        <v/>
      </c>
      <c r="J31" s="4">
        <f>IF($AD$20="Um Teste de Resistência",""&amp;$AD$21,"")</f>
        <v/>
      </c>
      <c r="K31" s="17">
        <f>IF(AND($AD$20="Uma Perícia",LEN($AD$21)&gt;0),$B$28,0)</f>
        <v/>
      </c>
      <c r="L31" s="4">
        <f>IF($AD$20="Uma Perícia",""&amp;$AD$21,"")</f>
        <v/>
      </c>
      <c r="Y31" s="25">
        <f>IF($AD$20="Um Teste de Resistência",IFERROR(INDEX('Dados'!$AA$6:$AA$11,11),""),IF($AD$20="Uma Perícia",IFERROR(INDEX('Dados'!$Z$6:$Z$23,11),""),""))</f>
        <v/>
      </c>
    </row>
    <row r="32">
      <c r="Y32" s="25">
        <f>IF($AD$20="Um Teste de Resistência",IFERROR(INDEX('Dados'!$AA$6:$AA$11,12),""),IF($AD$20="Uma Perícia",IFERROR(INDEX('Dados'!$Z$6:$Z$23,12),""),""))</f>
        <v/>
      </c>
    </row>
    <row r="33">
      <c r="A33" s="14" t="inlineStr">
        <is>
          <t>Relíquias — 25.3 (6 slots; o Tier sobe sozinho com o nível; bônus de slot fora do teto)</t>
        </is>
      </c>
      <c r="Y33" s="25">
        <f>IF($AD$20="Um Teste de Resistência",IFERROR(INDEX('Dados'!$AA$6:$AA$11,13),""),IF($AD$20="Uma Perícia",IFERROR(INDEX('Dados'!$Z$6:$Z$23,13),""),""))</f>
        <v/>
      </c>
    </row>
    <row r="34">
      <c r="A34" s="8" t="inlineStr">
        <is>
          <t>Tier da sua faixa</t>
        </is>
      </c>
      <c r="B34" s="17">
        <f>CHOOSE('Criação'!$J$16,"I","II","III","IV")</f>
        <v/>
      </c>
      <c r="C34" s="12" t="inlineStr">
        <is>
          <t>Tier I (níveis 1-6) · II (7-12) · III (13-17) · IV (18-20) — recompensa de marco (25.1)</t>
        </is>
      </c>
      <c r="Y34" s="25">
        <f>IF($AD$20="Um Teste de Resistência",IFERROR(INDEX('Dados'!$AA$6:$AA$11,14),""),IF($AD$20="Uma Perícia",IFERROR(INDEX('Dados'!$Z$6:$Z$23,14),""),""))</f>
        <v/>
      </c>
    </row>
    <row r="35" ht="37" customHeight="1">
      <c r="A35" s="7" t="inlineStr">
        <is>
          <t>Slot</t>
        </is>
      </c>
      <c r="B35" s="7" t="inlineStr">
        <is>
          <t>Possui? (Sim)</t>
        </is>
      </c>
      <c r="C35" s="7" t="inlineStr">
        <is>
          <t>Nome da peça</t>
        </is>
      </c>
      <c r="D35" s="15" t="n"/>
      <c r="E35" s="7" t="inlineStr">
        <is>
          <t>Conjunto (A, B, C ou —)</t>
        </is>
      </c>
      <c r="F35" s="7" t="inlineStr">
        <is>
          <t>Tier</t>
        </is>
      </c>
      <c r="G35" s="7" t="inlineStr">
        <is>
          <t>Bônus</t>
        </is>
      </c>
      <c r="H35" s="7" t="inlineStr">
        <is>
          <t>O que dá</t>
        </is>
      </c>
      <c r="I35" s="15" t="n"/>
      <c r="J35" s="7" t="inlineStr">
        <is>
          <t>Elemento (só Esfera Planar)</t>
        </is>
      </c>
      <c r="K35" s="7" t="inlineStr">
        <is>
          <t>Vale no seu dano?</t>
        </is>
      </c>
      <c r="L35" s="7" t="inlineStr">
        <is>
          <t>Aviso</t>
        </is>
      </c>
      <c r="Y35" s="25">
        <f>IF($AD$20="Um Teste de Resistência",IFERROR(INDEX('Dados'!$AA$6:$AA$11,15),""),IF($AD$20="Uma Perícia",IFERROR(INDEX('Dados'!$Z$6:$Z$23,15),""),""))</f>
        <v/>
      </c>
    </row>
    <row r="36" ht="60" customHeight="1">
      <c r="A36" s="16" t="inlineStr">
        <is>
          <t>Cabeça</t>
        </is>
      </c>
      <c r="B36" s="23" t="n"/>
      <c r="C36" s="27" t="n"/>
      <c r="D36" s="29" t="n"/>
      <c r="E36" s="23" t="n"/>
      <c r="F36" s="22">
        <f>IF($AD$36="Sim",$B$34,"—")</f>
        <v/>
      </c>
      <c r="G36" s="37">
        <f>IF($AD$36="Sim",INDEX('Dados'!$A$536:$F$541,1,2+'Criação'!$J$16),0)</f>
        <v/>
      </c>
      <c r="H36" s="4">
        <f>IF($AD$36="Sim",INDEX('Dados'!$B$536:$B$541,1)&amp;": +"&amp;$G$36,INDEX('Dados'!$B$536:$B$541,1))</f>
        <v/>
      </c>
      <c r="J36" s="25" t="inlineStr">
        <is>
          <t>—</t>
        </is>
      </c>
      <c r="K36" s="25" t="inlineStr">
        <is>
          <t>—</t>
        </is>
      </c>
      <c r="L36" s="13">
        <f>IF(AM36&gt;0,"O Google leu como fórmula: escolha de novo ou digite com ' na frente.",IF(AND($AG$36&lt;&gt;"",$AG$36&lt;&gt;"—",$AD$36&lt;&gt;"Sim"),"A peça só conta para o Conjunto com Possui = Sim. ","")&amp;IF(AND($AG$36&lt;&gt;"",COUNTIF('Dados'!$AO$6:$AO$9,$AG$36)=0),"Conjunto: use A, B, C ou —. ","")&amp;IF(AND($AD$36&lt;&gt;"",$AD$36&lt;&gt;"Sim",$AD$36&lt;&gt;"Não"),"Possui: use Sim ou Não. ",""))</f>
        <v/>
      </c>
      <c r="Y36" s="25">
        <f>IF($AD$20="Um Teste de Resistência",IFERROR(INDEX('Dados'!$AA$6:$AA$11,16),""),IF($AD$20="Uma Perícia",IFERROR(INDEX('Dados'!$Z$6:$Z$23,16),""),""))</f>
        <v/>
      </c>
      <c r="AD36">
        <f>IF(ISERROR($B$36),"",IF(ISBLANK($B$36),"",$B$36))</f>
        <v/>
      </c>
      <c r="AG36">
        <f>IF(ISERROR($E$36),"",IF(ISBLANK($E$36),"",$E$36))</f>
        <v/>
      </c>
      <c r="AM36">
        <f>ISERROR($B$36)*1+ISERROR($C$36)*1+ISERROR($E$36)*1</f>
        <v/>
      </c>
    </row>
    <row r="37" ht="60" customHeight="1">
      <c r="A37" s="18" t="inlineStr">
        <is>
          <t>Mãos</t>
        </is>
      </c>
      <c r="B37" s="36" t="n"/>
      <c r="C37" s="60" t="n"/>
      <c r="D37" s="29" t="n"/>
      <c r="E37" s="36" t="n"/>
      <c r="F37" s="21">
        <f>IF($AD$37="Sim",$B$34,"—")</f>
        <v/>
      </c>
      <c r="G37" s="61">
        <f>IF($AD$37="Sim",INDEX('Dados'!$A$536:$F$541,2,2+'Criação'!$J$16),0)</f>
        <v/>
      </c>
      <c r="H37" s="9">
        <f>IF($AD$37="Sim",INDEX('Dados'!$B$536:$B$541,2)&amp;": +"&amp;$G$37,INDEX('Dados'!$B$536:$B$541,2))</f>
        <v/>
      </c>
      <c r="J37" s="25" t="inlineStr">
        <is>
          <t>—</t>
        </is>
      </c>
      <c r="K37" s="25" t="inlineStr">
        <is>
          <t>—</t>
        </is>
      </c>
      <c r="L37" s="20">
        <f>IF(AM37&gt;0,"O Google leu como fórmula: escolha de novo ou digite com ' na frente.",IF(AND($AG$37&lt;&gt;"",$AG$37&lt;&gt;"—",$AD$37&lt;&gt;"Sim"),"A peça só conta para o Conjunto com Possui = Sim. ","")&amp;IF(AND($AG$37&lt;&gt;"",COUNTIF('Dados'!$AO$6:$AO$9,$AG$37)=0),"Conjunto: use A, B, C ou —. ","")&amp;IF(AND($AD$37&lt;&gt;"",$AD$37&lt;&gt;"Sim",$AD$37&lt;&gt;"Não"),"Possui: use Sim ou Não. ",""))</f>
        <v/>
      </c>
      <c r="Y37" s="25">
        <f>IF($AD$20="Um Teste de Resistência",IFERROR(INDEX('Dados'!$AA$6:$AA$11,17),""),IF($AD$20="Uma Perícia",IFERROR(INDEX('Dados'!$Z$6:$Z$23,17),""),""))</f>
        <v/>
      </c>
      <c r="AD37">
        <f>IF(ISERROR($B$37),"",IF(ISBLANK($B$37),"",$B$37))</f>
        <v/>
      </c>
      <c r="AG37">
        <f>IF(ISERROR($E$37),"",IF(ISBLANK($E$37),"",$E$37))</f>
        <v/>
      </c>
      <c r="AM37">
        <f>ISERROR($B$37)*1+ISERROR($C$37)*1+ISERROR($E$37)*1</f>
        <v/>
      </c>
    </row>
    <row r="38" ht="60" customHeight="1">
      <c r="A38" s="16" t="inlineStr">
        <is>
          <t>Tronco</t>
        </is>
      </c>
      <c r="B38" s="23" t="n"/>
      <c r="C38" s="27" t="n"/>
      <c r="D38" s="29" t="n"/>
      <c r="E38" s="23" t="n"/>
      <c r="F38" s="22">
        <f>IF($AD$38="Sim",$B$34,"—")</f>
        <v/>
      </c>
      <c r="G38" s="37">
        <f>IF($AD$38="Sim",INDEX('Dados'!$A$536:$F$541,3,2+'Criação'!$J$16),0)</f>
        <v/>
      </c>
      <c r="H38" s="4">
        <f>IF($AD$38="Sim",INDEX('Dados'!$B$536:$B$541,3)&amp;": +"&amp;$G$38,INDEX('Dados'!$B$536:$B$541,3))</f>
        <v/>
      </c>
      <c r="J38" s="25" t="inlineStr">
        <is>
          <t>—</t>
        </is>
      </c>
      <c r="K38" s="25" t="inlineStr">
        <is>
          <t>—</t>
        </is>
      </c>
      <c r="L38" s="13">
        <f>IF(AM38&gt;0,"O Google leu como fórmula: escolha de novo ou digite com ' na frente.",IF(AND($AG$38&lt;&gt;"",$AG$38&lt;&gt;"—",$AD$38&lt;&gt;"Sim"),"A peça só conta para o Conjunto com Possui = Sim. ","")&amp;IF(AND($AG$38&lt;&gt;"",COUNTIF('Dados'!$AO$6:$AO$9,$AG$38)=0),"Conjunto: use A, B, C ou —. ","")&amp;IF(AND($AD$38&lt;&gt;"",$AD$38&lt;&gt;"Sim",$AD$38&lt;&gt;"Não"),"Possui: use Sim ou Não. ",""))</f>
        <v/>
      </c>
      <c r="Y38" s="25">
        <f>IF($AD$20="Um Teste de Resistência",IFERROR(INDEX('Dados'!$AA$6:$AA$11,18),""),IF($AD$20="Uma Perícia",IFERROR(INDEX('Dados'!$Z$6:$Z$23,18),""),""))</f>
        <v/>
      </c>
      <c r="AD38">
        <f>IF(ISERROR($B$38),"",IF(ISBLANK($B$38),"",$B$38))</f>
        <v/>
      </c>
      <c r="AG38">
        <f>IF(ISERROR($E$38),"",IF(ISBLANK($E$38),"",$E$38))</f>
        <v/>
      </c>
      <c r="AM38">
        <f>ISERROR($B$38)*1+ISERROR($C$38)*1+ISERROR($E$38)*1</f>
        <v/>
      </c>
    </row>
    <row r="39" ht="60" customHeight="1">
      <c r="A39" s="18" t="inlineStr">
        <is>
          <t>Botas</t>
        </is>
      </c>
      <c r="B39" s="36" t="n"/>
      <c r="C39" s="60" t="n"/>
      <c r="D39" s="29" t="n"/>
      <c r="E39" s="36" t="n"/>
      <c r="F39" s="21">
        <f>IF($AD$39="Sim",$B$34,"—")</f>
        <v/>
      </c>
      <c r="G39" s="61">
        <f>IF($AD$39="Sim",INDEX('Dados'!$A$536:$F$541,4,2+'Criação'!$J$16),0)</f>
        <v/>
      </c>
      <c r="H39" s="9">
        <f>IF($AD$39="Sim",INDEX('Dados'!$B$536:$B$541,4)&amp;": +"&amp;$G$39,INDEX('Dados'!$B$536:$B$541,4))</f>
        <v/>
      </c>
      <c r="J39" s="25" t="inlineStr">
        <is>
          <t>—</t>
        </is>
      </c>
      <c r="K39" s="25" t="inlineStr">
        <is>
          <t>—</t>
        </is>
      </c>
      <c r="L39" s="20">
        <f>IF(AM39&gt;0,"O Google leu como fórmula: escolha de novo ou digite com ' na frente.",IF(AND($AG$39&lt;&gt;"",$AG$39&lt;&gt;"—",$AD$39&lt;&gt;"Sim"),"A peça só conta para o Conjunto com Possui = Sim. ","")&amp;IF(AND($AG$39&lt;&gt;"",COUNTIF('Dados'!$AO$6:$AO$9,$AG$39)=0),"Conjunto: use A, B, C ou —. ","")&amp;IF(AND($AD$39&lt;&gt;"",$AD$39&lt;&gt;"Sim",$AD$39&lt;&gt;"Não"),"Possui: use Sim ou Não. ",""))</f>
        <v/>
      </c>
      <c r="AD39">
        <f>IF(ISERROR($B$39),"",IF(ISBLANK($B$39),"",$B$39))</f>
        <v/>
      </c>
      <c r="AG39">
        <f>IF(ISERROR($E$39),"",IF(ISBLANK($E$39),"",$E$39))</f>
        <v/>
      </c>
      <c r="AM39">
        <f>ISERROR($B$39)*1+ISERROR($C$39)*1+ISERROR($E$39)*1</f>
        <v/>
      </c>
    </row>
    <row r="40" ht="93" customHeight="1">
      <c r="A40" s="16" t="inlineStr">
        <is>
          <t>Esfera Planar</t>
        </is>
      </c>
      <c r="B40" s="23" t="n"/>
      <c r="C40" s="27" t="n"/>
      <c r="D40" s="29" t="n"/>
      <c r="E40" s="23" t="n"/>
      <c r="F40" s="22">
        <f>IF($AD$40="Sim",$B$34,"—")</f>
        <v/>
      </c>
      <c r="G40" s="37">
        <f>IF($AD$40="Sim",INDEX('Dados'!$A$536:$F$541,5,2+'Criação'!$J$16),0)</f>
        <v/>
      </c>
      <c r="H40" s="4">
        <f>IF($AD$40="Sim",INDEX('Dados'!$B$536:$B$541,5)&amp;": +"&amp;$G$40,INDEX('Dados'!$B$536:$B$541,5))</f>
        <v/>
      </c>
      <c r="J40" s="23" t="n"/>
      <c r="K40" s="4">
        <f>IF($AD$40&lt;&gt;"Sim","",IF($AL$40="","Escolha o Elemento",IF($AL$40='Criação'!$Q$60,"Sim: +"&amp;$G$40&amp;" nas Habilidades e na Ultimate","Não: o seu Elemento é "&amp;IF(LEN('Criação'!$Q$60)=0,"(vazio)",'Criação'!$Q$60))))</f>
        <v/>
      </c>
      <c r="L40" s="13">
        <f>IF(AM40&gt;0,"O Google leu como fórmula: escolha de novo ou digite com ' na frente.",IF(AND($AG$40&lt;&gt;"",$AG$40&lt;&gt;"—",$AD$40&lt;&gt;"Sim"),"A peça só conta para o Conjunto com Possui = Sim. ","")&amp;IF(AND($AG$40&lt;&gt;"",COUNTIF('Dados'!$AO$6:$AO$9,$AG$40)=0),"Conjunto: use A, B, C ou —. ","")&amp;IF(AND($AD$40&lt;&gt;"",$AD$40&lt;&gt;"Sim",$AD$40&lt;&gt;"Não"),"Possui: use Sim ou Não. ","")&amp;IF(AND($AL$40&lt;&gt;"",COUNTIF('Dados'!$R$6:$R$12,$AL$40)=0),"Elemento fora da lista do capítulo 20.",""))</f>
        <v/>
      </c>
      <c r="P40" s="25">
        <f>IF(AND($AD$40="Sim",$AL$40&lt;&gt;"",$AL$40='Criação'!$Q$60),$G$40,0)</f>
        <v/>
      </c>
      <c r="AD40">
        <f>IF(ISERROR($B$40),"",IF(ISBLANK($B$40),"",$B$40))</f>
        <v/>
      </c>
      <c r="AG40">
        <f>IF(ISERROR($E$40),"",IF(ISBLANK($E$40),"",$E$40))</f>
        <v/>
      </c>
      <c r="AL40">
        <f>IF(ISERROR($J$40),"",IF(ISBLANK($J$40),"",$J$40))</f>
        <v/>
      </c>
      <c r="AM40">
        <f>ISERROR($B$40)*1+ISERROR($C$40)*1+ISERROR($E$40)*1+ISERROR($J$40)*1</f>
        <v/>
      </c>
    </row>
    <row r="41" ht="93" customHeight="1">
      <c r="A41" s="18" t="inlineStr">
        <is>
          <t>Corda de Ligação</t>
        </is>
      </c>
      <c r="B41" s="36" t="n"/>
      <c r="C41" s="60" t="n"/>
      <c r="D41" s="29" t="n"/>
      <c r="E41" s="36" t="n"/>
      <c r="F41" s="21">
        <f>IF($AD$41="Sim",$B$34,"—")</f>
        <v/>
      </c>
      <c r="G41" s="61">
        <f>IF($AD$41="Sim",INDEX('Dados'!$A$536:$F$541,6,2+'Criação'!$J$16),0)</f>
        <v/>
      </c>
      <c r="H41" s="9">
        <f>IF($AD$41="Sim",INDEX('Dados'!$B$536:$B$541,6)&amp;": +"&amp;$G$41,INDEX('Dados'!$B$536:$B$541,6))</f>
        <v/>
      </c>
      <c r="J41" s="25" t="inlineStr">
        <is>
          <t>—</t>
        </is>
      </c>
      <c r="K41" s="9">
        <f>IF($AD$41="Sim","+"&amp;$G$41&amp;" de Energia ao entrar na Fila, 1 vez por combate","")</f>
        <v/>
      </c>
      <c r="L41" s="20">
        <f>IF(AM41&gt;0,"O Google leu como fórmula: escolha de novo ou digite com ' na frente.",IF(AND($AG$41&lt;&gt;"",$AG$41&lt;&gt;"—",$AD$41&lt;&gt;"Sim"),"A peça só conta para o Conjunto com Possui = Sim. ","")&amp;IF(AND($AG$41&lt;&gt;"",COUNTIF('Dados'!$AO$6:$AO$9,$AG$41)=0),"Conjunto: use A, B, C ou —. ","")&amp;IF(AND($AD$41&lt;&gt;"",$AD$41&lt;&gt;"Sim",$AD$41&lt;&gt;"Não"),"Possui: use Sim ou Não. ",""))</f>
        <v/>
      </c>
      <c r="AD41">
        <f>IF(ISERROR($B$41),"",IF(ISBLANK($B$41),"",$B$41))</f>
        <v/>
      </c>
      <c r="AG41">
        <f>IF(ISERROR($E$41),"",IF(ISBLANK($E$41),"",$E$41))</f>
        <v/>
      </c>
      <c r="AM41">
        <f>ISERROR($B$41)*1+ISERROR($C$41)*1+ISERROR($E$41)*1</f>
        <v/>
      </c>
    </row>
    <row r="42"/>
    <row r="43">
      <c r="A43" s="14" t="inlineStr">
        <is>
          <t>Conjuntos de Relíquias — 25.3 (2 peças: bônus pequeno; 4 peças: efeito por Ciclo; teto +3, dentro do teto global)</t>
        </is>
      </c>
    </row>
    <row r="44" ht="49" customHeight="1">
      <c r="A44" s="7" t="inlineStr">
        <is>
          <t>Conjunto</t>
        </is>
      </c>
      <c r="B44" s="7" t="inlineStr">
        <is>
          <t>Nome do Conjunto (preencha)</t>
        </is>
      </c>
      <c r="C44" s="7" t="inlineStr">
        <is>
          <t>Bônus de 2 peças (preencha)</t>
        </is>
      </c>
      <c r="D44" s="15" t="n"/>
      <c r="E44" s="7" t="inlineStr">
        <is>
          <t>Qual rolagem (só no Um tipo de rolagem +1)</t>
        </is>
      </c>
      <c r="F44" s="15" t="n"/>
      <c r="G44" s="7" t="inlineStr">
        <is>
          <t>Peças</t>
        </is>
      </c>
      <c r="H44" s="7" t="inlineStr">
        <is>
          <t>Ativo</t>
        </is>
      </c>
      <c r="I44" s="7" t="inlineStr">
        <is>
          <t>Aviso</t>
        </is>
      </c>
      <c r="J44" s="15" t="n"/>
      <c r="K44" s="15" t="n"/>
      <c r="L44" s="15" t="n"/>
      <c r="P44" s="7" t="inlineStr">
        <is>
          <t>rolagem</t>
        </is>
      </c>
      <c r="Q44" s="7" t="inlineStr">
        <is>
          <t>VEL</t>
        </is>
      </c>
      <c r="R44" s="7" t="inlineStr">
        <is>
          <t>RD</t>
        </is>
      </c>
      <c r="S44" s="7" t="inlineStr">
        <is>
          <t>dano</t>
        </is>
      </c>
      <c r="AA44" s="26" t="inlineStr">
        <is>
          <t>Lista: rolagens do Conjunto</t>
        </is>
      </c>
    </row>
    <row r="45" ht="37" customHeight="1">
      <c r="A45" s="16" t="inlineStr">
        <is>
          <t>A</t>
        </is>
      </c>
      <c r="B45" s="27" t="n"/>
      <c r="C45" s="23" t="n"/>
      <c r="D45" s="29" t="n"/>
      <c r="E45" s="23" t="n"/>
      <c r="F45" s="29" t="n"/>
      <c r="G45" s="17">
        <f>COUNTIFS($AG$36:$AG$41,"A",$AD$36:$AD$41,"Sim")</f>
        <v/>
      </c>
      <c r="H45" s="17">
        <f>IF($G$45&gt;=4,"4 peças",IF($G$45&gt;=2,"2 peças","—"))</f>
        <v/>
      </c>
      <c r="I45" s="13">
        <f>IF(AM45&gt;0,"O Google leu como fórmula: escolha de novo ou digite com ' na frente.",IF(AM51&gt;0,"Linha 51: O Google leu como fórmula: digite de novo com ' na frente.",IF(AND($AE$45&lt;&gt;"",COUNTIF('Dados'!$AP$6:$AP$9,$AE$45)=0),"Bônus fora da lista de 25.3. ","")&amp;IF(AND(LEN($AG$45)&gt;0,$AE$45&lt;&gt;"Um tipo de rolagem +1"),"Qual rolagem só vale com o bônus Um tipo de rolagem +1. ","")&amp;IF(AND(LEN($AG$45)&gt;0,COUNTIF($AA$45:$AA$69,$AG$45)=0),"Rolagem fora da lista. ","")&amp;IF(AND($G$45&gt;=2,$AE$45="Um tipo de rolagem +1",LEN($AG$45)=0),"Escolha qual rolagem recebe o +1.","")))</f>
        <v/>
      </c>
      <c r="P45" s="25">
        <f>IF(AND($G$45&gt;=2,$AE$45="Um tipo de rolagem +1",LEN($AG$45)&gt;0),""&amp;$AG$45,"")</f>
        <v/>
      </c>
      <c r="Q45" s="25">
        <f>IF(AND($G$45&gt;=2,$AE$45="Velocidade +1"),1,0)</f>
        <v/>
      </c>
      <c r="R45" s="25">
        <f>IF(AND($G$45&gt;=2,$AE$45="RD +1"),1,0)</f>
        <v/>
      </c>
      <c r="S45" s="25">
        <f>IF(AND($G$45&gt;=2,$AE$45="Dano +2"),2,0)</f>
        <v/>
      </c>
      <c r="AA45" s="10" t="inlineStr">
        <is>
          <t>Teste de Ataque</t>
        </is>
      </c>
      <c r="AD45">
        <f>IF(ISERROR($B$45),"",IF(ISBLANK($B$45),"",$B$45))</f>
        <v/>
      </c>
      <c r="AE45">
        <f>IF(ISERROR($C$45),"",IF(ISBLANK($C$45),"",$C$45))</f>
        <v/>
      </c>
      <c r="AG45">
        <f>IF(ISERROR($E$45),"",IF(ISBLANK($E$45),"",$E$45))</f>
        <v/>
      </c>
      <c r="AM45">
        <f>ISERROR($B$45)*1+ISERROR($C$45)*1+ISERROR($E$45)*1</f>
        <v/>
      </c>
    </row>
    <row r="46" ht="37" customHeight="1">
      <c r="A46" s="18" t="inlineStr">
        <is>
          <t>B</t>
        </is>
      </c>
      <c r="B46" s="60" t="n"/>
      <c r="C46" s="36" t="n"/>
      <c r="D46" s="29" t="n"/>
      <c r="E46" s="36" t="n"/>
      <c r="F46" s="29" t="n"/>
      <c r="G46" s="19">
        <f>COUNTIFS($AG$36:$AG$41,"B",$AD$36:$AD$41,"Sim")</f>
        <v/>
      </c>
      <c r="H46" s="19">
        <f>IF($G$46&gt;=4,"4 peças",IF($G$46&gt;=2,"2 peças","—"))</f>
        <v/>
      </c>
      <c r="I46" s="20">
        <f>IF(AM46&gt;0,"O Google leu como fórmula: escolha de novo ou digite com ' na frente.",IF(AM52&gt;0,"Linha 52: O Google leu como fórmula: digite de novo com ' na frente.",IF(AND($AE$46&lt;&gt;"",COUNTIF('Dados'!$AP$6:$AP$9,$AE$46)=0),"Bônus fora da lista de 25.3. ","")&amp;IF(AND(LEN($AG$46)&gt;0,$AE$46&lt;&gt;"Um tipo de rolagem +1"),"Qual rolagem só vale com o bônus Um tipo de rolagem +1. ","")&amp;IF(AND(LEN($AG$46)&gt;0,COUNTIF($AA$45:$AA$69,$AG$46)=0),"Rolagem fora da lista. ","")&amp;IF(AND($G$46&gt;=2,$AE$46="Um tipo de rolagem +1",LEN($AG$46)=0),"Escolha qual rolagem recebe o +1.","")))</f>
        <v/>
      </c>
      <c r="M46" s="35" t="n"/>
      <c r="N46" s="35" t="n"/>
      <c r="O46" s="35" t="n"/>
      <c r="P46" s="25">
        <f>IF(AND($G$46&gt;=2,$AE$46="Um tipo de rolagem +1",LEN($AG$46)&gt;0),""&amp;$AG$46,"")</f>
        <v/>
      </c>
      <c r="Q46" s="25">
        <f>IF(AND($G$46&gt;=2,$AE$46="Velocidade +1"),1,0)</f>
        <v/>
      </c>
      <c r="R46" s="25">
        <f>IF(AND($G$46&gt;=2,$AE$46="RD +1"),1,0)</f>
        <v/>
      </c>
      <c r="S46" s="25">
        <f>IF(AND($G$46&gt;=2,$AE$46="Dano +2"),2,0)</f>
        <v/>
      </c>
      <c r="AA46" s="10" t="inlineStr">
        <is>
          <t>Potência Física</t>
        </is>
      </c>
      <c r="AD46">
        <f>IF(ISERROR($B$46),"",IF(ISBLANK($B$46),"",$B$46))</f>
        <v/>
      </c>
      <c r="AE46">
        <f>IF(ISERROR($C$46),"",IF(ISBLANK($C$46),"",$C$46))</f>
        <v/>
      </c>
      <c r="AG46">
        <f>IF(ISERROR($E$46),"",IF(ISBLANK($E$46),"",$E$46))</f>
        <v/>
      </c>
      <c r="AM46">
        <f>ISERROR($B$46)*1+ISERROR($C$46)*1+ISERROR($E$46)*1</f>
        <v/>
      </c>
    </row>
    <row r="47" ht="37" customHeight="1">
      <c r="A47" s="16" t="inlineStr">
        <is>
          <t>C</t>
        </is>
      </c>
      <c r="B47" s="27" t="n"/>
      <c r="C47" s="23" t="n"/>
      <c r="D47" s="29" t="n"/>
      <c r="E47" s="23" t="n"/>
      <c r="F47" s="29" t="n"/>
      <c r="G47" s="17">
        <f>COUNTIFS($AG$36:$AG$41,"C",$AD$36:$AD$41,"Sim")</f>
        <v/>
      </c>
      <c r="H47" s="17">
        <f>IF($G$47&gt;=4,"4 peças",IF($G$47&gt;=2,"2 peças","—"))</f>
        <v/>
      </c>
      <c r="I47" s="13">
        <f>IF(AM47&gt;0,"O Google leu como fórmula: escolha de novo ou digite com ' na frente.",IF(AM53&gt;0,"Linha 53: O Google leu como fórmula: digite de novo com ' na frente.",IF(AND($AE$47&lt;&gt;"",COUNTIF('Dados'!$AP$6:$AP$9,$AE$47)=0),"Bônus fora da lista de 25.3. ","")&amp;IF(AND(LEN($AG$47)&gt;0,$AE$47&lt;&gt;"Um tipo de rolagem +1"),"Qual rolagem só vale com o bônus Um tipo de rolagem +1. ","")&amp;IF(AND(LEN($AG$47)&gt;0,COUNTIF($AA$45:$AA$69,$AG$47)=0),"Rolagem fora da lista. ","")&amp;IF(AND($G$47&gt;=2,$AE$47="Um tipo de rolagem +1",LEN($AG$47)=0),"Escolha qual rolagem recebe o +1.","")))</f>
        <v/>
      </c>
      <c r="P47" s="25">
        <f>IF(AND($G$47&gt;=2,$AE$47="Um tipo de rolagem +1",LEN($AG$47)&gt;0),""&amp;$AG$47,"")</f>
        <v/>
      </c>
      <c r="Q47" s="25">
        <f>IF(AND($G$47&gt;=2,$AE$47="Velocidade +1"),1,0)</f>
        <v/>
      </c>
      <c r="R47" s="25">
        <f>IF(AND($G$47&gt;=2,$AE$47="RD +1"),1,0)</f>
        <v/>
      </c>
      <c r="S47" s="25">
        <f>IF(AND($G$47&gt;=2,$AE$47="Dano +2"),2,0)</f>
        <v/>
      </c>
      <c r="AA47" s="10" t="inlineStr">
        <is>
          <t>Reflexos</t>
        </is>
      </c>
      <c r="AD47">
        <f>IF(ISERROR($B$47),"",IF(ISBLANK($B$47),"",$B$47))</f>
        <v/>
      </c>
      <c r="AE47">
        <f>IF(ISERROR($C$47),"",IF(ISBLANK($C$47),"",$C$47))</f>
        <v/>
      </c>
      <c r="AG47">
        <f>IF(ISERROR($E$47),"",IF(ISBLANK($E$47),"",$E$47))</f>
        <v/>
      </c>
      <c r="AM47">
        <f>ISERROR($B$47)*1+ISERROR($C$47)*1+ISERROR($E$47)*1</f>
        <v/>
      </c>
    </row>
    <row r="48" ht="37" customHeight="1">
      <c r="A48" s="33" t="inlineStr">
        <is>
          <t>Bônus de Conjunto somados</t>
        </is>
      </c>
      <c r="B48" s="34" t="inlineStr">
        <is>
          <t>Velocidade</t>
        </is>
      </c>
      <c r="C48" s="19">
        <f>SUM(Q45:Q47)</f>
        <v/>
      </c>
      <c r="D48" s="34" t="inlineStr">
        <is>
          <t>RD</t>
        </is>
      </c>
      <c r="E48" s="19">
        <f>SUM(R45:R47)</f>
        <v/>
      </c>
      <c r="F48" s="34" t="inlineStr">
        <is>
          <t>Dano do Ataque Básico (teto +3)</t>
        </is>
      </c>
      <c r="G48" s="19">
        <f>MIN(3,$S$48)</f>
        <v/>
      </c>
      <c r="H48" s="34" t="inlineStr">
        <is>
          <t>Rolagens com +1:</t>
        </is>
      </c>
      <c r="I48" s="21">
        <f>IF(SUMPRODUCT((LEN($P$45:$P$47)&gt;0)*1)=0,"nenhuma",P45&amp;IF(LEN(P46)&gt;0,IF(LEN(P45)&gt;0," · ","")&amp;P46,"")&amp;IF(LEN(P47)&gt;0,IF(LEN(P45&amp;P46)&gt;0," · ","")&amp;P47,""))</f>
        <v/>
      </c>
      <c r="L48" s="20">
        <f>IF($S$48&gt;3,"Os Conjuntos somam +"&amp;$S$48&amp;" de dano: o teto é +3 por rolagem (25.3).","")</f>
        <v/>
      </c>
      <c r="M48" s="35" t="n"/>
      <c r="N48" s="35" t="n"/>
      <c r="O48" s="35" t="n"/>
      <c r="P48" s="35" t="n"/>
      <c r="Q48" s="35" t="n"/>
      <c r="R48" s="35" t="n"/>
      <c r="S48" s="25">
        <f>SUM(S45:S47)</f>
        <v/>
      </c>
      <c r="AA48" s="10" t="inlineStr">
        <is>
          <t>Resistência Física</t>
        </is>
      </c>
    </row>
    <row r="49" ht="26" customHeight="1">
      <c r="AA49" s="10" t="inlineStr">
        <is>
          <t>Resistência Mental</t>
        </is>
      </c>
    </row>
    <row r="50" ht="26" customHeight="1">
      <c r="A50" s="7" t="inlineStr">
        <is>
          <t>Conjunto</t>
        </is>
      </c>
      <c r="B50" s="7" t="inlineStr">
        <is>
          <t>Nome (automático)</t>
        </is>
      </c>
      <c r="C50" s="7" t="inlineStr">
        <is>
          <t>Efeito de 4 peças (escreva)</t>
        </is>
      </c>
      <c r="D50" s="15" t="n"/>
      <c r="E50" s="15" t="n"/>
      <c r="F50" s="15" t="n"/>
      <c r="G50" s="15" t="n"/>
      <c r="H50" s="15" t="n"/>
      <c r="I50" s="15" t="n"/>
      <c r="J50" s="15" t="n"/>
      <c r="K50" s="15" t="n"/>
      <c r="L50" s="15" t="n"/>
      <c r="AA50" s="10" t="inlineStr">
        <is>
          <t>Percepção Mental</t>
        </is>
      </c>
    </row>
    <row r="51" ht="37" customHeight="1">
      <c r="A51" s="16" t="inlineStr">
        <is>
          <t>A</t>
        </is>
      </c>
      <c r="B51" s="4">
        <f>IF(LEN($AD$45)=0,"Conjunto A",""&amp;$AD$45)</f>
        <v/>
      </c>
      <c r="C51" s="27" t="n"/>
      <c r="D51" s="28" t="n"/>
      <c r="E51" s="28" t="n"/>
      <c r="F51" s="28" t="n"/>
      <c r="G51" s="28" t="n"/>
      <c r="H51" s="28" t="n"/>
      <c r="I51" s="28" t="n"/>
      <c r="J51" s="28" t="n"/>
      <c r="K51" s="28" t="n"/>
      <c r="L51" s="29" t="n"/>
      <c r="AA51" s="10" t="inlineStr">
        <is>
          <t>Força de Vontade</t>
        </is>
      </c>
      <c r="AM51">
        <f>ISERROR($C$51)*1</f>
        <v/>
      </c>
    </row>
    <row r="52" ht="37" customHeight="1">
      <c r="A52" s="18" t="inlineStr">
        <is>
          <t>B</t>
        </is>
      </c>
      <c r="B52" s="9">
        <f>IF(LEN($AD$46)=0,"Conjunto B",""&amp;$AD$46)</f>
        <v/>
      </c>
      <c r="C52" s="60" t="n"/>
      <c r="D52" s="28" t="n"/>
      <c r="E52" s="28" t="n"/>
      <c r="F52" s="28" t="n"/>
      <c r="G52" s="28" t="n"/>
      <c r="H52" s="28" t="n"/>
      <c r="I52" s="28" t="n"/>
      <c r="J52" s="28" t="n"/>
      <c r="K52" s="28" t="n"/>
      <c r="L52" s="29" t="n"/>
      <c r="AA52" s="10" t="inlineStr">
        <is>
          <t>Atletismo</t>
        </is>
      </c>
      <c r="AM52">
        <f>ISERROR($C$52)*1</f>
        <v/>
      </c>
    </row>
    <row r="53" ht="37" customHeight="1">
      <c r="A53" s="16" t="inlineStr">
        <is>
          <t>C</t>
        </is>
      </c>
      <c r="B53" s="4">
        <f>IF(LEN($AD$47)=0,"Conjunto C",""&amp;$AD$47)</f>
        <v/>
      </c>
      <c r="C53" s="27" t="n"/>
      <c r="D53" s="28" t="n"/>
      <c r="E53" s="28" t="n"/>
      <c r="F53" s="28" t="n"/>
      <c r="G53" s="28" t="n"/>
      <c r="H53" s="28" t="n"/>
      <c r="I53" s="28" t="n"/>
      <c r="J53" s="28" t="n"/>
      <c r="K53" s="28" t="n"/>
      <c r="L53" s="29" t="n"/>
      <c r="AA53" s="10" t="inlineStr">
        <is>
          <t>Acrobacia</t>
        </is>
      </c>
      <c r="AM53">
        <f>ISERROR($C$53)*1</f>
        <v/>
      </c>
    </row>
    <row r="54">
      <c r="AA54" s="10" t="inlineStr">
        <is>
          <t>Furtividade</t>
        </is>
      </c>
    </row>
    <row r="55">
      <c r="A55" s="14" t="inlineStr">
        <is>
          <t>Inventário e Espaço — 24.4 (capacidade = 10 + 2 × Bônus de Poder; vestido e empunhado contam)</t>
        </is>
      </c>
      <c r="AA55" s="10" t="inlineStr">
        <is>
          <t>Pilotagem</t>
        </is>
      </c>
    </row>
    <row r="56" ht="48" customHeight="1">
      <c r="A56" s="8" t="inlineStr">
        <is>
          <t>Capacidade (Espaço)</t>
        </is>
      </c>
      <c r="B56" s="17">
        <f>10+2*'Criação'!$F$44+IF((COUNTIF('Caminho'!$I$27:$I$36,"Peso do Juramento")&gt;0),2,0)</f>
        <v/>
      </c>
      <c r="C56" s="12" t="inlineStr">
        <is>
          <t>10 + 2 × Bônus de Poder (+2 com a Bênção Peso do Juramento)</t>
        </is>
      </c>
      <c r="V56" s="26" t="inlineStr">
        <is>
          <t>Catálogo (24.1 a 24.3)</t>
        </is>
      </c>
      <c r="W56" s="26" t="inlineStr">
        <is>
          <t>Espaço</t>
        </is>
      </c>
      <c r="AA56" s="10" t="inlineStr">
        <is>
          <t>Resistência</t>
        </is>
      </c>
    </row>
    <row r="57" ht="26" customHeight="1">
      <c r="A57" s="8" t="inlineStr">
        <is>
          <t>Ocupado (itens + armas + armadura)</t>
        </is>
      </c>
      <c r="B57" s="17">
        <f>$F$81+$G$7+$G$8+$G$9</f>
        <v/>
      </c>
      <c r="C57" s="22">
        <f>"itens "&amp;$F$81&amp;" · armas "&amp;($G$7+$G$8)&amp;" · armadura "&amp;$G$9</f>
        <v/>
      </c>
      <c r="V57" s="25">
        <f>"Poção de Vida "&amp;INDEX('Dados'!$A$486:$A$488,1)</f>
        <v/>
      </c>
      <c r="W57" s="25">
        <f>INDEX('Dados'!$C$486:$C$488,1)</f>
        <v/>
      </c>
      <c r="AA57" s="10" t="inlineStr">
        <is>
          <t>Tecnologia</t>
        </is>
      </c>
    </row>
    <row r="58" ht="37" customHeight="1">
      <c r="A58" s="8" t="inlineStr">
        <is>
          <t>Estado</t>
        </is>
      </c>
      <c r="B58" s="17">
        <f>IF($B$57&gt;2*$B$56,"Não consegue se mover",IF($B$57&gt;$B$56,"Lentidão","Normal"))</f>
        <v/>
      </c>
      <c r="K58" s="13">
        <f>IF($B$57&gt;2*$B$56,"Acima do dobro da capacidade: você não consegue se mover, nem com Esforço Total (24.4).",IF($B$57&gt;$B$56,"Acima da capacidade: Lentidão (24.4). Largar carga é Ação Complementar.",""))</f>
        <v/>
      </c>
      <c r="V58" s="25">
        <f>"Poção de Vida "&amp;INDEX('Dados'!$A$486:$A$488,2)</f>
        <v/>
      </c>
      <c r="W58" s="25">
        <f>INDEX('Dados'!$C$486:$C$488,2)</f>
        <v/>
      </c>
      <c r="AA58" s="10" t="inlineStr">
        <is>
          <t>Pesquisa</t>
        </is>
      </c>
    </row>
    <row r="59" ht="40" customHeight="1">
      <c r="A59" s="7" t="inlineStr">
        <is>
          <t>Item 1 a 10 (escolha do catálogo ou escreva)</t>
        </is>
      </c>
      <c r="B59" s="15" t="n"/>
      <c r="C59" s="7" t="inlineStr">
        <is>
          <t>Espaço (só fora do catálogo)</t>
        </is>
      </c>
      <c r="D59" s="7" t="inlineStr">
        <is>
          <t>Espaço por unidade</t>
        </is>
      </c>
      <c r="E59" s="7" t="inlineStr">
        <is>
          <t>Quantidade (vazio = 1)</t>
        </is>
      </c>
      <c r="F59" s="7" t="inlineStr">
        <is>
          <t>Espaço total</t>
        </is>
      </c>
      <c r="G59" s="7" t="inlineStr">
        <is>
          <t>Do catálogo?</t>
        </is>
      </c>
      <c r="H59" s="15" t="n"/>
      <c r="I59" s="15" t="n"/>
      <c r="J59" s="15" t="n"/>
      <c r="K59" s="7" t="inlineStr">
        <is>
          <t>Aviso</t>
        </is>
      </c>
      <c r="L59" s="15" t="n"/>
      <c r="V59" s="25">
        <f>"Poção de Vida "&amp;INDEX('Dados'!$A$486:$A$488,3)</f>
        <v/>
      </c>
      <c r="W59" s="25">
        <f>INDEX('Dados'!$C$486:$C$488,3)</f>
        <v/>
      </c>
      <c r="AA59" s="10" t="inlineStr">
        <is>
          <t>Ciência</t>
        </is>
      </c>
    </row>
    <row r="60" ht="37" customHeight="1">
      <c r="A60" s="62" t="n"/>
      <c r="B60" s="29" t="n"/>
      <c r="C60" s="23" t="n"/>
      <c r="D60" s="22">
        <f>IF(LEN($AC$60)=0,"",IFERROR(VLOOKUP($AC$60,$V$57:$W$79,2,FALSE),IF(ISNUMBER($AE$60),$AE$60,0)))</f>
        <v/>
      </c>
      <c r="E60" s="23" t="n"/>
      <c r="F60" s="17">
        <f>IF(LEN($AC$60)=0,0,IFERROR(VLOOKUP($AC$60,$V$57:$W$79,2,FALSE),IF(ISNUMBER($AE$60),$AE$60,0))*IF(ISNUMBER($AG$60),$AG$60,1))</f>
        <v/>
      </c>
      <c r="G60" s="22">
        <f>IF(LEN($AC$60)=0,"",IF(ISERROR(MATCH($AC$60,$V$57:$V$79,0)),"Texto livre: use o Espaço que o Mestre aprovar","Sim (capítulo 24)"))</f>
        <v/>
      </c>
      <c r="K60" s="13">
        <f>IF(AM60&gt;0,"O Google leu como fórmula: digite de novo com ' na frente.",IF(LEN($AC$60)=0,IF(OR(LEN($AE$60)&gt;0,LEN($AG$60)&gt;0),"Falta o nome do item.",""),IF(AND(ISERROR(MATCH($AC$60,$V$57:$V$79,0)),LEN($AE$60)=0),"Fora do catálogo: preencha o Espaço. ","")&amp;IF(AND(LEN($AE$60)&gt;0,NOT(ISNUMBER($AE$60))),"Espaço precisa ser um número. ","")&amp;IF(AND(LEN($AG$60)&gt;0,NOT(ISNUMBER($AG$60))),"Quantidade precisa ser um número.","")))</f>
        <v/>
      </c>
      <c r="V60" s="25">
        <f>INDEX('Dados'!$A$492:$A$502,1)</f>
        <v/>
      </c>
      <c r="W60" s="25">
        <f>INDEX('Dados'!$B$492:$B$502,1)</f>
        <v/>
      </c>
      <c r="AA60" s="10" t="inlineStr">
        <is>
          <t>Mecânica</t>
        </is>
      </c>
      <c r="AC60">
        <f>IF(ISERROR($A$60),"",IF(ISBLANK($A$60),"",$A$60))</f>
        <v/>
      </c>
      <c r="AE60">
        <f>IF(ISERROR($C$60),"",IF(ISBLANK($C$60),"",$C$60))</f>
        <v/>
      </c>
      <c r="AG60">
        <f>IF(ISERROR($E$60),"",IF(ISBLANK($E$60),"",$E$60))</f>
        <v/>
      </c>
      <c r="AM60">
        <f>ISERROR($A$60)*1+ISERROR($C$60)*1+ISERROR($E$60)*1</f>
        <v/>
      </c>
    </row>
    <row r="61" ht="37" customHeight="1">
      <c r="A61" s="63" t="n"/>
      <c r="B61" s="29" t="n"/>
      <c r="C61" s="36" t="n"/>
      <c r="D61" s="21">
        <f>IF(LEN($AC$61)=0,"",IFERROR(VLOOKUP($AC$61,$V$57:$W$79,2,FALSE),IF(ISNUMBER($AE$61),$AE$61,0)))</f>
        <v/>
      </c>
      <c r="E61" s="36" t="n"/>
      <c r="F61" s="19">
        <f>IF(LEN($AC$61)=0,0,IFERROR(VLOOKUP($AC$61,$V$57:$W$79,2,FALSE),IF(ISNUMBER($AE$61),$AE$61,0))*IF(ISNUMBER($AG$61),$AG$61,1))</f>
        <v/>
      </c>
      <c r="G61" s="21">
        <f>IF(LEN($AC$61)=0,"",IF(ISERROR(MATCH($AC$61,$V$57:$V$79,0)),"Texto livre: use o Espaço que o Mestre aprovar","Sim (capítulo 24)"))</f>
        <v/>
      </c>
      <c r="K61" s="20">
        <f>IF(AM61&gt;0,"O Google leu como fórmula: digite de novo com ' na frente.",IF(LEN($AC$61)=0,IF(OR(LEN($AE$61)&gt;0,LEN($AG$61)&gt;0),"Falta o nome do item.",""),IF(AND(ISERROR(MATCH($AC$61,$V$57:$V$79,0)),LEN($AE$61)=0),"Fora do catálogo: preencha o Espaço. ","")&amp;IF(AND(LEN($AE$61)&gt;0,NOT(ISNUMBER($AE$61))),"Espaço precisa ser um número. ","")&amp;IF(AND(LEN($AG$61)&gt;0,NOT(ISNUMBER($AG$61))),"Quantidade precisa ser um número.","")))</f>
        <v/>
      </c>
      <c r="V61" s="25">
        <f>INDEX('Dados'!$A$492:$A$502,2)</f>
        <v/>
      </c>
      <c r="W61" s="25">
        <f>INDEX('Dados'!$B$492:$B$502,2)</f>
        <v/>
      </c>
      <c r="AA61" s="10" t="inlineStr">
        <is>
          <t>Percepção</t>
        </is>
      </c>
      <c r="AC61">
        <f>IF(ISERROR($A$61),"",IF(ISBLANK($A$61),"",$A$61))</f>
        <v/>
      </c>
      <c r="AE61">
        <f>IF(ISERROR($C$61),"",IF(ISBLANK($C$61),"",$C$61))</f>
        <v/>
      </c>
      <c r="AG61">
        <f>IF(ISERROR($E$61),"",IF(ISBLANK($E$61),"",$E$61))</f>
        <v/>
      </c>
      <c r="AM61">
        <f>ISERROR($A$61)*1+ISERROR($C$61)*1+ISERROR($E$61)*1</f>
        <v/>
      </c>
    </row>
    <row r="62" ht="37" customHeight="1">
      <c r="A62" s="62" t="n"/>
      <c r="B62" s="29" t="n"/>
      <c r="C62" s="23" t="n"/>
      <c r="D62" s="22">
        <f>IF(LEN($AC$62)=0,"",IFERROR(VLOOKUP($AC$62,$V$57:$W$79,2,FALSE),IF(ISNUMBER($AE$62),$AE$62,0)))</f>
        <v/>
      </c>
      <c r="E62" s="23" t="n"/>
      <c r="F62" s="17">
        <f>IF(LEN($AC$62)=0,0,IFERROR(VLOOKUP($AC$62,$V$57:$W$79,2,FALSE),IF(ISNUMBER($AE$62),$AE$62,0))*IF(ISNUMBER($AG$62),$AG$62,1))</f>
        <v/>
      </c>
      <c r="G62" s="22">
        <f>IF(LEN($AC$62)=0,"",IF(ISERROR(MATCH($AC$62,$V$57:$V$79,0)),"Texto livre: use o Espaço que o Mestre aprovar","Sim (capítulo 24)"))</f>
        <v/>
      </c>
      <c r="K62" s="13">
        <f>IF(AM62&gt;0,"O Google leu como fórmula: digite de novo com ' na frente.",IF(LEN($AC$62)=0,IF(OR(LEN($AE$62)&gt;0,LEN($AG$62)&gt;0),"Falta o nome do item.",""),IF(AND(ISERROR(MATCH($AC$62,$V$57:$V$79,0)),LEN($AE$62)=0),"Fora do catálogo: preencha o Espaço. ","")&amp;IF(AND(LEN($AE$62)&gt;0,NOT(ISNUMBER($AE$62))),"Espaço precisa ser um número. ","")&amp;IF(AND(LEN($AG$62)&gt;0,NOT(ISNUMBER($AG$62))),"Quantidade precisa ser um número.","")))</f>
        <v/>
      </c>
      <c r="V62" s="25">
        <f>INDEX('Dados'!$A$492:$A$502,3)</f>
        <v/>
      </c>
      <c r="W62" s="25">
        <f>INDEX('Dados'!$B$492:$B$502,3)</f>
        <v/>
      </c>
      <c r="AA62" s="10" t="inlineStr">
        <is>
          <t>Sobrevivência</t>
        </is>
      </c>
      <c r="AC62">
        <f>IF(ISERROR($A$62),"",IF(ISBLANK($A$62),"",$A$62))</f>
        <v/>
      </c>
      <c r="AE62">
        <f>IF(ISERROR($C$62),"",IF(ISBLANK($C$62),"",$C$62))</f>
        <v/>
      </c>
      <c r="AG62">
        <f>IF(ISERROR($E$62),"",IF(ISBLANK($E$62),"",$E$62))</f>
        <v/>
      </c>
      <c r="AM62">
        <f>ISERROR($A$62)*1+ISERROR($C$62)*1+ISERROR($E$62)*1</f>
        <v/>
      </c>
    </row>
    <row r="63" ht="37" customHeight="1">
      <c r="A63" s="63" t="n"/>
      <c r="B63" s="29" t="n"/>
      <c r="C63" s="36" t="n"/>
      <c r="D63" s="21">
        <f>IF(LEN($AC$63)=0,"",IFERROR(VLOOKUP($AC$63,$V$57:$W$79,2,FALSE),IF(ISNUMBER($AE$63),$AE$63,0)))</f>
        <v/>
      </c>
      <c r="E63" s="36" t="n"/>
      <c r="F63" s="19">
        <f>IF(LEN($AC$63)=0,0,IFERROR(VLOOKUP($AC$63,$V$57:$W$79,2,FALSE),IF(ISNUMBER($AE$63),$AE$63,0))*IF(ISNUMBER($AG$63),$AG$63,1))</f>
        <v/>
      </c>
      <c r="G63" s="21">
        <f>IF(LEN($AC$63)=0,"",IF(ISERROR(MATCH($AC$63,$V$57:$V$79,0)),"Texto livre: use o Espaço que o Mestre aprovar","Sim (capítulo 24)"))</f>
        <v/>
      </c>
      <c r="K63" s="20">
        <f>IF(AM63&gt;0,"O Google leu como fórmula: digite de novo com ' na frente.",IF(LEN($AC$63)=0,IF(OR(LEN($AE$63)&gt;0,LEN($AG$63)&gt;0),"Falta o nome do item.",""),IF(AND(ISERROR(MATCH($AC$63,$V$57:$V$79,0)),LEN($AE$63)=0),"Fora do catálogo: preencha o Espaço. ","")&amp;IF(AND(LEN($AE$63)&gt;0,NOT(ISNUMBER($AE$63))),"Espaço precisa ser um número. ","")&amp;IF(AND(LEN($AG$63)&gt;0,NOT(ISNUMBER($AG$63))),"Quantidade precisa ser um número.","")))</f>
        <v/>
      </c>
      <c r="V63" s="25">
        <f>INDEX('Dados'!$A$492:$A$502,4)</f>
        <v/>
      </c>
      <c r="W63" s="25">
        <f>INDEX('Dados'!$B$492:$B$502,4)</f>
        <v/>
      </c>
      <c r="AA63" s="10" t="inlineStr">
        <is>
          <t>Intuição</t>
        </is>
      </c>
      <c r="AC63">
        <f>IF(ISERROR($A$63),"",IF(ISBLANK($A$63),"",$A$63))</f>
        <v/>
      </c>
      <c r="AE63">
        <f>IF(ISERROR($C$63),"",IF(ISBLANK($C$63),"",$C$63))</f>
        <v/>
      </c>
      <c r="AG63">
        <f>IF(ISERROR($E$63),"",IF(ISBLANK($E$63),"",$E$63))</f>
        <v/>
      </c>
      <c r="AM63">
        <f>ISERROR($A$63)*1+ISERROR($C$63)*1+ISERROR($E$63)*1</f>
        <v/>
      </c>
    </row>
    <row r="64" ht="37" customHeight="1">
      <c r="A64" s="62" t="n"/>
      <c r="B64" s="29" t="n"/>
      <c r="C64" s="23" t="n"/>
      <c r="D64" s="22">
        <f>IF(LEN($AC$64)=0,"",IFERROR(VLOOKUP($AC$64,$V$57:$W$79,2,FALSE),IF(ISNUMBER($AE$64),$AE$64,0)))</f>
        <v/>
      </c>
      <c r="E64" s="23" t="n"/>
      <c r="F64" s="17">
        <f>IF(LEN($AC$64)=0,0,IFERROR(VLOOKUP($AC$64,$V$57:$W$79,2,FALSE),IF(ISNUMBER($AE$64),$AE$64,0))*IF(ISNUMBER($AG$64),$AG$64,1))</f>
        <v/>
      </c>
      <c r="G64" s="22">
        <f>IF(LEN($AC$64)=0,"",IF(ISERROR(MATCH($AC$64,$V$57:$V$79,0)),"Texto livre: use o Espaço que o Mestre aprovar","Sim (capítulo 24)"))</f>
        <v/>
      </c>
      <c r="K64" s="13">
        <f>IF(AM64&gt;0,"O Google leu como fórmula: digite de novo com ' na frente.",IF(LEN($AC$64)=0,IF(OR(LEN($AE$64)&gt;0,LEN($AG$64)&gt;0),"Falta o nome do item.",""),IF(AND(ISERROR(MATCH($AC$64,$V$57:$V$79,0)),LEN($AE$64)=0),"Fora do catálogo: preencha o Espaço. ","")&amp;IF(AND(LEN($AE$64)&gt;0,NOT(ISNUMBER($AE$64))),"Espaço precisa ser um número. ","")&amp;IF(AND(LEN($AG$64)&gt;0,NOT(ISNUMBER($AG$64))),"Quantidade precisa ser um número.","")))</f>
        <v/>
      </c>
      <c r="V64" s="25">
        <f>INDEX('Dados'!$A$492:$A$502,5)</f>
        <v/>
      </c>
      <c r="W64" s="25">
        <f>INDEX('Dados'!$B$492:$B$502,5)</f>
        <v/>
      </c>
      <c r="AA64" s="10" t="inlineStr">
        <is>
          <t>Investigação</t>
        </is>
      </c>
      <c r="AC64">
        <f>IF(ISERROR($A$64),"",IF(ISBLANK($A$64),"",$A$64))</f>
        <v/>
      </c>
      <c r="AE64">
        <f>IF(ISERROR($C$64),"",IF(ISBLANK($C$64),"",$C$64))</f>
        <v/>
      </c>
      <c r="AG64">
        <f>IF(ISERROR($E$64),"",IF(ISBLANK($E$64),"",$E$64))</f>
        <v/>
      </c>
      <c r="AM64">
        <f>ISERROR($A$64)*1+ISERROR($C$64)*1+ISERROR($E$64)*1</f>
        <v/>
      </c>
    </row>
    <row r="65" ht="37" customHeight="1">
      <c r="A65" s="63" t="n"/>
      <c r="B65" s="29" t="n"/>
      <c r="C65" s="36" t="n"/>
      <c r="D65" s="21">
        <f>IF(LEN($AC$65)=0,"",IFERROR(VLOOKUP($AC$65,$V$57:$W$79,2,FALSE),IF(ISNUMBER($AE$65),$AE$65,0)))</f>
        <v/>
      </c>
      <c r="E65" s="36" t="n"/>
      <c r="F65" s="19">
        <f>IF(LEN($AC$65)=0,0,IFERROR(VLOOKUP($AC$65,$V$57:$W$79,2,FALSE),IF(ISNUMBER($AE$65),$AE$65,0))*IF(ISNUMBER($AG$65),$AG$65,1))</f>
        <v/>
      </c>
      <c r="G65" s="21">
        <f>IF(LEN($AC$65)=0,"",IF(ISERROR(MATCH($AC$65,$V$57:$V$79,0)),"Texto livre: use o Espaço que o Mestre aprovar","Sim (capítulo 24)"))</f>
        <v/>
      </c>
      <c r="K65" s="20">
        <f>IF(AM65&gt;0,"O Google leu como fórmula: digite de novo com ' na frente.",IF(LEN($AC$65)=0,IF(OR(LEN($AE$65)&gt;0,LEN($AG$65)&gt;0),"Falta o nome do item.",""),IF(AND(ISERROR(MATCH($AC$65,$V$57:$V$79,0)),LEN($AE$65)=0),"Fora do catálogo: preencha o Espaço. ","")&amp;IF(AND(LEN($AE$65)&gt;0,NOT(ISNUMBER($AE$65))),"Espaço precisa ser um número. ","")&amp;IF(AND(LEN($AG$65)&gt;0,NOT(ISNUMBER($AG$65))),"Quantidade precisa ser um número.","")))</f>
        <v/>
      </c>
      <c r="V65" s="25">
        <f>INDEX('Dados'!$A$492:$A$502,6)</f>
        <v/>
      </c>
      <c r="W65" s="25">
        <f>INDEX('Dados'!$B$492:$B$502,6)</f>
        <v/>
      </c>
      <c r="AA65" s="10" t="inlineStr">
        <is>
          <t>Persuasão</t>
        </is>
      </c>
      <c r="AC65">
        <f>IF(ISERROR($A$65),"",IF(ISBLANK($A$65),"",$A$65))</f>
        <v/>
      </c>
      <c r="AE65">
        <f>IF(ISERROR($C$65),"",IF(ISBLANK($C$65),"",$C$65))</f>
        <v/>
      </c>
      <c r="AG65">
        <f>IF(ISERROR($E$65),"",IF(ISBLANK($E$65),"",$E$65))</f>
        <v/>
      </c>
      <c r="AM65">
        <f>ISERROR($A$65)*1+ISERROR($C$65)*1+ISERROR($E$65)*1</f>
        <v/>
      </c>
    </row>
    <row r="66" ht="37" customHeight="1">
      <c r="A66" s="62" t="n"/>
      <c r="B66" s="29" t="n"/>
      <c r="C66" s="23" t="n"/>
      <c r="D66" s="22">
        <f>IF(LEN($AC$66)=0,"",IFERROR(VLOOKUP($AC$66,$V$57:$W$79,2,FALSE),IF(ISNUMBER($AE$66),$AE$66,0)))</f>
        <v/>
      </c>
      <c r="E66" s="23" t="n"/>
      <c r="F66" s="17">
        <f>IF(LEN($AC$66)=0,0,IFERROR(VLOOKUP($AC$66,$V$57:$W$79,2,FALSE),IF(ISNUMBER($AE$66),$AE$66,0))*IF(ISNUMBER($AG$66),$AG$66,1))</f>
        <v/>
      </c>
      <c r="G66" s="22">
        <f>IF(LEN($AC$66)=0,"",IF(ISERROR(MATCH($AC$66,$V$57:$V$79,0)),"Texto livre: use o Espaço que o Mestre aprovar","Sim (capítulo 24)"))</f>
        <v/>
      </c>
      <c r="K66" s="13">
        <f>IF(AM66&gt;0,"O Google leu como fórmula: digite de novo com ' na frente.",IF(LEN($AC$66)=0,IF(OR(LEN($AE$66)&gt;0,LEN($AG$66)&gt;0),"Falta o nome do item.",""),IF(AND(ISERROR(MATCH($AC$66,$V$57:$V$79,0)),LEN($AE$66)=0),"Fora do catálogo: preencha o Espaço. ","")&amp;IF(AND(LEN($AE$66)&gt;0,NOT(ISNUMBER($AE$66))),"Espaço precisa ser um número. ","")&amp;IF(AND(LEN($AG$66)&gt;0,NOT(ISNUMBER($AG$66))),"Quantidade precisa ser um número.","")))</f>
        <v/>
      </c>
      <c r="V66" s="25">
        <f>INDEX('Dados'!$A$492:$A$502,7)</f>
        <v/>
      </c>
      <c r="W66" s="25">
        <f>INDEX('Dados'!$B$492:$B$502,7)</f>
        <v/>
      </c>
      <c r="AA66" s="10" t="inlineStr">
        <is>
          <t>Intimidação</t>
        </is>
      </c>
      <c r="AC66">
        <f>IF(ISERROR($A$66),"",IF(ISBLANK($A$66),"",$A$66))</f>
        <v/>
      </c>
      <c r="AE66">
        <f>IF(ISERROR($C$66),"",IF(ISBLANK($C$66),"",$C$66))</f>
        <v/>
      </c>
      <c r="AG66">
        <f>IF(ISERROR($E$66),"",IF(ISBLANK($E$66),"",$E$66))</f>
        <v/>
      </c>
      <c r="AM66">
        <f>ISERROR($A$66)*1+ISERROR($C$66)*1+ISERROR($E$66)*1</f>
        <v/>
      </c>
    </row>
    <row r="67" ht="37" customHeight="1">
      <c r="A67" s="63" t="n"/>
      <c r="B67" s="29" t="n"/>
      <c r="C67" s="36" t="n"/>
      <c r="D67" s="21">
        <f>IF(LEN($AC$67)=0,"",IFERROR(VLOOKUP($AC$67,$V$57:$W$79,2,FALSE),IF(ISNUMBER($AE$67),$AE$67,0)))</f>
        <v/>
      </c>
      <c r="E67" s="36" t="n"/>
      <c r="F67" s="19">
        <f>IF(LEN($AC$67)=0,0,IFERROR(VLOOKUP($AC$67,$V$57:$W$79,2,FALSE),IF(ISNUMBER($AE$67),$AE$67,0))*IF(ISNUMBER($AG$67),$AG$67,1))</f>
        <v/>
      </c>
      <c r="G67" s="21">
        <f>IF(LEN($AC$67)=0,"",IF(ISERROR(MATCH($AC$67,$V$57:$V$79,0)),"Texto livre: use o Espaço que o Mestre aprovar","Sim (capítulo 24)"))</f>
        <v/>
      </c>
      <c r="K67" s="20">
        <f>IF(AM67&gt;0,"O Google leu como fórmula: digite de novo com ' na frente.",IF(LEN($AC$67)=0,IF(OR(LEN($AE$67)&gt;0,LEN($AG$67)&gt;0),"Falta o nome do item.",""),IF(AND(ISERROR(MATCH($AC$67,$V$57:$V$79,0)),LEN($AE$67)=0),"Fora do catálogo: preencha o Espaço. ","")&amp;IF(AND(LEN($AE$67)&gt;0,NOT(ISNUMBER($AE$67))),"Espaço precisa ser um número. ","")&amp;IF(AND(LEN($AG$67)&gt;0,NOT(ISNUMBER($AG$67))),"Quantidade precisa ser um número.","")))</f>
        <v/>
      </c>
      <c r="V67" s="25">
        <f>INDEX('Dados'!$A$492:$A$502,8)</f>
        <v/>
      </c>
      <c r="W67" s="25">
        <f>INDEX('Dados'!$B$492:$B$502,8)</f>
        <v/>
      </c>
      <c r="AA67" s="10" t="inlineStr">
        <is>
          <t>Enganação</t>
        </is>
      </c>
      <c r="AC67">
        <f>IF(ISERROR($A$67),"",IF(ISBLANK($A$67),"",$A$67))</f>
        <v/>
      </c>
      <c r="AE67">
        <f>IF(ISERROR($C$67),"",IF(ISBLANK($C$67),"",$C$67))</f>
        <v/>
      </c>
      <c r="AG67">
        <f>IF(ISERROR($E$67),"",IF(ISBLANK($E$67),"",$E$67))</f>
        <v/>
      </c>
      <c r="AM67">
        <f>ISERROR($A$67)*1+ISERROR($C$67)*1+ISERROR($E$67)*1</f>
        <v/>
      </c>
    </row>
    <row r="68" ht="37" customHeight="1">
      <c r="A68" s="62" t="n"/>
      <c r="B68" s="29" t="n"/>
      <c r="C68" s="23" t="n"/>
      <c r="D68" s="22">
        <f>IF(LEN($AC$68)=0,"",IFERROR(VLOOKUP($AC$68,$V$57:$W$79,2,FALSE),IF(ISNUMBER($AE$68),$AE$68,0)))</f>
        <v/>
      </c>
      <c r="E68" s="23" t="n"/>
      <c r="F68" s="17">
        <f>IF(LEN($AC$68)=0,0,IFERROR(VLOOKUP($AC$68,$V$57:$W$79,2,FALSE),IF(ISNUMBER($AE$68),$AE$68,0))*IF(ISNUMBER($AG$68),$AG$68,1))</f>
        <v/>
      </c>
      <c r="G68" s="22">
        <f>IF(LEN($AC$68)=0,"",IF(ISERROR(MATCH($AC$68,$V$57:$V$79,0)),"Texto livre: use o Espaço que o Mestre aprovar","Sim (capítulo 24)"))</f>
        <v/>
      </c>
      <c r="K68" s="13">
        <f>IF(AM68&gt;0,"O Google leu como fórmula: digite de novo com ' na frente.",IF(LEN($AC$68)=0,IF(OR(LEN($AE$68)&gt;0,LEN($AG$68)&gt;0),"Falta o nome do item.",""),IF(AND(ISERROR(MATCH($AC$68,$V$57:$V$79,0)),LEN($AE$68)=0),"Fora do catálogo: preencha o Espaço. ","")&amp;IF(AND(LEN($AE$68)&gt;0,NOT(ISNUMBER($AE$68))),"Espaço precisa ser um número. ","")&amp;IF(AND(LEN($AG$68)&gt;0,NOT(ISNUMBER($AG$68))),"Quantidade precisa ser um número.","")))</f>
        <v/>
      </c>
      <c r="V68" s="25">
        <f>INDEX('Dados'!$A$492:$A$502,9)</f>
        <v/>
      </c>
      <c r="W68" s="25">
        <f>INDEX('Dados'!$B$492:$B$502,9)</f>
        <v/>
      </c>
      <c r="AA68" s="10" t="inlineStr">
        <is>
          <t>Liderança</t>
        </is>
      </c>
      <c r="AC68">
        <f>IF(ISERROR($A$68),"",IF(ISBLANK($A$68),"",$A$68))</f>
        <v/>
      </c>
      <c r="AE68">
        <f>IF(ISERROR($C$68),"",IF(ISBLANK($C$68),"",$C$68))</f>
        <v/>
      </c>
      <c r="AG68">
        <f>IF(ISERROR($E$68),"",IF(ISBLANK($E$68),"",$E$68))</f>
        <v/>
      </c>
      <c r="AM68">
        <f>ISERROR($A$68)*1+ISERROR($C$68)*1+ISERROR($E$68)*1</f>
        <v/>
      </c>
    </row>
    <row r="69" ht="37" customHeight="1">
      <c r="A69" s="63" t="n"/>
      <c r="B69" s="29" t="n"/>
      <c r="C69" s="36" t="n"/>
      <c r="D69" s="21">
        <f>IF(LEN($AC$69)=0,"",IFERROR(VLOOKUP($AC$69,$V$57:$W$79,2,FALSE),IF(ISNUMBER($AE$69),$AE$69,0)))</f>
        <v/>
      </c>
      <c r="E69" s="36" t="n"/>
      <c r="F69" s="19">
        <f>IF(LEN($AC$69)=0,0,IFERROR(VLOOKUP($AC$69,$V$57:$W$79,2,FALSE),IF(ISNUMBER($AE$69),$AE$69,0))*IF(ISNUMBER($AG$69),$AG$69,1))</f>
        <v/>
      </c>
      <c r="G69" s="21">
        <f>IF(LEN($AC$69)=0,"",IF(ISERROR(MATCH($AC$69,$V$57:$V$79,0)),"Texto livre: use o Espaço que o Mestre aprovar","Sim (capítulo 24)"))</f>
        <v/>
      </c>
      <c r="K69" s="20">
        <f>IF(AM69&gt;0,"O Google leu como fórmula: digite de novo com ' na frente.",IF(LEN($AC$69)=0,IF(OR(LEN($AE$69)&gt;0,LEN($AG$69)&gt;0),"Falta o nome do item.",""),IF(AND(ISERROR(MATCH($AC$69,$V$57:$V$79,0)),LEN($AE$69)=0),"Fora do catálogo: preencha o Espaço. ","")&amp;IF(AND(LEN($AE$69)&gt;0,NOT(ISNUMBER($AE$69))),"Espaço precisa ser um número. ","")&amp;IF(AND(LEN($AG$69)&gt;0,NOT(ISNUMBER($AG$69))),"Quantidade precisa ser um número.","")))</f>
        <v/>
      </c>
      <c r="V69" s="25">
        <f>INDEX('Dados'!$A$492:$A$502,10)</f>
        <v/>
      </c>
      <c r="W69" s="25">
        <f>INDEX('Dados'!$B$492:$B$502,10)</f>
        <v/>
      </c>
      <c r="AA69" s="10" t="inlineStr">
        <is>
          <t>Sintonia</t>
        </is>
      </c>
      <c r="AC69">
        <f>IF(ISERROR($A$69),"",IF(ISBLANK($A$69),"",$A$69))</f>
        <v/>
      </c>
      <c r="AE69">
        <f>IF(ISERROR($C$69),"",IF(ISBLANK($C$69),"",$C$69))</f>
        <v/>
      </c>
      <c r="AG69">
        <f>IF(ISERROR($E$69),"",IF(ISBLANK($E$69),"",$E$69))</f>
        <v/>
      </c>
      <c r="AM69">
        <f>ISERROR($A$69)*1+ISERROR($C$69)*1+ISERROR($E$69)*1</f>
        <v/>
      </c>
    </row>
    <row r="70" ht="40" customHeight="1">
      <c r="A70" s="7" t="inlineStr">
        <is>
          <t>Item 11 a 20 (escolha do catálogo ou escreva)</t>
        </is>
      </c>
      <c r="B70" s="15" t="n"/>
      <c r="C70" s="7" t="inlineStr">
        <is>
          <t>Espaço (só fora do catálogo)</t>
        </is>
      </c>
      <c r="D70" s="7" t="inlineStr">
        <is>
          <t>Espaço por unidade</t>
        </is>
      </c>
      <c r="E70" s="7" t="inlineStr">
        <is>
          <t>Quantidade (vazio = 1)</t>
        </is>
      </c>
      <c r="F70" s="7" t="inlineStr">
        <is>
          <t>Espaço total</t>
        </is>
      </c>
      <c r="G70" s="7" t="inlineStr">
        <is>
          <t>Do catálogo?</t>
        </is>
      </c>
      <c r="H70" s="15" t="n"/>
      <c r="I70" s="15" t="n"/>
      <c r="J70" s="15" t="n"/>
      <c r="K70" s="7" t="inlineStr">
        <is>
          <t>Aviso</t>
        </is>
      </c>
      <c r="L70" s="15" t="n"/>
      <c r="V70" s="25">
        <f>INDEX('Dados'!$A$492:$A$502,11)</f>
        <v/>
      </c>
      <c r="W70" s="25">
        <f>INDEX('Dados'!$B$492:$B$502,11)</f>
        <v/>
      </c>
    </row>
    <row r="71" ht="37" customHeight="1">
      <c r="A71" s="62" t="n"/>
      <c r="B71" s="29" t="n"/>
      <c r="C71" s="23" t="n"/>
      <c r="D71" s="22">
        <f>IF(LEN($AC$71)=0,"",IFERROR(VLOOKUP($AC$71,$V$57:$W$79,2,FALSE),IF(ISNUMBER($AE$71),$AE$71,0)))</f>
        <v/>
      </c>
      <c r="E71" s="23" t="n"/>
      <c r="F71" s="17">
        <f>IF(LEN($AC$71)=0,0,IFERROR(VLOOKUP($AC$71,$V$57:$W$79,2,FALSE),IF(ISNUMBER($AE$71),$AE$71,0))*IF(ISNUMBER($AG$71),$AG$71,1))</f>
        <v/>
      </c>
      <c r="G71" s="22">
        <f>IF(LEN($AC$71)=0,"",IF(ISERROR(MATCH($AC$71,$V$57:$V$79,0)),"Texto livre: use o Espaço que o Mestre aprovar","Sim (capítulo 24)"))</f>
        <v/>
      </c>
      <c r="K71" s="13">
        <f>IF(AM71&gt;0,"O Google leu como fórmula: digite de novo com ' na frente.",IF(LEN($AC$71)=0,IF(OR(LEN($AE$71)&gt;0,LEN($AG$71)&gt;0),"Falta o nome do item.",""),IF(AND(ISERROR(MATCH($AC$71,$V$57:$V$79,0)),LEN($AE$71)=0),"Fora do catálogo: preencha o Espaço. ","")&amp;IF(AND(LEN($AE$71)&gt;0,NOT(ISNUMBER($AE$71))),"Espaço precisa ser um número. ","")&amp;IF(AND(LEN($AG$71)&gt;0,NOT(ISNUMBER($AG$71))),"Quantidade precisa ser um número.","")))</f>
        <v/>
      </c>
      <c r="V71" s="25">
        <f>"Arma "&amp;INDEX('Dados'!$A$464:$A$469,1)</f>
        <v/>
      </c>
      <c r="W71" s="25">
        <f>INDEX('Dados'!$H$464:$H$469,1)</f>
        <v/>
      </c>
      <c r="AC71">
        <f>IF(ISERROR($A$71),"",IF(ISBLANK($A$71),"",$A$71))</f>
        <v/>
      </c>
      <c r="AE71">
        <f>IF(ISERROR($C$71),"",IF(ISBLANK($C$71),"",$C$71))</f>
        <v/>
      </c>
      <c r="AG71">
        <f>IF(ISERROR($E$71),"",IF(ISBLANK($E$71),"",$E$71))</f>
        <v/>
      </c>
      <c r="AM71">
        <f>ISERROR($A$71)*1+ISERROR($C$71)*1+ISERROR($E$71)*1</f>
        <v/>
      </c>
    </row>
    <row r="72" ht="37" customHeight="1">
      <c r="A72" s="63" t="n"/>
      <c r="B72" s="29" t="n"/>
      <c r="C72" s="36" t="n"/>
      <c r="D72" s="21">
        <f>IF(LEN($AC$72)=0,"",IFERROR(VLOOKUP($AC$72,$V$57:$W$79,2,FALSE),IF(ISNUMBER($AE$72),$AE$72,0)))</f>
        <v/>
      </c>
      <c r="E72" s="36" t="n"/>
      <c r="F72" s="19">
        <f>IF(LEN($AC$72)=0,0,IFERROR(VLOOKUP($AC$72,$V$57:$W$79,2,FALSE),IF(ISNUMBER($AE$72),$AE$72,0))*IF(ISNUMBER($AG$72),$AG$72,1))</f>
        <v/>
      </c>
      <c r="G72" s="21">
        <f>IF(LEN($AC$72)=0,"",IF(ISERROR(MATCH($AC$72,$V$57:$V$79,0)),"Texto livre: use o Espaço que o Mestre aprovar","Sim (capítulo 24)"))</f>
        <v/>
      </c>
      <c r="K72" s="20">
        <f>IF(AM72&gt;0,"O Google leu como fórmula: digite de novo com ' na frente.",IF(LEN($AC$72)=0,IF(OR(LEN($AE$72)&gt;0,LEN($AG$72)&gt;0),"Falta o nome do item.",""),IF(AND(ISERROR(MATCH($AC$72,$V$57:$V$79,0)),LEN($AE$72)=0),"Fora do catálogo: preencha o Espaço. ","")&amp;IF(AND(LEN($AE$72)&gt;0,NOT(ISNUMBER($AE$72))),"Espaço precisa ser um número. ","")&amp;IF(AND(LEN($AG$72)&gt;0,NOT(ISNUMBER($AG$72))),"Quantidade precisa ser um número.","")))</f>
        <v/>
      </c>
      <c r="V72" s="25">
        <f>"Arma "&amp;INDEX('Dados'!$A$464:$A$469,2)</f>
        <v/>
      </c>
      <c r="W72" s="25">
        <f>INDEX('Dados'!$H$464:$H$469,2)</f>
        <v/>
      </c>
      <c r="AC72">
        <f>IF(ISERROR($A$72),"",IF(ISBLANK($A$72),"",$A$72))</f>
        <v/>
      </c>
      <c r="AE72">
        <f>IF(ISERROR($C$72),"",IF(ISBLANK($C$72),"",$C$72))</f>
        <v/>
      </c>
      <c r="AG72">
        <f>IF(ISERROR($E$72),"",IF(ISBLANK($E$72),"",$E$72))</f>
        <v/>
      </c>
      <c r="AM72">
        <f>ISERROR($A$72)*1+ISERROR($C$72)*1+ISERROR($E$72)*1</f>
        <v/>
      </c>
    </row>
    <row r="73" ht="37" customHeight="1">
      <c r="A73" s="62" t="n"/>
      <c r="B73" s="29" t="n"/>
      <c r="C73" s="23" t="n"/>
      <c r="D73" s="22">
        <f>IF(LEN($AC$73)=0,"",IFERROR(VLOOKUP($AC$73,$V$57:$W$79,2,FALSE),IF(ISNUMBER($AE$73),$AE$73,0)))</f>
        <v/>
      </c>
      <c r="E73" s="23" t="n"/>
      <c r="F73" s="17">
        <f>IF(LEN($AC$73)=0,0,IFERROR(VLOOKUP($AC$73,$V$57:$W$79,2,FALSE),IF(ISNUMBER($AE$73),$AE$73,0))*IF(ISNUMBER($AG$73),$AG$73,1))</f>
        <v/>
      </c>
      <c r="G73" s="22">
        <f>IF(LEN($AC$73)=0,"",IF(ISERROR(MATCH($AC$73,$V$57:$V$79,0)),"Texto livre: use o Espaço que o Mestre aprovar","Sim (capítulo 24)"))</f>
        <v/>
      </c>
      <c r="K73" s="13">
        <f>IF(AM73&gt;0,"O Google leu como fórmula: digite de novo com ' na frente.",IF(LEN($AC$73)=0,IF(OR(LEN($AE$73)&gt;0,LEN($AG$73)&gt;0),"Falta o nome do item.",""),IF(AND(ISERROR(MATCH($AC$73,$V$57:$V$79,0)),LEN($AE$73)=0),"Fora do catálogo: preencha o Espaço. ","")&amp;IF(AND(LEN($AE$73)&gt;0,NOT(ISNUMBER($AE$73))),"Espaço precisa ser um número. ","")&amp;IF(AND(LEN($AG$73)&gt;0,NOT(ISNUMBER($AG$73))),"Quantidade precisa ser um número.","")))</f>
        <v/>
      </c>
      <c r="V73" s="25">
        <f>"Arma "&amp;INDEX('Dados'!$A$464:$A$469,3)</f>
        <v/>
      </c>
      <c r="W73" s="25">
        <f>INDEX('Dados'!$H$464:$H$469,3)</f>
        <v/>
      </c>
      <c r="AC73">
        <f>IF(ISERROR($A$73),"",IF(ISBLANK($A$73),"",$A$73))</f>
        <v/>
      </c>
      <c r="AE73">
        <f>IF(ISERROR($C$73),"",IF(ISBLANK($C$73),"",$C$73))</f>
        <v/>
      </c>
      <c r="AG73">
        <f>IF(ISERROR($E$73),"",IF(ISBLANK($E$73),"",$E$73))</f>
        <v/>
      </c>
      <c r="AM73">
        <f>ISERROR($A$73)*1+ISERROR($C$73)*1+ISERROR($E$73)*1</f>
        <v/>
      </c>
    </row>
    <row r="74" ht="37" customHeight="1">
      <c r="A74" s="63" t="n"/>
      <c r="B74" s="29" t="n"/>
      <c r="C74" s="36" t="n"/>
      <c r="D74" s="21">
        <f>IF(LEN($AC$74)=0,"",IFERROR(VLOOKUP($AC$74,$V$57:$W$79,2,FALSE),IF(ISNUMBER($AE$74),$AE$74,0)))</f>
        <v/>
      </c>
      <c r="E74" s="36" t="n"/>
      <c r="F74" s="19">
        <f>IF(LEN($AC$74)=0,0,IFERROR(VLOOKUP($AC$74,$V$57:$W$79,2,FALSE),IF(ISNUMBER($AE$74),$AE$74,0))*IF(ISNUMBER($AG$74),$AG$74,1))</f>
        <v/>
      </c>
      <c r="G74" s="21">
        <f>IF(LEN($AC$74)=0,"",IF(ISERROR(MATCH($AC$74,$V$57:$V$79,0)),"Texto livre: use o Espaço que o Mestre aprovar","Sim (capítulo 24)"))</f>
        <v/>
      </c>
      <c r="K74" s="20">
        <f>IF(AM74&gt;0,"O Google leu como fórmula: digite de novo com ' na frente.",IF(LEN($AC$74)=0,IF(OR(LEN($AE$74)&gt;0,LEN($AG$74)&gt;0),"Falta o nome do item.",""),IF(AND(ISERROR(MATCH($AC$74,$V$57:$V$79,0)),LEN($AE$74)=0),"Fora do catálogo: preencha o Espaço. ","")&amp;IF(AND(LEN($AE$74)&gt;0,NOT(ISNUMBER($AE$74))),"Espaço precisa ser um número. ","")&amp;IF(AND(LEN($AG$74)&gt;0,NOT(ISNUMBER($AG$74))),"Quantidade precisa ser um número.","")))</f>
        <v/>
      </c>
      <c r="V74" s="25">
        <f>"Arma "&amp;INDEX('Dados'!$A$464:$A$469,4)</f>
        <v/>
      </c>
      <c r="W74" s="25">
        <f>INDEX('Dados'!$H$464:$H$469,4)</f>
        <v/>
      </c>
      <c r="AC74">
        <f>IF(ISERROR($A$74),"",IF(ISBLANK($A$74),"",$A$74))</f>
        <v/>
      </c>
      <c r="AE74">
        <f>IF(ISERROR($C$74),"",IF(ISBLANK($C$74),"",$C$74))</f>
        <v/>
      </c>
      <c r="AG74">
        <f>IF(ISERROR($E$74),"",IF(ISBLANK($E$74),"",$E$74))</f>
        <v/>
      </c>
      <c r="AM74">
        <f>ISERROR($A$74)*1+ISERROR($C$74)*1+ISERROR($E$74)*1</f>
        <v/>
      </c>
    </row>
    <row r="75" ht="37" customHeight="1">
      <c r="A75" s="62" t="n"/>
      <c r="B75" s="29" t="n"/>
      <c r="C75" s="23" t="n"/>
      <c r="D75" s="22">
        <f>IF(LEN($AC$75)=0,"",IFERROR(VLOOKUP($AC$75,$V$57:$W$79,2,FALSE),IF(ISNUMBER($AE$75),$AE$75,0)))</f>
        <v/>
      </c>
      <c r="E75" s="23" t="n"/>
      <c r="F75" s="17">
        <f>IF(LEN($AC$75)=0,0,IFERROR(VLOOKUP($AC$75,$V$57:$W$79,2,FALSE),IF(ISNUMBER($AE$75),$AE$75,0))*IF(ISNUMBER($AG$75),$AG$75,1))</f>
        <v/>
      </c>
      <c r="G75" s="22">
        <f>IF(LEN($AC$75)=0,"",IF(ISERROR(MATCH($AC$75,$V$57:$V$79,0)),"Texto livre: use o Espaço que o Mestre aprovar","Sim (capítulo 24)"))</f>
        <v/>
      </c>
      <c r="K75" s="13">
        <f>IF(AM75&gt;0,"O Google leu como fórmula: digite de novo com ' na frente.",IF(LEN($AC$75)=0,IF(OR(LEN($AE$75)&gt;0,LEN($AG$75)&gt;0),"Falta o nome do item.",""),IF(AND(ISERROR(MATCH($AC$75,$V$57:$V$79,0)),LEN($AE$75)=0),"Fora do catálogo: preencha o Espaço. ","")&amp;IF(AND(LEN($AE$75)&gt;0,NOT(ISNUMBER($AE$75))),"Espaço precisa ser um número. ","")&amp;IF(AND(LEN($AG$75)&gt;0,NOT(ISNUMBER($AG$75))),"Quantidade precisa ser um número.","")))</f>
        <v/>
      </c>
      <c r="V75" s="25">
        <f>"Arma "&amp;INDEX('Dados'!$A$464:$A$469,5)</f>
        <v/>
      </c>
      <c r="W75" s="25">
        <f>INDEX('Dados'!$H$464:$H$469,5)</f>
        <v/>
      </c>
      <c r="AC75">
        <f>IF(ISERROR($A$75),"",IF(ISBLANK($A$75),"",$A$75))</f>
        <v/>
      </c>
      <c r="AE75">
        <f>IF(ISERROR($C$75),"",IF(ISBLANK($C$75),"",$C$75))</f>
        <v/>
      </c>
      <c r="AG75">
        <f>IF(ISERROR($E$75),"",IF(ISBLANK($E$75),"",$E$75))</f>
        <v/>
      </c>
      <c r="AM75">
        <f>ISERROR($A$75)*1+ISERROR($C$75)*1+ISERROR($E$75)*1</f>
        <v/>
      </c>
    </row>
    <row r="76" ht="37" customHeight="1">
      <c r="A76" s="63" t="n"/>
      <c r="B76" s="29" t="n"/>
      <c r="C76" s="36" t="n"/>
      <c r="D76" s="21">
        <f>IF(LEN($AC$76)=0,"",IFERROR(VLOOKUP($AC$76,$V$57:$W$79,2,FALSE),IF(ISNUMBER($AE$76),$AE$76,0)))</f>
        <v/>
      </c>
      <c r="E76" s="36" t="n"/>
      <c r="F76" s="19">
        <f>IF(LEN($AC$76)=0,0,IFERROR(VLOOKUP($AC$76,$V$57:$W$79,2,FALSE),IF(ISNUMBER($AE$76),$AE$76,0))*IF(ISNUMBER($AG$76),$AG$76,1))</f>
        <v/>
      </c>
      <c r="G76" s="21">
        <f>IF(LEN($AC$76)=0,"",IF(ISERROR(MATCH($AC$76,$V$57:$V$79,0)),"Texto livre: use o Espaço que o Mestre aprovar","Sim (capítulo 24)"))</f>
        <v/>
      </c>
      <c r="K76" s="20">
        <f>IF(AM76&gt;0,"O Google leu como fórmula: digite de novo com ' na frente.",IF(LEN($AC$76)=0,IF(OR(LEN($AE$76)&gt;0,LEN($AG$76)&gt;0),"Falta o nome do item.",""),IF(AND(ISERROR(MATCH($AC$76,$V$57:$V$79,0)),LEN($AE$76)=0),"Fora do catálogo: preencha o Espaço. ","")&amp;IF(AND(LEN($AE$76)&gt;0,NOT(ISNUMBER($AE$76))),"Espaço precisa ser um número. ","")&amp;IF(AND(LEN($AG$76)&gt;0,NOT(ISNUMBER($AG$76))),"Quantidade precisa ser um número.","")))</f>
        <v/>
      </c>
      <c r="V76" s="25">
        <f>"Arma "&amp;INDEX('Dados'!$A$464:$A$469,6)</f>
        <v/>
      </c>
      <c r="W76" s="25">
        <f>INDEX('Dados'!$H$464:$H$469,6)</f>
        <v/>
      </c>
      <c r="AC76">
        <f>IF(ISERROR($A$76),"",IF(ISBLANK($A$76),"",$A$76))</f>
        <v/>
      </c>
      <c r="AE76">
        <f>IF(ISERROR($C$76),"",IF(ISBLANK($C$76),"",$C$76))</f>
        <v/>
      </c>
      <c r="AG76">
        <f>IF(ISERROR($E$76),"",IF(ISBLANK($E$76),"",$E$76))</f>
        <v/>
      </c>
      <c r="AM76">
        <f>ISERROR($A$76)*1+ISERROR($C$76)*1+ISERROR($E$76)*1</f>
        <v/>
      </c>
    </row>
    <row r="77" ht="37" customHeight="1">
      <c r="A77" s="62" t="n"/>
      <c r="B77" s="29" t="n"/>
      <c r="C77" s="23" t="n"/>
      <c r="D77" s="22">
        <f>IF(LEN($AC$77)=0,"",IFERROR(VLOOKUP($AC$77,$V$57:$W$79,2,FALSE),IF(ISNUMBER($AE$77),$AE$77,0)))</f>
        <v/>
      </c>
      <c r="E77" s="23" t="n"/>
      <c r="F77" s="17">
        <f>IF(LEN($AC$77)=0,0,IFERROR(VLOOKUP($AC$77,$V$57:$W$79,2,FALSE),IF(ISNUMBER($AE$77),$AE$77,0))*IF(ISNUMBER($AG$77),$AG$77,1))</f>
        <v/>
      </c>
      <c r="G77" s="22">
        <f>IF(LEN($AC$77)=0,"",IF(ISERROR(MATCH($AC$77,$V$57:$V$79,0)),"Texto livre: use o Espaço que o Mestre aprovar","Sim (capítulo 24)"))</f>
        <v/>
      </c>
      <c r="K77" s="13">
        <f>IF(AM77&gt;0,"O Google leu como fórmula: digite de novo com ' na frente.",IF(LEN($AC$77)=0,IF(OR(LEN($AE$77)&gt;0,LEN($AG$77)&gt;0),"Falta o nome do item.",""),IF(AND(ISERROR(MATCH($AC$77,$V$57:$V$79,0)),LEN($AE$77)=0),"Fora do catálogo: preencha o Espaço. ","")&amp;IF(AND(LEN($AE$77)&gt;0,NOT(ISNUMBER($AE$77))),"Espaço precisa ser um número. ","")&amp;IF(AND(LEN($AG$77)&gt;0,NOT(ISNUMBER($AG$77))),"Quantidade precisa ser um número.","")))</f>
        <v/>
      </c>
      <c r="V77" s="25">
        <f>"Armadura "&amp;INDEX('Dados'!$A$480:$A$482,1)</f>
        <v/>
      </c>
      <c r="W77" s="25">
        <f>INDEX('Dados'!$E$480:$E$482,1)</f>
        <v/>
      </c>
      <c r="AC77">
        <f>IF(ISERROR($A$77),"",IF(ISBLANK($A$77),"",$A$77))</f>
        <v/>
      </c>
      <c r="AE77">
        <f>IF(ISERROR($C$77),"",IF(ISBLANK($C$77),"",$C$77))</f>
        <v/>
      </c>
      <c r="AG77">
        <f>IF(ISERROR($E$77),"",IF(ISBLANK($E$77),"",$E$77))</f>
        <v/>
      </c>
      <c r="AM77">
        <f>ISERROR($A$77)*1+ISERROR($C$77)*1+ISERROR($E$77)*1</f>
        <v/>
      </c>
    </row>
    <row r="78" ht="37" customHeight="1">
      <c r="A78" s="63" t="n"/>
      <c r="B78" s="29" t="n"/>
      <c r="C78" s="36" t="n"/>
      <c r="D78" s="21">
        <f>IF(LEN($AC$78)=0,"",IFERROR(VLOOKUP($AC$78,$V$57:$W$79,2,FALSE),IF(ISNUMBER($AE$78),$AE$78,0)))</f>
        <v/>
      </c>
      <c r="E78" s="36" t="n"/>
      <c r="F78" s="19">
        <f>IF(LEN($AC$78)=0,0,IFERROR(VLOOKUP($AC$78,$V$57:$W$79,2,FALSE),IF(ISNUMBER($AE$78),$AE$78,0))*IF(ISNUMBER($AG$78),$AG$78,1))</f>
        <v/>
      </c>
      <c r="G78" s="21">
        <f>IF(LEN($AC$78)=0,"",IF(ISERROR(MATCH($AC$78,$V$57:$V$79,0)),"Texto livre: use o Espaço que o Mestre aprovar","Sim (capítulo 24)"))</f>
        <v/>
      </c>
      <c r="K78" s="20">
        <f>IF(AM78&gt;0,"O Google leu como fórmula: digite de novo com ' na frente.",IF(LEN($AC$78)=0,IF(OR(LEN($AE$78)&gt;0,LEN($AG$78)&gt;0),"Falta o nome do item.",""),IF(AND(ISERROR(MATCH($AC$78,$V$57:$V$79,0)),LEN($AE$78)=0),"Fora do catálogo: preencha o Espaço. ","")&amp;IF(AND(LEN($AE$78)&gt;0,NOT(ISNUMBER($AE$78))),"Espaço precisa ser um número. ","")&amp;IF(AND(LEN($AG$78)&gt;0,NOT(ISNUMBER($AG$78))),"Quantidade precisa ser um número.","")))</f>
        <v/>
      </c>
      <c r="V78" s="25">
        <f>"Armadura "&amp;INDEX('Dados'!$A$480:$A$482,2)</f>
        <v/>
      </c>
      <c r="W78" s="25">
        <f>INDEX('Dados'!$E$480:$E$482,2)</f>
        <v/>
      </c>
      <c r="AC78">
        <f>IF(ISERROR($A$78),"",IF(ISBLANK($A$78),"",$A$78))</f>
        <v/>
      </c>
      <c r="AE78">
        <f>IF(ISERROR($C$78),"",IF(ISBLANK($C$78),"",$C$78))</f>
        <v/>
      </c>
      <c r="AG78">
        <f>IF(ISERROR($E$78),"",IF(ISBLANK($E$78),"",$E$78))</f>
        <v/>
      </c>
      <c r="AM78">
        <f>ISERROR($A$78)*1+ISERROR($C$78)*1+ISERROR($E$78)*1</f>
        <v/>
      </c>
    </row>
    <row r="79" ht="37" customHeight="1">
      <c r="A79" s="62" t="n"/>
      <c r="B79" s="29" t="n"/>
      <c r="C79" s="23" t="n"/>
      <c r="D79" s="22">
        <f>IF(LEN($AC$79)=0,"",IFERROR(VLOOKUP($AC$79,$V$57:$W$79,2,FALSE),IF(ISNUMBER($AE$79),$AE$79,0)))</f>
        <v/>
      </c>
      <c r="E79" s="23" t="n"/>
      <c r="F79" s="17">
        <f>IF(LEN($AC$79)=0,0,IFERROR(VLOOKUP($AC$79,$V$57:$W$79,2,FALSE),IF(ISNUMBER($AE$79),$AE$79,0))*IF(ISNUMBER($AG$79),$AG$79,1))</f>
        <v/>
      </c>
      <c r="G79" s="22">
        <f>IF(LEN($AC$79)=0,"",IF(ISERROR(MATCH($AC$79,$V$57:$V$79,0)),"Texto livre: use o Espaço que o Mestre aprovar","Sim (capítulo 24)"))</f>
        <v/>
      </c>
      <c r="K79" s="13">
        <f>IF(AM79&gt;0,"O Google leu como fórmula: digite de novo com ' na frente.",IF(LEN($AC$79)=0,IF(OR(LEN($AE$79)&gt;0,LEN($AG$79)&gt;0),"Falta o nome do item.",""),IF(AND(ISERROR(MATCH($AC$79,$V$57:$V$79,0)),LEN($AE$79)=0),"Fora do catálogo: preencha o Espaço. ","")&amp;IF(AND(LEN($AE$79)&gt;0,NOT(ISNUMBER($AE$79))),"Espaço precisa ser um número. ","")&amp;IF(AND(LEN($AG$79)&gt;0,NOT(ISNUMBER($AG$79))),"Quantidade precisa ser um número.","")))</f>
        <v/>
      </c>
      <c r="V79" s="25">
        <f>"Armadura "&amp;INDEX('Dados'!$A$480:$A$482,3)</f>
        <v/>
      </c>
      <c r="W79" s="25">
        <f>INDEX('Dados'!$E$480:$E$482,3)</f>
        <v/>
      </c>
      <c r="AC79">
        <f>IF(ISERROR($A$79),"",IF(ISBLANK($A$79),"",$A$79))</f>
        <v/>
      </c>
      <c r="AE79">
        <f>IF(ISERROR($C$79),"",IF(ISBLANK($C$79),"",$C$79))</f>
        <v/>
      </c>
      <c r="AG79">
        <f>IF(ISERROR($E$79),"",IF(ISBLANK($E$79),"",$E$79))</f>
        <v/>
      </c>
      <c r="AM79">
        <f>ISERROR($A$79)*1+ISERROR($C$79)*1+ISERROR($E$79)*1</f>
        <v/>
      </c>
    </row>
    <row r="80" ht="37" customHeight="1">
      <c r="A80" s="63" t="n"/>
      <c r="B80" s="29" t="n"/>
      <c r="C80" s="36" t="n"/>
      <c r="D80" s="21">
        <f>IF(LEN($AC$80)=0,"",IFERROR(VLOOKUP($AC$80,$V$57:$W$79,2,FALSE),IF(ISNUMBER($AE$80),$AE$80,0)))</f>
        <v/>
      </c>
      <c r="E80" s="36" t="n"/>
      <c r="F80" s="19">
        <f>IF(LEN($AC$80)=0,0,IFERROR(VLOOKUP($AC$80,$V$57:$W$79,2,FALSE),IF(ISNUMBER($AE$80),$AE$80,0))*IF(ISNUMBER($AG$80),$AG$80,1))</f>
        <v/>
      </c>
      <c r="G80" s="21">
        <f>IF(LEN($AC$80)=0,"",IF(ISERROR(MATCH($AC$80,$V$57:$V$79,0)),"Texto livre: use o Espaço que o Mestre aprovar","Sim (capítulo 24)"))</f>
        <v/>
      </c>
      <c r="K80" s="20">
        <f>IF(AM80&gt;0,"O Google leu como fórmula: digite de novo com ' na frente.",IF(LEN($AC$80)=0,IF(OR(LEN($AE$80)&gt;0,LEN($AG$80)&gt;0),"Falta o nome do item.",""),IF(AND(ISERROR(MATCH($AC$80,$V$57:$V$79,0)),LEN($AE$80)=0),"Fora do catálogo: preencha o Espaço. ","")&amp;IF(AND(LEN($AE$80)&gt;0,NOT(ISNUMBER($AE$80))),"Espaço precisa ser um número. ","")&amp;IF(AND(LEN($AG$80)&gt;0,NOT(ISNUMBER($AG$80))),"Quantidade precisa ser um número.","")))</f>
        <v/>
      </c>
      <c r="AC80">
        <f>IF(ISERROR($A$80),"",IF(ISBLANK($A$80),"",$A$80))</f>
        <v/>
      </c>
      <c r="AE80">
        <f>IF(ISERROR($C$80),"",IF(ISBLANK($C$80),"",$C$80))</f>
        <v/>
      </c>
      <c r="AG80">
        <f>IF(ISERROR($E$80),"",IF(ISBLANK($E$80),"",$E$80))</f>
        <v/>
      </c>
      <c r="AM80">
        <f>ISERROR($A$80)*1+ISERROR($C$80)*1+ISERROR($E$80)*1</f>
        <v/>
      </c>
    </row>
    <row r="81">
      <c r="A81" s="8" t="inlineStr">
        <is>
          <t>Soma dos itens</t>
        </is>
      </c>
      <c r="F81" s="17">
        <f>SUM($F$60:$F$80)</f>
        <v/>
      </c>
    </row>
    <row r="82"/>
    <row r="83">
      <c r="A83" s="14" t="inlineStr">
        <is>
          <t>Créditos — 24.5 (não ocupam Espaço; os preços não escalam)</t>
        </is>
      </c>
    </row>
    <row r="84" ht="26" customHeight="1">
      <c r="A84" s="8" t="inlineStr">
        <is>
          <t>Saldo inicial (Cr)</t>
        </is>
      </c>
      <c r="B84" s="23" t="n"/>
      <c r="K84" s="13">
        <f>IF(AM84&gt;0,"O Google leu como fórmula: digite de novo com ' na frente.",IF(AND(LEN($AD$84)&gt;0,NOT(ISNUMBER($AD$84))),"Precisa ser um número.",""))</f>
        <v/>
      </c>
      <c r="AD84">
        <f>IF(ISERROR($B$84),"",IF(ISBLANK($B$84),"",$B$84))</f>
        <v/>
      </c>
      <c r="AM84">
        <f>ISERROR($B$84)*1</f>
        <v/>
      </c>
    </row>
    <row r="85" ht="37" customHeight="1">
      <c r="A85" s="7" t="inlineStr">
        <is>
          <t>Lançamento</t>
        </is>
      </c>
      <c r="B85" s="7" t="inlineStr">
        <is>
          <t>Descrição (preencha)</t>
        </is>
      </c>
      <c r="C85" s="15" t="n"/>
      <c r="D85" s="15" t="n"/>
      <c r="E85" s="15" t="n"/>
      <c r="F85" s="15" t="n"/>
      <c r="G85" s="7" t="inlineStr">
        <is>
          <t>Valor (+ ganho, - gasto)</t>
        </is>
      </c>
      <c r="K85" s="7" t="inlineStr">
        <is>
          <t>Aviso</t>
        </is>
      </c>
      <c r="L85" s="15" t="n"/>
    </row>
    <row r="86" ht="26" customHeight="1">
      <c r="A86" s="16" t="n">
        <v>1</v>
      </c>
      <c r="B86" s="27" t="n"/>
      <c r="C86" s="28" t="n"/>
      <c r="D86" s="28" t="n"/>
      <c r="E86" s="28" t="n"/>
      <c r="F86" s="29" t="n"/>
      <c r="G86" s="23" t="n"/>
      <c r="K86" s="13">
        <f>IF(AM86&gt;0,"O Google leu como fórmula: digite de novo com ' na frente.",IF(AND(LEN($AI$86)&gt;0,NOT(ISNUMBER($AI$86))),"Valor precisa ser um número.",IF(AND(LEN($AI$86)=0,LEN($AD$86)&gt;0),"Falta o valor.","")))</f>
        <v/>
      </c>
      <c r="AD86">
        <f>IF(ISERROR($B$86),"",IF(ISBLANK($B$86),"",$B$86))</f>
        <v/>
      </c>
      <c r="AI86">
        <f>IF(ISERROR($G$86),"",IF(ISBLANK($G$86),"",$G$86))</f>
        <v/>
      </c>
      <c r="AM86">
        <f>ISERROR($B$86)*1+ISERROR($G$86)*1</f>
        <v/>
      </c>
    </row>
    <row r="87" ht="26" customHeight="1">
      <c r="A87" s="18" t="n">
        <v>2</v>
      </c>
      <c r="B87" s="60" t="n"/>
      <c r="C87" s="28" t="n"/>
      <c r="D87" s="28" t="n"/>
      <c r="E87" s="28" t="n"/>
      <c r="F87" s="29" t="n"/>
      <c r="G87" s="36" t="n"/>
      <c r="H87" s="35" t="n"/>
      <c r="I87" s="35" t="n"/>
      <c r="J87" s="35" t="n"/>
      <c r="K87" s="20">
        <f>IF(AM87&gt;0,"O Google leu como fórmula: digite de novo com ' na frente.",IF(AND(LEN($AI$87)&gt;0,NOT(ISNUMBER($AI$87))),"Valor precisa ser um número.",IF(AND(LEN($AI$87)=0,LEN($AD$87)&gt;0),"Falta o valor.","")))</f>
        <v/>
      </c>
      <c r="AD87">
        <f>IF(ISERROR($B$87),"",IF(ISBLANK($B$87),"",$B$87))</f>
        <v/>
      </c>
      <c r="AI87">
        <f>IF(ISERROR($G$87),"",IF(ISBLANK($G$87),"",$G$87))</f>
        <v/>
      </c>
      <c r="AM87">
        <f>ISERROR($B$87)*1+ISERROR($G$87)*1</f>
        <v/>
      </c>
    </row>
    <row r="88" ht="26" customHeight="1">
      <c r="A88" s="16" t="n">
        <v>3</v>
      </c>
      <c r="B88" s="27" t="n"/>
      <c r="C88" s="28" t="n"/>
      <c r="D88" s="28" t="n"/>
      <c r="E88" s="28" t="n"/>
      <c r="F88" s="29" t="n"/>
      <c r="G88" s="23" t="n"/>
      <c r="K88" s="13">
        <f>IF(AM88&gt;0,"O Google leu como fórmula: digite de novo com ' na frente.",IF(AND(LEN($AI$88)&gt;0,NOT(ISNUMBER($AI$88))),"Valor precisa ser um número.",IF(AND(LEN($AI$88)=0,LEN($AD$88)&gt;0),"Falta o valor.","")))</f>
        <v/>
      </c>
      <c r="AD88">
        <f>IF(ISERROR($B$88),"",IF(ISBLANK($B$88),"",$B$88))</f>
        <v/>
      </c>
      <c r="AI88">
        <f>IF(ISERROR($G$88),"",IF(ISBLANK($G$88),"",$G$88))</f>
        <v/>
      </c>
      <c r="AM88">
        <f>ISERROR($B$88)*1+ISERROR($G$88)*1</f>
        <v/>
      </c>
    </row>
    <row r="89" ht="26" customHeight="1">
      <c r="A89" s="18" t="n">
        <v>4</v>
      </c>
      <c r="B89" s="60" t="n"/>
      <c r="C89" s="28" t="n"/>
      <c r="D89" s="28" t="n"/>
      <c r="E89" s="28" t="n"/>
      <c r="F89" s="29" t="n"/>
      <c r="G89" s="36" t="n"/>
      <c r="H89" s="35" t="n"/>
      <c r="I89" s="35" t="n"/>
      <c r="J89" s="35" t="n"/>
      <c r="K89" s="20">
        <f>IF(AM89&gt;0,"O Google leu como fórmula: digite de novo com ' na frente.",IF(AND(LEN($AI$89)&gt;0,NOT(ISNUMBER($AI$89))),"Valor precisa ser um número.",IF(AND(LEN($AI$89)=0,LEN($AD$89)&gt;0),"Falta o valor.","")))</f>
        <v/>
      </c>
      <c r="AD89">
        <f>IF(ISERROR($B$89),"",IF(ISBLANK($B$89),"",$B$89))</f>
        <v/>
      </c>
      <c r="AI89">
        <f>IF(ISERROR($G$89),"",IF(ISBLANK($G$89),"",$G$89))</f>
        <v/>
      </c>
      <c r="AM89">
        <f>ISERROR($B$89)*1+ISERROR($G$89)*1</f>
        <v/>
      </c>
    </row>
    <row r="90" ht="26" customHeight="1">
      <c r="A90" s="16" t="n">
        <v>5</v>
      </c>
      <c r="B90" s="27" t="n"/>
      <c r="C90" s="28" t="n"/>
      <c r="D90" s="28" t="n"/>
      <c r="E90" s="28" t="n"/>
      <c r="F90" s="29" t="n"/>
      <c r="G90" s="23" t="n"/>
      <c r="K90" s="13">
        <f>IF(AM90&gt;0,"O Google leu como fórmula: digite de novo com ' na frente.",IF(AND(LEN($AI$90)&gt;0,NOT(ISNUMBER($AI$90))),"Valor precisa ser um número.",IF(AND(LEN($AI$90)=0,LEN($AD$90)&gt;0),"Falta o valor.","")))</f>
        <v/>
      </c>
      <c r="AD90">
        <f>IF(ISERROR($B$90),"",IF(ISBLANK($B$90),"",$B$90))</f>
        <v/>
      </c>
      <c r="AI90">
        <f>IF(ISERROR($G$90),"",IF(ISBLANK($G$90),"",$G$90))</f>
        <v/>
      </c>
      <c r="AM90">
        <f>ISERROR($B$90)*1+ISERROR($G$90)*1</f>
        <v/>
      </c>
    </row>
    <row r="91" ht="26" customHeight="1">
      <c r="A91" s="18" t="n">
        <v>6</v>
      </c>
      <c r="B91" s="60" t="n"/>
      <c r="C91" s="28" t="n"/>
      <c r="D91" s="28" t="n"/>
      <c r="E91" s="28" t="n"/>
      <c r="F91" s="29" t="n"/>
      <c r="G91" s="36" t="n"/>
      <c r="H91" s="35" t="n"/>
      <c r="I91" s="35" t="n"/>
      <c r="J91" s="35" t="n"/>
      <c r="K91" s="20">
        <f>IF(AM91&gt;0,"O Google leu como fórmula: digite de novo com ' na frente.",IF(AND(LEN($AI$91)&gt;0,NOT(ISNUMBER($AI$91))),"Valor precisa ser um número.",IF(AND(LEN($AI$91)=0,LEN($AD$91)&gt;0),"Falta o valor.","")))</f>
        <v/>
      </c>
      <c r="AD91">
        <f>IF(ISERROR($B$91),"",IF(ISBLANK($B$91),"",$B$91))</f>
        <v/>
      </c>
      <c r="AI91">
        <f>IF(ISERROR($G$91),"",IF(ISBLANK($G$91),"",$G$91))</f>
        <v/>
      </c>
      <c r="AM91">
        <f>ISERROR($B$91)*1+ISERROR($G$91)*1</f>
        <v/>
      </c>
    </row>
    <row r="92" ht="26" customHeight="1">
      <c r="A92" s="16" t="n">
        <v>7</v>
      </c>
      <c r="B92" s="27" t="n"/>
      <c r="C92" s="28" t="n"/>
      <c r="D92" s="28" t="n"/>
      <c r="E92" s="28" t="n"/>
      <c r="F92" s="29" t="n"/>
      <c r="G92" s="23" t="n"/>
      <c r="K92" s="13">
        <f>IF(AM92&gt;0,"O Google leu como fórmula: digite de novo com ' na frente.",IF(AND(LEN($AI$92)&gt;0,NOT(ISNUMBER($AI$92))),"Valor precisa ser um número.",IF(AND(LEN($AI$92)=0,LEN($AD$92)&gt;0),"Falta o valor.","")))</f>
        <v/>
      </c>
      <c r="AD92">
        <f>IF(ISERROR($B$92),"",IF(ISBLANK($B$92),"",$B$92))</f>
        <v/>
      </c>
      <c r="AI92">
        <f>IF(ISERROR($G$92),"",IF(ISBLANK($G$92),"",$G$92))</f>
        <v/>
      </c>
      <c r="AM92">
        <f>ISERROR($B$92)*1+ISERROR($G$92)*1</f>
        <v/>
      </c>
    </row>
    <row r="93" ht="26" customHeight="1">
      <c r="A93" s="18" t="n">
        <v>8</v>
      </c>
      <c r="B93" s="60" t="n"/>
      <c r="C93" s="28" t="n"/>
      <c r="D93" s="28" t="n"/>
      <c r="E93" s="28" t="n"/>
      <c r="F93" s="29" t="n"/>
      <c r="G93" s="36" t="n"/>
      <c r="H93" s="35" t="n"/>
      <c r="I93" s="35" t="n"/>
      <c r="J93" s="35" t="n"/>
      <c r="K93" s="20">
        <f>IF(AM93&gt;0,"O Google leu como fórmula: digite de novo com ' na frente.",IF(AND(LEN($AI$93)&gt;0,NOT(ISNUMBER($AI$93))),"Valor precisa ser um número.",IF(AND(LEN($AI$93)=0,LEN($AD$93)&gt;0),"Falta o valor.","")))</f>
        <v/>
      </c>
      <c r="AD93">
        <f>IF(ISERROR($B$93),"",IF(ISBLANK($B$93),"",$B$93))</f>
        <v/>
      </c>
      <c r="AI93">
        <f>IF(ISERROR($G$93),"",IF(ISBLANK($G$93),"",$G$93))</f>
        <v/>
      </c>
      <c r="AM93">
        <f>ISERROR($B$93)*1+ISERROR($G$93)*1</f>
        <v/>
      </c>
    </row>
    <row r="94" ht="26" customHeight="1">
      <c r="A94" s="16" t="n">
        <v>9</v>
      </c>
      <c r="B94" s="27" t="n"/>
      <c r="C94" s="28" t="n"/>
      <c r="D94" s="28" t="n"/>
      <c r="E94" s="28" t="n"/>
      <c r="F94" s="29" t="n"/>
      <c r="G94" s="23" t="n"/>
      <c r="K94" s="13">
        <f>IF(AM94&gt;0,"O Google leu como fórmula: digite de novo com ' na frente.",IF(AND(LEN($AI$94)&gt;0,NOT(ISNUMBER($AI$94))),"Valor precisa ser um número.",IF(AND(LEN($AI$94)=0,LEN($AD$94)&gt;0),"Falta o valor.","")))</f>
        <v/>
      </c>
      <c r="AD94">
        <f>IF(ISERROR($B$94),"",IF(ISBLANK($B$94),"",$B$94))</f>
        <v/>
      </c>
      <c r="AI94">
        <f>IF(ISERROR($G$94),"",IF(ISBLANK($G$94),"",$G$94))</f>
        <v/>
      </c>
      <c r="AM94">
        <f>ISERROR($B$94)*1+ISERROR($G$94)*1</f>
        <v/>
      </c>
    </row>
    <row r="95" ht="26" customHeight="1">
      <c r="A95" s="18" t="n">
        <v>10</v>
      </c>
      <c r="B95" s="60" t="n"/>
      <c r="C95" s="28" t="n"/>
      <c r="D95" s="28" t="n"/>
      <c r="E95" s="28" t="n"/>
      <c r="F95" s="29" t="n"/>
      <c r="G95" s="36" t="n"/>
      <c r="H95" s="35" t="n"/>
      <c r="I95" s="35" t="n"/>
      <c r="J95" s="35" t="n"/>
      <c r="K95" s="20">
        <f>IF(AM95&gt;0,"O Google leu como fórmula: digite de novo com ' na frente.",IF(AND(LEN($AI$95)&gt;0,NOT(ISNUMBER($AI$95))),"Valor precisa ser um número.",IF(AND(LEN($AI$95)=0,LEN($AD$95)&gt;0),"Falta o valor.","")))</f>
        <v/>
      </c>
      <c r="AD95">
        <f>IF(ISERROR($B$95),"",IF(ISBLANK($B$95),"",$B$95))</f>
        <v/>
      </c>
      <c r="AI95">
        <f>IF(ISERROR($G$95),"",IF(ISBLANK($G$95),"",$G$95))</f>
        <v/>
      </c>
      <c r="AM95">
        <f>ISERROR($B$95)*1+ISERROR($G$95)*1</f>
        <v/>
      </c>
    </row>
    <row r="96">
      <c r="A96" s="8" t="inlineStr">
        <is>
          <t>Saldo atual (Cr)</t>
        </is>
      </c>
      <c r="B96" s="17">
        <f>IF(ISNUMBER($AD$84),$AD$84,0)+SUMIF($AI$86:$AI$95,"&gt;-100000000")</f>
        <v/>
      </c>
      <c r="K96" s="13">
        <f>IF($B$96&lt;0,"Saldo negativo.","")</f>
        <v/>
      </c>
    </row>
    <row r="97" ht="26" customHeight="1">
      <c r="A97" s="33" t="inlineStr">
        <is>
          <t>Verba de marco do grupo (sua faixa)</t>
        </is>
      </c>
      <c r="B97" s="19">
        <f>INDEX('Dados'!$B$512:$B$516,'Criação'!$B$14)</f>
        <v/>
      </c>
      <c r="C97" s="21">
        <f>"Cr por nível ganho, para o grupo (24.5): "&amp;INDEX('Dados'!$C$512:$C$516,'Criação'!$B$14)</f>
        <v/>
      </c>
      <c r="L97" s="35" t="n"/>
    </row>
  </sheetData>
  <mergeCells count="153">
    <mergeCell ref="H35:I35"/>
    <mergeCell ref="A64:B64"/>
    <mergeCell ref="A73:B73"/>
    <mergeCell ref="K95:L95"/>
    <mergeCell ref="B90:F90"/>
    <mergeCell ref="K89:L89"/>
    <mergeCell ref="C56:K56"/>
    <mergeCell ref="A70:B70"/>
    <mergeCell ref="B18:F18"/>
    <mergeCell ref="K88:L88"/>
    <mergeCell ref="H39:I39"/>
    <mergeCell ref="B21:C21"/>
    <mergeCell ref="G72:J72"/>
    <mergeCell ref="C41:D41"/>
    <mergeCell ref="K76:L76"/>
    <mergeCell ref="K90:L90"/>
    <mergeCell ref="A74:B74"/>
    <mergeCell ref="G71:J71"/>
    <mergeCell ref="K58:L58"/>
    <mergeCell ref="K67:L67"/>
    <mergeCell ref="C19:K19"/>
    <mergeCell ref="A76:B76"/>
    <mergeCell ref="C36:D36"/>
    <mergeCell ref="H37:I37"/>
    <mergeCell ref="A83:L83"/>
    <mergeCell ref="B92:F92"/>
    <mergeCell ref="G66:J66"/>
    <mergeCell ref="A62:B62"/>
    <mergeCell ref="A68:B68"/>
    <mergeCell ref="C97:K97"/>
    <mergeCell ref="G74:J74"/>
    <mergeCell ref="B94:F94"/>
    <mergeCell ref="G68:J68"/>
    <mergeCell ref="K69:L69"/>
    <mergeCell ref="K78:L78"/>
    <mergeCell ref="K92:L92"/>
    <mergeCell ref="D20:K20"/>
    <mergeCell ref="A59:B59"/>
    <mergeCell ref="I44:L44"/>
    <mergeCell ref="H41:I41"/>
    <mergeCell ref="C45:D45"/>
    <mergeCell ref="K80:L80"/>
    <mergeCell ref="A3:L3"/>
    <mergeCell ref="A79:B79"/>
    <mergeCell ref="A61:B61"/>
    <mergeCell ref="A55:L55"/>
    <mergeCell ref="K64:L64"/>
    <mergeCell ref="K21:L21"/>
    <mergeCell ref="G75:J75"/>
    <mergeCell ref="K79:L79"/>
    <mergeCell ref="C47:D47"/>
    <mergeCell ref="A5:L5"/>
    <mergeCell ref="K63:L63"/>
    <mergeCell ref="G77:J77"/>
    <mergeCell ref="K72:L72"/>
    <mergeCell ref="I46:L46"/>
    <mergeCell ref="H36:I36"/>
    <mergeCell ref="C40:D40"/>
    <mergeCell ref="G67:J67"/>
    <mergeCell ref="B88:F88"/>
    <mergeCell ref="K96:L96"/>
    <mergeCell ref="G61:J61"/>
    <mergeCell ref="G70:J70"/>
    <mergeCell ref="A43:L43"/>
    <mergeCell ref="C57:K57"/>
    <mergeCell ref="A71:B71"/>
    <mergeCell ref="C34:K34"/>
    <mergeCell ref="C50:L50"/>
    <mergeCell ref="G62:J62"/>
    <mergeCell ref="A63:B63"/>
    <mergeCell ref="K66:L66"/>
    <mergeCell ref="B85:F85"/>
    <mergeCell ref="K93:L93"/>
    <mergeCell ref="K6:L6"/>
    <mergeCell ref="A77:B77"/>
    <mergeCell ref="G65:J65"/>
    <mergeCell ref="K74:L74"/>
    <mergeCell ref="K68:L68"/>
    <mergeCell ref="H38:I38"/>
    <mergeCell ref="C52:L52"/>
    <mergeCell ref="C22:K22"/>
    <mergeCell ref="G76:J76"/>
    <mergeCell ref="H40:I40"/>
    <mergeCell ref="E44:F44"/>
    <mergeCell ref="A69:B69"/>
    <mergeCell ref="K60:L60"/>
    <mergeCell ref="G60:J60"/>
    <mergeCell ref="A78:B78"/>
    <mergeCell ref="A65:B65"/>
    <mergeCell ref="A75:B75"/>
    <mergeCell ref="C44:D44"/>
    <mergeCell ref="C23:K23"/>
    <mergeCell ref="B25:K25"/>
    <mergeCell ref="I48:K48"/>
    <mergeCell ref="G59:J59"/>
    <mergeCell ref="A80:B80"/>
    <mergeCell ref="I45:L45"/>
    <mergeCell ref="C46:D46"/>
    <mergeCell ref="B87:F87"/>
    <mergeCell ref="H2:I2"/>
    <mergeCell ref="E46:F46"/>
    <mergeCell ref="K8:L8"/>
    <mergeCell ref="I47:L47"/>
    <mergeCell ref="K71:L71"/>
    <mergeCell ref="A15:L15"/>
    <mergeCell ref="C38:D38"/>
    <mergeCell ref="G78:J78"/>
    <mergeCell ref="K73:L73"/>
    <mergeCell ref="K65:L65"/>
    <mergeCell ref="B20:C20"/>
    <mergeCell ref="A67:B67"/>
    <mergeCell ref="G80:J80"/>
    <mergeCell ref="K18:L18"/>
    <mergeCell ref="B91:F91"/>
    <mergeCell ref="G64:J64"/>
    <mergeCell ref="G79:J79"/>
    <mergeCell ref="A60:B60"/>
    <mergeCell ref="G73:J73"/>
    <mergeCell ref="B24:K24"/>
    <mergeCell ref="G63:J63"/>
    <mergeCell ref="B93:F93"/>
    <mergeCell ref="C35:D35"/>
    <mergeCell ref="C53:L53"/>
    <mergeCell ref="K91:L91"/>
    <mergeCell ref="B86:F86"/>
    <mergeCell ref="A33:L33"/>
    <mergeCell ref="B26:K26"/>
    <mergeCell ref="K85:L85"/>
    <mergeCell ref="K94:L94"/>
    <mergeCell ref="A66:B66"/>
    <mergeCell ref="A17:L17"/>
    <mergeCell ref="K75:L75"/>
    <mergeCell ref="K84:L84"/>
    <mergeCell ref="K59:L59"/>
    <mergeCell ref="K77:L77"/>
    <mergeCell ref="K86:L86"/>
    <mergeCell ref="E45:F45"/>
    <mergeCell ref="D28:K28"/>
    <mergeCell ref="K61:L61"/>
    <mergeCell ref="K70:L70"/>
    <mergeCell ref="C39:D39"/>
    <mergeCell ref="A72:B72"/>
    <mergeCell ref="B95:F95"/>
    <mergeCell ref="G69:J69"/>
    <mergeCell ref="A11:L11"/>
    <mergeCell ref="B89:F89"/>
    <mergeCell ref="A1:L1"/>
    <mergeCell ref="C37:D37"/>
    <mergeCell ref="B58:D58"/>
    <mergeCell ref="C51:L51"/>
    <mergeCell ref="K62:L62"/>
    <mergeCell ref="K87:L87"/>
    <mergeCell ref="E47:F47"/>
  </mergeCells>
  <conditionalFormatting sqref="K8">
    <cfRule type="expression" priority="1" dxfId="0">
      <formula>LEN(K8)&gt;0</formula>
    </cfRule>
  </conditionalFormatting>
  <conditionalFormatting sqref="L19">
    <cfRule type="expression" priority="2" dxfId="0">
      <formula>LEN(L19)&gt;0</formula>
    </cfRule>
  </conditionalFormatting>
  <conditionalFormatting sqref="L20">
    <cfRule type="expression" priority="3" dxfId="0">
      <formula>LEN(L20)&gt;0</formula>
    </cfRule>
  </conditionalFormatting>
  <conditionalFormatting sqref="K21">
    <cfRule type="expression" priority="4" dxfId="0">
      <formula>LEN(K21)&gt;0</formula>
    </cfRule>
  </conditionalFormatting>
  <conditionalFormatting sqref="L22">
    <cfRule type="expression" priority="5" dxfId="0">
      <formula>LEN(L22)&gt;0</formula>
    </cfRule>
  </conditionalFormatting>
  <conditionalFormatting sqref="L23">
    <cfRule type="expression" priority="6" dxfId="0">
      <formula>LEN(L23)&gt;0</formula>
    </cfRule>
  </conditionalFormatting>
  <conditionalFormatting sqref="L36">
    <cfRule type="expression" priority="7" dxfId="0">
      <formula>LEN(L36)&gt;0</formula>
    </cfRule>
  </conditionalFormatting>
  <conditionalFormatting sqref="L37">
    <cfRule type="expression" priority="8" dxfId="0">
      <formula>LEN(L37)&gt;0</formula>
    </cfRule>
  </conditionalFormatting>
  <conditionalFormatting sqref="L38">
    <cfRule type="expression" priority="9" dxfId="0">
      <formula>LEN(L38)&gt;0</formula>
    </cfRule>
  </conditionalFormatting>
  <conditionalFormatting sqref="L39">
    <cfRule type="expression" priority="10" dxfId="0">
      <formula>LEN(L39)&gt;0</formula>
    </cfRule>
  </conditionalFormatting>
  <conditionalFormatting sqref="L40">
    <cfRule type="expression" priority="11" dxfId="0">
      <formula>LEN(L40)&gt;0</formula>
    </cfRule>
  </conditionalFormatting>
  <conditionalFormatting sqref="L41">
    <cfRule type="expression" priority="12" dxfId="0">
      <formula>LEN(L41)&gt;0</formula>
    </cfRule>
  </conditionalFormatting>
  <conditionalFormatting sqref="I45">
    <cfRule type="expression" priority="13" dxfId="0">
      <formula>LEN(I45)&gt;0</formula>
    </cfRule>
  </conditionalFormatting>
  <conditionalFormatting sqref="I46">
    <cfRule type="expression" priority="14" dxfId="0">
      <formula>LEN(I46)&gt;0</formula>
    </cfRule>
  </conditionalFormatting>
  <conditionalFormatting sqref="I47">
    <cfRule type="expression" priority="15" dxfId="0">
      <formula>LEN(I47)&gt;0</formula>
    </cfRule>
  </conditionalFormatting>
  <conditionalFormatting sqref="L48">
    <cfRule type="expression" priority="16" dxfId="0">
      <formula>LEN(L48)&gt;0</formula>
    </cfRule>
  </conditionalFormatting>
  <conditionalFormatting sqref="K58">
    <cfRule type="expression" priority="17" dxfId="0">
      <formula>LEN(K58)&gt;0</formula>
    </cfRule>
  </conditionalFormatting>
  <conditionalFormatting sqref="K60">
    <cfRule type="expression" priority="18" dxfId="0">
      <formula>LEN(K60)&gt;0</formula>
    </cfRule>
  </conditionalFormatting>
  <conditionalFormatting sqref="K61">
    <cfRule type="expression" priority="19" dxfId="0">
      <formula>LEN(K61)&gt;0</formula>
    </cfRule>
  </conditionalFormatting>
  <conditionalFormatting sqref="K62">
    <cfRule type="expression" priority="20" dxfId="0">
      <formula>LEN(K62)&gt;0</formula>
    </cfRule>
  </conditionalFormatting>
  <conditionalFormatting sqref="K63">
    <cfRule type="expression" priority="21" dxfId="0">
      <formula>LEN(K63)&gt;0</formula>
    </cfRule>
  </conditionalFormatting>
  <conditionalFormatting sqref="K64">
    <cfRule type="expression" priority="22" dxfId="0">
      <formula>LEN(K64)&gt;0</formula>
    </cfRule>
  </conditionalFormatting>
  <conditionalFormatting sqref="K65">
    <cfRule type="expression" priority="23" dxfId="0">
      <formula>LEN(K65)&gt;0</formula>
    </cfRule>
  </conditionalFormatting>
  <conditionalFormatting sqref="K66">
    <cfRule type="expression" priority="24" dxfId="0">
      <formula>LEN(K66)&gt;0</formula>
    </cfRule>
  </conditionalFormatting>
  <conditionalFormatting sqref="K67">
    <cfRule type="expression" priority="25" dxfId="0">
      <formula>LEN(K67)&gt;0</formula>
    </cfRule>
  </conditionalFormatting>
  <conditionalFormatting sqref="K68">
    <cfRule type="expression" priority="26" dxfId="0">
      <formula>LEN(K68)&gt;0</formula>
    </cfRule>
  </conditionalFormatting>
  <conditionalFormatting sqref="K69">
    <cfRule type="expression" priority="27" dxfId="0">
      <formula>LEN(K69)&gt;0</formula>
    </cfRule>
  </conditionalFormatting>
  <conditionalFormatting sqref="K71">
    <cfRule type="expression" priority="28" dxfId="0">
      <formula>LEN(K71)&gt;0</formula>
    </cfRule>
  </conditionalFormatting>
  <conditionalFormatting sqref="K72">
    <cfRule type="expression" priority="29" dxfId="0">
      <formula>LEN(K72)&gt;0</formula>
    </cfRule>
  </conditionalFormatting>
  <conditionalFormatting sqref="K73">
    <cfRule type="expression" priority="30" dxfId="0">
      <formula>LEN(K73)&gt;0</formula>
    </cfRule>
  </conditionalFormatting>
  <conditionalFormatting sqref="K74">
    <cfRule type="expression" priority="31" dxfId="0">
      <formula>LEN(K74)&gt;0</formula>
    </cfRule>
  </conditionalFormatting>
  <conditionalFormatting sqref="K75">
    <cfRule type="expression" priority="32" dxfId="0">
      <formula>LEN(K75)&gt;0</formula>
    </cfRule>
  </conditionalFormatting>
  <conditionalFormatting sqref="K76">
    <cfRule type="expression" priority="33" dxfId="0">
      <formula>LEN(K76)&gt;0</formula>
    </cfRule>
  </conditionalFormatting>
  <conditionalFormatting sqref="K77">
    <cfRule type="expression" priority="34" dxfId="0">
      <formula>LEN(K77)&gt;0</formula>
    </cfRule>
  </conditionalFormatting>
  <conditionalFormatting sqref="K78">
    <cfRule type="expression" priority="35" dxfId="0">
      <formula>LEN(K78)&gt;0</formula>
    </cfRule>
  </conditionalFormatting>
  <conditionalFormatting sqref="K79">
    <cfRule type="expression" priority="36" dxfId="0">
      <formula>LEN(K79)&gt;0</formula>
    </cfRule>
  </conditionalFormatting>
  <conditionalFormatting sqref="K80">
    <cfRule type="expression" priority="37" dxfId="0">
      <formula>LEN(K80)&gt;0</formula>
    </cfRule>
  </conditionalFormatting>
  <conditionalFormatting sqref="K84">
    <cfRule type="expression" priority="38" dxfId="0">
      <formula>LEN(K84)&gt;0</formula>
    </cfRule>
  </conditionalFormatting>
  <conditionalFormatting sqref="K86">
    <cfRule type="expression" priority="39" dxfId="0">
      <formula>LEN(K86)&gt;0</formula>
    </cfRule>
  </conditionalFormatting>
  <conditionalFormatting sqref="K87">
    <cfRule type="expression" priority="40" dxfId="0">
      <formula>LEN(K87)&gt;0</formula>
    </cfRule>
  </conditionalFormatting>
  <conditionalFormatting sqref="K88">
    <cfRule type="expression" priority="41" dxfId="0">
      <formula>LEN(K88)&gt;0</formula>
    </cfRule>
  </conditionalFormatting>
  <conditionalFormatting sqref="K89">
    <cfRule type="expression" priority="42" dxfId="0">
      <formula>LEN(K89)&gt;0</formula>
    </cfRule>
  </conditionalFormatting>
  <conditionalFormatting sqref="K90">
    <cfRule type="expression" priority="43" dxfId="0">
      <formula>LEN(K90)&gt;0</formula>
    </cfRule>
  </conditionalFormatting>
  <conditionalFormatting sqref="K91">
    <cfRule type="expression" priority="44" dxfId="0">
      <formula>LEN(K91)&gt;0</formula>
    </cfRule>
  </conditionalFormatting>
  <conditionalFormatting sqref="K92">
    <cfRule type="expression" priority="45" dxfId="0">
      <formula>LEN(K92)&gt;0</formula>
    </cfRule>
  </conditionalFormatting>
  <conditionalFormatting sqref="K93">
    <cfRule type="expression" priority="46" dxfId="0">
      <formula>LEN(K93)&gt;0</formula>
    </cfRule>
  </conditionalFormatting>
  <conditionalFormatting sqref="K94">
    <cfRule type="expression" priority="47" dxfId="0">
      <formula>LEN(K94)&gt;0</formula>
    </cfRule>
  </conditionalFormatting>
  <conditionalFormatting sqref="K95">
    <cfRule type="expression" priority="48" dxfId="0">
      <formula>LEN(K95)&gt;0</formula>
    </cfRule>
  </conditionalFormatting>
  <conditionalFormatting sqref="K96">
    <cfRule type="expression" priority="49" dxfId="0">
      <formula>LEN(K96)&gt;0</formula>
    </cfRule>
  </conditionalFormatting>
  <conditionalFormatting sqref="K18">
    <cfRule type="expression" priority="50" dxfId="0">
      <formula>LEN(K18)&gt;0</formula>
    </cfRule>
  </conditionalFormatting>
  <conditionalFormatting sqref="L24">
    <cfRule type="expression" priority="51" dxfId="0">
      <formula>LEN(L24)&gt;0</formula>
    </cfRule>
  </conditionalFormatting>
  <dataValidations count="99">
    <dataValidation sqref="C8" showDropDown="0" showInputMessage="0" showErrorMessage="1" allowBlank="1" errorTitle="Fora da lista" error="Categoria da arma secundária: escolha um valor da lista. A ficha pode não reconhecer outro valor." type="list" errorStyle="warning">
      <formula1>'Dados'!$T$6:$T$11</formula1>
    </dataValidation>
    <dataValidation sqref="D8" showDropDown="0" showInputMessage="0" showErrorMessage="1" allowBlank="1" errorTitle="Fora da lista" error="Atributo da arma secundária: escolha um valor da lista. A ficha pode não reconhecer outro valor." type="list" errorStyle="warning">
      <formula1>'Dados'!$U$6:$U$7</formula1>
    </dataValidation>
    <dataValidation sqref="E8" showDropDown="0" showInputMessage="0" showErrorMessage="1" allowBlank="1" errorTitle="Fora da lista" error="Elemento da arma secundária: escolha um valor da lista. A ficha pode não reconhecer outro valor." type="list" errorStyle="warning">
      <formula1>'Dados'!$R$6:$R$12</formula1>
    </dataValidation>
    <dataValidation sqref="F8" showDropDown="0" showInputMessage="0" showErrorMessage="1" allowBlank="1" errorTitle="Fora da lista" error="Propriedade da arma secundária: escolha um valor da lista. A ficha pode não reconhecer outro valor." type="list" errorStyle="warning">
      <formula1>'Dados'!$V$6:$V$10</formula1>
    </dataValidation>
    <dataValidation sqref="B19" showDropDown="0" showInputMessage="0" showErrorMessage="1" allowBlank="1" errorTitle="Valor fora da faixa" error="Nível do Cone: use um número inteiro de 1 a 5." type="whole" errorStyle="warning" operator="between">
      <formula1>1</formula1>
      <formula2>5</formula2>
    </dataValidation>
    <dataValidation sqref="B20" showDropDown="0" showInputMessage="0" showErrorMessage="1" allowBlank="1" errorTitle="Fora da lista" error="Alvo do Bônus Maior: escolha um valor da lista. A ficha pode não reconhecer outro valor." type="list" errorStyle="warning">
      <formula1>'Dados'!$AM$6:$AM$15</formula1>
    </dataValidation>
    <dataValidation sqref="B21" showDropDown="0" showInputMessage="0" showErrorMessage="1" allowBlank="1" errorTitle="Fora da lista" error="Teste de Resistência ou Perícia do Cone: escolha um valor da lista. A ficha pode não reconhecer outro valor." type="list" errorStyle="warning">
      <formula1>$Y$21:$Y$38</formula1>
    </dataValidation>
    <dataValidation sqref="B22" showDropDown="0" showInputMessage="0" showErrorMessage="1" allowBlank="1" errorTitle="Fora da lista" error="Numérico ou PV: escolha um valor da lista. A ficha pode não reconhecer outro valor." type="list" errorStyle="warning">
      <formula1>'Dados'!$AN$6:$AN$7</formula1>
    </dataValidation>
    <dataValidation sqref="B23" showDropDown="0" showInputMessage="0" showErrorMessage="1" allowBlank="1" errorTitle="Valor fora da faixa" error="Sobreposições: use um número inteiro de 0 a 5." type="whole" errorStyle="warning" operator="between">
      <formula1>0</formula1>
      <formula2>5</formula2>
    </dataValidation>
    <dataValidation sqref="B36" showDropDown="0" showInputMessage="0" showErrorMessage="1" allowBlank="1" errorTitle="Fora da lista" error="Possui Cabeça: escolha um valor da lista. A ficha pode não reconhecer outro valor." type="list" errorStyle="warning">
      <formula1>'Dados'!$AG$6:$AG$7</formula1>
    </dataValidation>
    <dataValidation sqref="E36" showDropDown="0" showInputMessage="0" showErrorMessage="1" allowBlank="1" errorTitle="Fora da lista" error="Conjunto (Cabeça): escolha um valor da lista. A ficha pode não reconhecer outro valor." type="list" errorStyle="warning">
      <formula1>'Dados'!$AO$6:$AO$9</formula1>
    </dataValidation>
    <dataValidation sqref="B37" showDropDown="0" showInputMessage="0" showErrorMessage="1" allowBlank="1" errorTitle="Fora da lista" error="Possui Mãos: escolha um valor da lista. A ficha pode não reconhecer outro valor." type="list" errorStyle="warning">
      <formula1>'Dados'!$AG$6:$AG$7</formula1>
    </dataValidation>
    <dataValidation sqref="E37" showDropDown="0" showInputMessage="0" showErrorMessage="1" allowBlank="1" errorTitle="Fora da lista" error="Conjunto (Mãos): escolha um valor da lista. A ficha pode não reconhecer outro valor." type="list" errorStyle="warning">
      <formula1>'Dados'!$AO$6:$AO$9</formula1>
    </dataValidation>
    <dataValidation sqref="B38" showDropDown="0" showInputMessage="0" showErrorMessage="1" allowBlank="1" errorTitle="Fora da lista" error="Possui Tronco: escolha um valor da lista. A ficha pode não reconhecer outro valor." type="list" errorStyle="warning">
      <formula1>'Dados'!$AG$6:$AG$7</formula1>
    </dataValidation>
    <dataValidation sqref="E38" showDropDown="0" showInputMessage="0" showErrorMessage="1" allowBlank="1" errorTitle="Fora da lista" error="Conjunto (Tronco): escolha um valor da lista. A ficha pode não reconhecer outro valor." type="list" errorStyle="warning">
      <formula1>'Dados'!$AO$6:$AO$9</formula1>
    </dataValidation>
    <dataValidation sqref="B39" showDropDown="0" showInputMessage="0" showErrorMessage="1" allowBlank="1" errorTitle="Fora da lista" error="Possui Botas: escolha um valor da lista. A ficha pode não reconhecer outro valor." type="list" errorStyle="warning">
      <formula1>'Dados'!$AG$6:$AG$7</formula1>
    </dataValidation>
    <dataValidation sqref="E39" showDropDown="0" showInputMessage="0" showErrorMessage="1" allowBlank="1" errorTitle="Fora da lista" error="Conjunto (Botas): escolha um valor da lista. A ficha pode não reconhecer outro valor." type="list" errorStyle="warning">
      <formula1>'Dados'!$AO$6:$AO$9</formula1>
    </dataValidation>
    <dataValidation sqref="B40" showDropDown="0" showInputMessage="0" showErrorMessage="1" allowBlank="1" errorTitle="Fora da lista" error="Possui Esfera Planar: escolha um valor da lista. A ficha pode não reconhecer outro valor." type="list" errorStyle="warning">
      <formula1>'Dados'!$AG$6:$AG$7</formula1>
    </dataValidation>
    <dataValidation sqref="E40" showDropDown="0" showInputMessage="0" showErrorMessage="1" allowBlank="1" errorTitle="Fora da lista" error="Conjunto (Esfera Planar): escolha um valor da lista. A ficha pode não reconhecer outro valor." type="list" errorStyle="warning">
      <formula1>'Dados'!$AO$6:$AO$9</formula1>
    </dataValidation>
    <dataValidation sqref="J40" showDropDown="0" showInputMessage="0" showErrorMessage="1" allowBlank="1" errorTitle="Fora da lista" error="Elemento da Esfera Planar: escolha um valor da lista. A ficha pode não reconhecer outro valor." type="list" errorStyle="warning">
      <formula1>'Dados'!$R$6:$R$12</formula1>
    </dataValidation>
    <dataValidation sqref="B41" showDropDown="0" showInputMessage="0" showErrorMessage="1" allowBlank="1" errorTitle="Fora da lista" error="Possui Corda de Ligação: escolha um valor da lista. A ficha pode não reconhecer outro valor." type="list" errorStyle="warning">
      <formula1>'Dados'!$AG$6:$AG$7</formula1>
    </dataValidation>
    <dataValidation sqref="E41" showDropDown="0" showInputMessage="0" showErrorMessage="1" allowBlank="1" errorTitle="Fora da lista" error="Conjunto (Corda de Ligação): escolha um valor da lista. A ficha pode não reconhecer outro valor." type="list" errorStyle="warning">
      <formula1>'Dados'!$AO$6:$AO$9</formula1>
    </dataValidation>
    <dataValidation sqref="C45" showDropDown="0" showInputMessage="0" showErrorMessage="1" allowBlank="1" errorTitle="Fora da lista" error="Bônus de 2 peças do Conjunto A: escolha um valor da lista. A ficha pode não reconhecer outro valor." type="list" errorStyle="warning">
      <formula1>'Dados'!$AP$6:$AP$9</formula1>
    </dataValidation>
    <dataValidation sqref="E45" showDropDown="0" showInputMessage="0" showErrorMessage="1" allowBlank="1" errorTitle="Fora da lista" error="Rolagem do Conjunto A: escolha um valor da lista. A ficha pode não reconhecer outro valor." type="list" errorStyle="warning">
      <formula1>$AA$45:$AA$69</formula1>
    </dataValidation>
    <dataValidation sqref="C46" showDropDown="0" showInputMessage="0" showErrorMessage="1" allowBlank="1" errorTitle="Fora da lista" error="Bônus de 2 peças do Conjunto B: escolha um valor da lista. A ficha pode não reconhecer outro valor." type="list" errorStyle="warning">
      <formula1>'Dados'!$AP$6:$AP$9</formula1>
    </dataValidation>
    <dataValidation sqref="E46" showDropDown="0" showInputMessage="0" showErrorMessage="1" allowBlank="1" errorTitle="Fora da lista" error="Rolagem do Conjunto B: escolha um valor da lista. A ficha pode não reconhecer outro valor." type="list" errorStyle="warning">
      <formula1>$AA$45:$AA$69</formula1>
    </dataValidation>
    <dataValidation sqref="C47" showDropDown="0" showInputMessage="0" showErrorMessage="1" allowBlank="1" errorTitle="Fora da lista" error="Bônus de 2 peças do Conjunto C: escolha um valor da lista. A ficha pode não reconhecer outro valor." type="list" errorStyle="warning">
      <formula1>'Dados'!$AP$6:$AP$9</formula1>
    </dataValidation>
    <dataValidation sqref="E47" showDropDown="0" showInputMessage="0" showErrorMessage="1" allowBlank="1" errorTitle="Fora da lista" error="Rolagem do Conjunto C: escolha um valor da lista. A ficha pode não reconhecer outro valor." type="list" errorStyle="warning">
      <formula1>$AA$45:$AA$69</formula1>
    </dataValidation>
    <dataValidation sqref="A60" showDropDown="0" showInputMessage="0" showErrorMessage="1" allowBlank="1" errorTitle="Fora da lista" error="Item 1: escolha um valor da lista. A ficha pode não reconhecer outro valor." type="list" errorStyle="warning">
      <formula1>$V$57:$V$79</formula1>
    </dataValidation>
    <dataValidation sqref="C60" showDropDown="0" showInputMessage="0" showErrorMessage="1" allowBlank="1" errorTitle="Valor fora da faixa" error="Espaço do item 1: use um número de 0 a 50." type="decimal" errorStyle="warning" operator="between">
      <formula1>0</formula1>
      <formula2>50</formula2>
    </dataValidation>
    <dataValidation sqref="E60" showDropDown="0" showInputMessage="0" showErrorMessage="1" allowBlank="1" errorTitle="Valor fora da faixa" error="Quantidade do item 1: use um número inteiro de 0 a 999." type="whole" errorStyle="warning" operator="between">
      <formula1>0</formula1>
      <formula2>999</formula2>
    </dataValidation>
    <dataValidation sqref="A61" showDropDown="0" showInputMessage="0" showErrorMessage="1" allowBlank="1" errorTitle="Fora da lista" error="Item 2: escolha um valor da lista. A ficha pode não reconhecer outro valor." type="list" errorStyle="warning">
      <formula1>$V$57:$V$79</formula1>
    </dataValidation>
    <dataValidation sqref="C61" showDropDown="0" showInputMessage="0" showErrorMessage="1" allowBlank="1" errorTitle="Valor fora da faixa" error="Espaço do item 2: use um número de 0 a 50." type="decimal" errorStyle="warning" operator="between">
      <formula1>0</formula1>
      <formula2>50</formula2>
    </dataValidation>
    <dataValidation sqref="E61" showDropDown="0" showInputMessage="0" showErrorMessage="1" allowBlank="1" errorTitle="Valor fora da faixa" error="Quantidade do item 2: use um número inteiro de 0 a 999." type="whole" errorStyle="warning" operator="between">
      <formula1>0</formula1>
      <formula2>999</formula2>
    </dataValidation>
    <dataValidation sqref="A62" showDropDown="0" showInputMessage="0" showErrorMessage="1" allowBlank="1" errorTitle="Fora da lista" error="Item 3: escolha um valor da lista. A ficha pode não reconhecer outro valor." type="list" errorStyle="warning">
      <formula1>$V$57:$V$79</formula1>
    </dataValidation>
    <dataValidation sqref="C62" showDropDown="0" showInputMessage="0" showErrorMessage="1" allowBlank="1" errorTitle="Valor fora da faixa" error="Espaço do item 3: use um número de 0 a 50." type="decimal" errorStyle="warning" operator="between">
      <formula1>0</formula1>
      <formula2>50</formula2>
    </dataValidation>
    <dataValidation sqref="E62" showDropDown="0" showInputMessage="0" showErrorMessage="1" allowBlank="1" errorTitle="Valor fora da faixa" error="Quantidade do item 3: use um número inteiro de 0 a 999." type="whole" errorStyle="warning" operator="between">
      <formula1>0</formula1>
      <formula2>999</formula2>
    </dataValidation>
    <dataValidation sqref="A63" showDropDown="0" showInputMessage="0" showErrorMessage="1" allowBlank="1" errorTitle="Fora da lista" error="Item 4: escolha um valor da lista. A ficha pode não reconhecer outro valor." type="list" errorStyle="warning">
      <formula1>$V$57:$V$79</formula1>
    </dataValidation>
    <dataValidation sqref="C63" showDropDown="0" showInputMessage="0" showErrorMessage="1" allowBlank="1" errorTitle="Valor fora da faixa" error="Espaço do item 4: use um número de 0 a 50." type="decimal" errorStyle="warning" operator="between">
      <formula1>0</formula1>
      <formula2>50</formula2>
    </dataValidation>
    <dataValidation sqref="E63" showDropDown="0" showInputMessage="0" showErrorMessage="1" allowBlank="1" errorTitle="Valor fora da faixa" error="Quantidade do item 4: use um número inteiro de 0 a 999." type="whole" errorStyle="warning" operator="between">
      <formula1>0</formula1>
      <formula2>999</formula2>
    </dataValidation>
    <dataValidation sqref="A64" showDropDown="0" showInputMessage="0" showErrorMessage="1" allowBlank="1" errorTitle="Fora da lista" error="Item 5: escolha um valor da lista. A ficha pode não reconhecer outro valor." type="list" errorStyle="warning">
      <formula1>$V$57:$V$79</formula1>
    </dataValidation>
    <dataValidation sqref="C64" showDropDown="0" showInputMessage="0" showErrorMessage="1" allowBlank="1" errorTitle="Valor fora da faixa" error="Espaço do item 5: use um número de 0 a 50." type="decimal" errorStyle="warning" operator="between">
      <formula1>0</formula1>
      <formula2>50</formula2>
    </dataValidation>
    <dataValidation sqref="E64" showDropDown="0" showInputMessage="0" showErrorMessage="1" allowBlank="1" errorTitle="Valor fora da faixa" error="Quantidade do item 5: use um número inteiro de 0 a 999." type="whole" errorStyle="warning" operator="between">
      <formula1>0</formula1>
      <formula2>999</formula2>
    </dataValidation>
    <dataValidation sqref="A65" showDropDown="0" showInputMessage="0" showErrorMessage="1" allowBlank="1" errorTitle="Fora da lista" error="Item 6: escolha um valor da lista. A ficha pode não reconhecer outro valor." type="list" errorStyle="warning">
      <formula1>$V$57:$V$79</formula1>
    </dataValidation>
    <dataValidation sqref="C65" showDropDown="0" showInputMessage="0" showErrorMessage="1" allowBlank="1" errorTitle="Valor fora da faixa" error="Espaço do item 6: use um número de 0 a 50." type="decimal" errorStyle="warning" operator="between">
      <formula1>0</formula1>
      <formula2>50</formula2>
    </dataValidation>
    <dataValidation sqref="E65" showDropDown="0" showInputMessage="0" showErrorMessage="1" allowBlank="1" errorTitle="Valor fora da faixa" error="Quantidade do item 6: use um número inteiro de 0 a 999." type="whole" errorStyle="warning" operator="between">
      <formula1>0</formula1>
      <formula2>999</formula2>
    </dataValidation>
    <dataValidation sqref="A66" showDropDown="0" showInputMessage="0" showErrorMessage="1" allowBlank="1" errorTitle="Fora da lista" error="Item 7: escolha um valor da lista. A ficha pode não reconhecer outro valor." type="list" errorStyle="warning">
      <formula1>$V$57:$V$79</formula1>
    </dataValidation>
    <dataValidation sqref="C66" showDropDown="0" showInputMessage="0" showErrorMessage="1" allowBlank="1" errorTitle="Valor fora da faixa" error="Espaço do item 7: use um número de 0 a 50." type="decimal" errorStyle="warning" operator="between">
      <formula1>0</formula1>
      <formula2>50</formula2>
    </dataValidation>
    <dataValidation sqref="E66" showDropDown="0" showInputMessage="0" showErrorMessage="1" allowBlank="1" errorTitle="Valor fora da faixa" error="Quantidade do item 7: use um número inteiro de 0 a 999." type="whole" errorStyle="warning" operator="between">
      <formula1>0</formula1>
      <formula2>999</formula2>
    </dataValidation>
    <dataValidation sqref="A67" showDropDown="0" showInputMessage="0" showErrorMessage="1" allowBlank="1" errorTitle="Fora da lista" error="Item 8: escolha um valor da lista. A ficha pode não reconhecer outro valor." type="list" errorStyle="warning">
      <formula1>$V$57:$V$79</formula1>
    </dataValidation>
    <dataValidation sqref="C67" showDropDown="0" showInputMessage="0" showErrorMessage="1" allowBlank="1" errorTitle="Valor fora da faixa" error="Espaço do item 8: use um número de 0 a 50." type="decimal" errorStyle="warning" operator="between">
      <formula1>0</formula1>
      <formula2>50</formula2>
    </dataValidation>
    <dataValidation sqref="E67" showDropDown="0" showInputMessage="0" showErrorMessage="1" allowBlank="1" errorTitle="Valor fora da faixa" error="Quantidade do item 8: use um número inteiro de 0 a 999." type="whole" errorStyle="warning" operator="between">
      <formula1>0</formula1>
      <formula2>999</formula2>
    </dataValidation>
    <dataValidation sqref="A68" showDropDown="0" showInputMessage="0" showErrorMessage="1" allowBlank="1" errorTitle="Fora da lista" error="Item 9: escolha um valor da lista. A ficha pode não reconhecer outro valor." type="list" errorStyle="warning">
      <formula1>$V$57:$V$79</formula1>
    </dataValidation>
    <dataValidation sqref="C68" showDropDown="0" showInputMessage="0" showErrorMessage="1" allowBlank="1" errorTitle="Valor fora da faixa" error="Espaço do item 9: use um número de 0 a 50." type="decimal" errorStyle="warning" operator="between">
      <formula1>0</formula1>
      <formula2>50</formula2>
    </dataValidation>
    <dataValidation sqref="E68" showDropDown="0" showInputMessage="0" showErrorMessage="1" allowBlank="1" errorTitle="Valor fora da faixa" error="Quantidade do item 9: use um número inteiro de 0 a 999." type="whole" errorStyle="warning" operator="between">
      <formula1>0</formula1>
      <formula2>999</formula2>
    </dataValidation>
    <dataValidation sqref="A69" showDropDown="0" showInputMessage="0" showErrorMessage="1" allowBlank="1" errorTitle="Fora da lista" error="Item 10: escolha um valor da lista. A ficha pode não reconhecer outro valor." type="list" errorStyle="warning">
      <formula1>$V$57:$V$79</formula1>
    </dataValidation>
    <dataValidation sqref="C69" showDropDown="0" showInputMessage="0" showErrorMessage="1" allowBlank="1" errorTitle="Valor fora da faixa" error="Espaço do item 10: use um número de 0 a 50." type="decimal" errorStyle="warning" operator="between">
      <formula1>0</formula1>
      <formula2>50</formula2>
    </dataValidation>
    <dataValidation sqref="E69" showDropDown="0" showInputMessage="0" showErrorMessage="1" allowBlank="1" errorTitle="Valor fora da faixa" error="Quantidade do item 10: use um número inteiro de 0 a 999." type="whole" errorStyle="warning" operator="between">
      <formula1>0</formula1>
      <formula2>999</formula2>
    </dataValidation>
    <dataValidation sqref="A71" showDropDown="0" showInputMessage="0" showErrorMessage="1" allowBlank="1" errorTitle="Fora da lista" error="Item 11: escolha um valor da lista. A ficha pode não reconhecer outro valor." type="list" errorStyle="warning">
      <formula1>$V$57:$V$79</formula1>
    </dataValidation>
    <dataValidation sqref="C71" showDropDown="0" showInputMessage="0" showErrorMessage="1" allowBlank="1" errorTitle="Valor fora da faixa" error="Espaço do item 11: use um número de 0 a 50." type="decimal" errorStyle="warning" operator="between">
      <formula1>0</formula1>
      <formula2>50</formula2>
    </dataValidation>
    <dataValidation sqref="E71" showDropDown="0" showInputMessage="0" showErrorMessage="1" allowBlank="1" errorTitle="Valor fora da faixa" error="Quantidade do item 11: use um número inteiro de 0 a 999." type="whole" errorStyle="warning" operator="between">
      <formula1>0</formula1>
      <formula2>999</formula2>
    </dataValidation>
    <dataValidation sqref="A72" showDropDown="0" showInputMessage="0" showErrorMessage="1" allowBlank="1" errorTitle="Fora da lista" error="Item 12: escolha um valor da lista. A ficha pode não reconhecer outro valor." type="list" errorStyle="warning">
      <formula1>$V$57:$V$79</formula1>
    </dataValidation>
    <dataValidation sqref="C72" showDropDown="0" showInputMessage="0" showErrorMessage="1" allowBlank="1" errorTitle="Valor fora da faixa" error="Espaço do item 12: use um número de 0 a 50." type="decimal" errorStyle="warning" operator="between">
      <formula1>0</formula1>
      <formula2>50</formula2>
    </dataValidation>
    <dataValidation sqref="E72" showDropDown="0" showInputMessage="0" showErrorMessage="1" allowBlank="1" errorTitle="Valor fora da faixa" error="Quantidade do item 12: use um número inteiro de 0 a 999." type="whole" errorStyle="warning" operator="between">
      <formula1>0</formula1>
      <formula2>999</formula2>
    </dataValidation>
    <dataValidation sqref="A73" showDropDown="0" showInputMessage="0" showErrorMessage="1" allowBlank="1" errorTitle="Fora da lista" error="Item 13: escolha um valor da lista. A ficha pode não reconhecer outro valor." type="list" errorStyle="warning">
      <formula1>$V$57:$V$79</formula1>
    </dataValidation>
    <dataValidation sqref="C73" showDropDown="0" showInputMessage="0" showErrorMessage="1" allowBlank="1" errorTitle="Valor fora da faixa" error="Espaço do item 13: use um número de 0 a 50." type="decimal" errorStyle="warning" operator="between">
      <formula1>0</formula1>
      <formula2>50</formula2>
    </dataValidation>
    <dataValidation sqref="E73" showDropDown="0" showInputMessage="0" showErrorMessage="1" allowBlank="1" errorTitle="Valor fora da faixa" error="Quantidade do item 13: use um número inteiro de 0 a 999." type="whole" errorStyle="warning" operator="between">
      <formula1>0</formula1>
      <formula2>999</formula2>
    </dataValidation>
    <dataValidation sqref="A74" showDropDown="0" showInputMessage="0" showErrorMessage="1" allowBlank="1" errorTitle="Fora da lista" error="Item 14: escolha um valor da lista. A ficha pode não reconhecer outro valor." type="list" errorStyle="warning">
      <formula1>$V$57:$V$79</formula1>
    </dataValidation>
    <dataValidation sqref="C74" showDropDown="0" showInputMessage="0" showErrorMessage="1" allowBlank="1" errorTitle="Valor fora da faixa" error="Espaço do item 14: use um número de 0 a 50." type="decimal" errorStyle="warning" operator="between">
      <formula1>0</formula1>
      <formula2>50</formula2>
    </dataValidation>
    <dataValidation sqref="E74" showDropDown="0" showInputMessage="0" showErrorMessage="1" allowBlank="1" errorTitle="Valor fora da faixa" error="Quantidade do item 14: use um número inteiro de 0 a 999." type="whole" errorStyle="warning" operator="between">
      <formula1>0</formula1>
      <formula2>999</formula2>
    </dataValidation>
    <dataValidation sqref="A75" showDropDown="0" showInputMessage="0" showErrorMessage="1" allowBlank="1" errorTitle="Fora da lista" error="Item 15: escolha um valor da lista. A ficha pode não reconhecer outro valor." type="list" errorStyle="warning">
      <formula1>$V$57:$V$79</formula1>
    </dataValidation>
    <dataValidation sqref="C75" showDropDown="0" showInputMessage="0" showErrorMessage="1" allowBlank="1" errorTitle="Valor fora da faixa" error="Espaço do item 15: use um número de 0 a 50." type="decimal" errorStyle="warning" operator="between">
      <formula1>0</formula1>
      <formula2>50</formula2>
    </dataValidation>
    <dataValidation sqref="E75" showDropDown="0" showInputMessage="0" showErrorMessage="1" allowBlank="1" errorTitle="Valor fora da faixa" error="Quantidade do item 15: use um número inteiro de 0 a 999." type="whole" errorStyle="warning" operator="between">
      <formula1>0</formula1>
      <formula2>999</formula2>
    </dataValidation>
    <dataValidation sqref="A76" showDropDown="0" showInputMessage="0" showErrorMessage="1" allowBlank="1" errorTitle="Fora da lista" error="Item 16: escolha um valor da lista. A ficha pode não reconhecer outro valor." type="list" errorStyle="warning">
      <formula1>$V$57:$V$79</formula1>
    </dataValidation>
    <dataValidation sqref="C76" showDropDown="0" showInputMessage="0" showErrorMessage="1" allowBlank="1" errorTitle="Valor fora da faixa" error="Espaço do item 16: use um número de 0 a 50." type="decimal" errorStyle="warning" operator="between">
      <formula1>0</formula1>
      <formula2>50</formula2>
    </dataValidation>
    <dataValidation sqref="E76" showDropDown="0" showInputMessage="0" showErrorMessage="1" allowBlank="1" errorTitle="Valor fora da faixa" error="Quantidade do item 16: use um número inteiro de 0 a 999." type="whole" errorStyle="warning" operator="between">
      <formula1>0</formula1>
      <formula2>999</formula2>
    </dataValidation>
    <dataValidation sqref="A77" showDropDown="0" showInputMessage="0" showErrorMessage="1" allowBlank="1" errorTitle="Fora da lista" error="Item 17: escolha um valor da lista. A ficha pode não reconhecer outro valor." type="list" errorStyle="warning">
      <formula1>$V$57:$V$79</formula1>
    </dataValidation>
    <dataValidation sqref="C77" showDropDown="0" showInputMessage="0" showErrorMessage="1" allowBlank="1" errorTitle="Valor fora da faixa" error="Espaço do item 17: use um número de 0 a 50." type="decimal" errorStyle="warning" operator="between">
      <formula1>0</formula1>
      <formula2>50</formula2>
    </dataValidation>
    <dataValidation sqref="E77" showDropDown="0" showInputMessage="0" showErrorMessage="1" allowBlank="1" errorTitle="Valor fora da faixa" error="Quantidade do item 17: use um número inteiro de 0 a 999." type="whole" errorStyle="warning" operator="between">
      <formula1>0</formula1>
      <formula2>999</formula2>
    </dataValidation>
    <dataValidation sqref="A78" showDropDown="0" showInputMessage="0" showErrorMessage="1" allowBlank="1" errorTitle="Fora da lista" error="Item 18: escolha um valor da lista. A ficha pode não reconhecer outro valor." type="list" errorStyle="warning">
      <formula1>$V$57:$V$79</formula1>
    </dataValidation>
    <dataValidation sqref="C78" showDropDown="0" showInputMessage="0" showErrorMessage="1" allowBlank="1" errorTitle="Valor fora da faixa" error="Espaço do item 18: use um número de 0 a 50." type="decimal" errorStyle="warning" operator="between">
      <formula1>0</formula1>
      <formula2>50</formula2>
    </dataValidation>
    <dataValidation sqref="E78" showDropDown="0" showInputMessage="0" showErrorMessage="1" allowBlank="1" errorTitle="Valor fora da faixa" error="Quantidade do item 18: use um número inteiro de 0 a 999." type="whole" errorStyle="warning" operator="between">
      <formula1>0</formula1>
      <formula2>999</formula2>
    </dataValidation>
    <dataValidation sqref="A79" showDropDown="0" showInputMessage="0" showErrorMessage="1" allowBlank="1" errorTitle="Fora da lista" error="Item 19: escolha um valor da lista. A ficha pode não reconhecer outro valor." type="list" errorStyle="warning">
      <formula1>$V$57:$V$79</formula1>
    </dataValidation>
    <dataValidation sqref="C79" showDropDown="0" showInputMessage="0" showErrorMessage="1" allowBlank="1" errorTitle="Valor fora da faixa" error="Espaço do item 19: use um número de 0 a 50." type="decimal" errorStyle="warning" operator="between">
      <formula1>0</formula1>
      <formula2>50</formula2>
    </dataValidation>
    <dataValidation sqref="E79" showDropDown="0" showInputMessage="0" showErrorMessage="1" allowBlank="1" errorTitle="Valor fora da faixa" error="Quantidade do item 19: use um número inteiro de 0 a 999." type="whole" errorStyle="warning" operator="between">
      <formula1>0</formula1>
      <formula2>999</formula2>
    </dataValidation>
    <dataValidation sqref="A80" showDropDown="0" showInputMessage="0" showErrorMessage="1" allowBlank="1" errorTitle="Fora da lista" error="Item 20: escolha um valor da lista. A ficha pode não reconhecer outro valor." type="list" errorStyle="warning">
      <formula1>$V$57:$V$79</formula1>
    </dataValidation>
    <dataValidation sqref="C80" showDropDown="0" showInputMessage="0" showErrorMessage="1" allowBlank="1" errorTitle="Valor fora da faixa" error="Espaço do item 20: use um número de 0 a 50." type="decimal" errorStyle="warning" operator="between">
      <formula1>0</formula1>
      <formula2>50</formula2>
    </dataValidation>
    <dataValidation sqref="E80" showDropDown="0" showInputMessage="0" showErrorMessage="1" allowBlank="1" errorTitle="Valor fora da faixa" error="Quantidade do item 20: use um número inteiro de 0 a 999." type="whole" errorStyle="warning" operator="between">
      <formula1>0</formula1>
      <formula2>999</formula2>
    </dataValidation>
    <dataValidation sqref="B84" showDropDown="0" showInputMessage="0" showErrorMessage="1" allowBlank="1" errorTitle="Valor fora da faixa" error="Saldo inicial: use um número inteiro de -10000000 a 10000000." type="whole" errorStyle="warning" operator="between">
      <formula1>-10000000</formula1>
      <formula2>10000000</formula2>
    </dataValidation>
    <dataValidation sqref="G86" showDropDown="0" showInputMessage="0" showErrorMessage="1" allowBlank="1" errorTitle="Valor fora da faixa" error="Valor do lançamento 1: use um número inteiro de -10000000 a 10000000." type="whole" errorStyle="warning" operator="between">
      <formula1>-10000000</formula1>
      <formula2>10000000</formula2>
    </dataValidation>
    <dataValidation sqref="G87" showDropDown="0" showInputMessage="0" showErrorMessage="1" allowBlank="1" errorTitle="Valor fora da faixa" error="Valor do lançamento 2: use um número inteiro de -10000000 a 10000000." type="whole" errorStyle="warning" operator="between">
      <formula1>-10000000</formula1>
      <formula2>10000000</formula2>
    </dataValidation>
    <dataValidation sqref="G88" showDropDown="0" showInputMessage="0" showErrorMessage="1" allowBlank="1" errorTitle="Valor fora da faixa" error="Valor do lançamento 3: use um número inteiro de -10000000 a 10000000." type="whole" errorStyle="warning" operator="between">
      <formula1>-10000000</formula1>
      <formula2>10000000</formula2>
    </dataValidation>
    <dataValidation sqref="G89" showDropDown="0" showInputMessage="0" showErrorMessage="1" allowBlank="1" errorTitle="Valor fora da faixa" error="Valor do lançamento 4: use um número inteiro de -10000000 a 10000000." type="whole" errorStyle="warning" operator="between">
      <formula1>-10000000</formula1>
      <formula2>10000000</formula2>
    </dataValidation>
    <dataValidation sqref="G90" showDropDown="0" showInputMessage="0" showErrorMessage="1" allowBlank="1" errorTitle="Valor fora da faixa" error="Valor do lançamento 5: use um número inteiro de -10000000 a 10000000." type="whole" errorStyle="warning" operator="between">
      <formula1>-10000000</formula1>
      <formula2>10000000</formula2>
    </dataValidation>
    <dataValidation sqref="G91" showDropDown="0" showInputMessage="0" showErrorMessage="1" allowBlank="1" errorTitle="Valor fora da faixa" error="Valor do lançamento 6: use um número inteiro de -10000000 a 10000000." type="whole" errorStyle="warning" operator="between">
      <formula1>-10000000</formula1>
      <formula2>10000000</formula2>
    </dataValidation>
    <dataValidation sqref="G92" showDropDown="0" showInputMessage="0" showErrorMessage="1" allowBlank="1" errorTitle="Valor fora da faixa" error="Valor do lançamento 7: use um número inteiro de -10000000 a 10000000." type="whole" errorStyle="warning" operator="between">
      <formula1>-10000000</formula1>
      <formula2>10000000</formula2>
    </dataValidation>
    <dataValidation sqref="G93" showDropDown="0" showInputMessage="0" showErrorMessage="1" allowBlank="1" errorTitle="Valor fora da faixa" error="Valor do lançamento 8: use um número inteiro de -10000000 a 10000000." type="whole" errorStyle="warning" operator="between">
      <formula1>-10000000</formula1>
      <formula2>10000000</formula2>
    </dataValidation>
    <dataValidation sqref="G94" showDropDown="0" showInputMessage="0" showErrorMessage="1" allowBlank="1" errorTitle="Valor fora da faixa" error="Valor do lançamento 9: use um número inteiro de -10000000 a 10000000." type="whole" errorStyle="warning" operator="between">
      <formula1>-10000000</formula1>
      <formula2>10000000</formula2>
    </dataValidation>
    <dataValidation sqref="G95" showDropDown="0" showInputMessage="0" showErrorMessage="1" allowBlank="1" errorTitle="Valor fora da faixa" error="Valor do lançamento 10: use um número inteiro de -10000000 a 10000000." type="whole" errorStyle="warning" operator="between">
      <formula1>-10000000</formula1>
      <formula2>10000000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8"/>
  <sheetViews>
    <sheetView showGridLines="1" workbookViewId="0">
      <selection activeCell="A1" sqref="A1"/>
    </sheetView>
  </sheetViews>
  <sheetFormatPr baseColWidth="8" defaultRowHeight="15"/>
  <cols>
    <col width="13" customWidth="1" min="1" max="1"/>
    <col width="22.357" customWidth="1" min="2" max="2"/>
    <col width="25.071" customWidth="1" min="3" max="3"/>
    <col width="22.357" customWidth="1" min="4" max="4"/>
    <col width="22.357" customWidth="1" min="5" max="5"/>
    <col width="22.357" customWidth="1" min="6" max="6"/>
    <col width="22.357" customWidth="1" min="7" max="7"/>
    <col width="20.643" customWidth="1" min="8" max="8"/>
    <col width="17.929" customWidth="1" min="9" max="9"/>
    <col width="13" customWidth="1" min="10" max="10"/>
    <col width="13" customWidth="1" min="11" max="11"/>
    <col width="13" customWidth="1" min="12" max="12"/>
    <col hidden="1" width="4" customWidth="1" min="18" max="18"/>
    <col hidden="1" width="13" customWidth="1" min="20" max="20"/>
    <col hidden="1" width="13" customWidth="1" min="21" max="21"/>
    <col hidden="1" width="13" customWidth="1" min="22" max="22"/>
    <col hidden="1" width="13" customWidth="1" min="23" max="23"/>
  </cols>
  <sheetData>
    <row r="1" ht="24" customHeight="1">
      <c r="A1" s="1" t="inlineStr">
        <is>
          <t>Progressão — Explorando Galáxias v1.2</t>
        </is>
      </c>
    </row>
    <row r="2" ht="26"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 tabela mestra do nível 1 ao 20, aumentos de Atributo e Ressonâncias.</t>
        </is>
      </c>
    </row>
    <row r="4"/>
    <row r="5">
      <c r="A5" s="8" t="inlineStr">
        <is>
          <t>Nível atual</t>
        </is>
      </c>
      <c r="C5" s="17">
        <f>'Criação'!$A$14</f>
        <v/>
      </c>
      <c r="D5" s="12" t="inlineStr">
        <is>
          <t>Jogadores</t>
        </is>
      </c>
      <c r="E5" s="17">
        <f>'Criação'!$B$17</f>
        <v/>
      </c>
      <c r="F5" s="12" t="inlineStr">
        <is>
          <t>A linha do seu nível fica destacada em amarelo e negrito.</t>
        </is>
      </c>
    </row>
    <row r="6"/>
    <row r="7">
      <c r="A7" s="14" t="inlineStr">
        <is>
          <t>Tabela mestra, nível 1 a 20 — 26.2: Eficiência, Eficácia, Bênçãos e Habilidades</t>
        </is>
      </c>
    </row>
    <row r="8" ht="26" customHeight="1">
      <c r="A8" s="30" t="inlineStr">
        <is>
          <t>Nível (1 a 10)</t>
        </is>
      </c>
      <c r="B8" s="30" t="inlineStr">
        <is>
          <t>Eficiência</t>
        </is>
      </c>
      <c r="C8" s="30" t="inlineStr">
        <is>
          <t>Eficácia: slots em Perícias</t>
        </is>
      </c>
      <c r="D8" s="30" t="inlineStr">
        <is>
          <t>Eficácia: slots em Testes de Resistência</t>
        </is>
      </c>
      <c r="E8" s="30" t="inlineStr">
        <is>
          <t>Bênçãos</t>
        </is>
      </c>
      <c r="F8" s="30" t="inlineStr">
        <is>
          <t>Habilidades conhecidas</t>
        </is>
      </c>
      <c r="G8" s="30" t="inlineStr">
        <is>
          <t>Reescreve 1 por nível</t>
        </is>
      </c>
      <c r="H8" s="30" t="inlineStr">
        <is>
          <t>Nível máx. de Habilidade</t>
        </is>
      </c>
      <c r="I8" s="30" t="inlineStr">
        <is>
          <t>Aumento de Atributo</t>
        </is>
      </c>
    </row>
    <row r="9">
      <c r="A9" s="31">
        <f>INDEX('Dados'!$A$265:$A$284,1)</f>
        <v/>
      </c>
      <c r="B9" s="64">
        <f>INDEX('Dados'!$B$265:$B$284,1)</f>
        <v/>
      </c>
      <c r="C9" s="64">
        <f>INDEX('Dados'!$C$265:$C$284,1)</f>
        <v/>
      </c>
      <c r="D9" s="64">
        <f>INDEX('Dados'!$D$265:$D$284,1)</f>
        <v/>
      </c>
      <c r="E9" s="64">
        <f>INDEX('Dados'!$E$265:$E$284,1)</f>
        <v/>
      </c>
      <c r="F9" s="64">
        <f>INDEX('Dados'!$F$265:$F$284,1)</f>
        <v/>
      </c>
      <c r="G9" s="64">
        <f>INDEX('Dados'!$G$265:$G$284,1)</f>
        <v/>
      </c>
      <c r="H9" s="64">
        <f>INDEX('Dados'!$H$265:$H$284,1)</f>
        <v/>
      </c>
      <c r="I9" s="64">
        <f>INDEX('Dados'!$I$265:$I$284,1)</f>
        <v/>
      </c>
    </row>
    <row r="10">
      <c r="A10" s="65">
        <f>INDEX('Dados'!$A$265:$A$284,2)</f>
        <v/>
      </c>
      <c r="B10" s="66">
        <f>INDEX('Dados'!$B$265:$B$284,2)</f>
        <v/>
      </c>
      <c r="C10" s="66">
        <f>INDEX('Dados'!$C$265:$C$284,2)</f>
        <v/>
      </c>
      <c r="D10" s="66">
        <f>INDEX('Dados'!$D$265:$D$284,2)</f>
        <v/>
      </c>
      <c r="E10" s="66">
        <f>INDEX('Dados'!$E$265:$E$284,2)</f>
        <v/>
      </c>
      <c r="F10" s="66">
        <f>INDEX('Dados'!$F$265:$F$284,2)</f>
        <v/>
      </c>
      <c r="G10" s="66">
        <f>INDEX('Dados'!$G$265:$G$284,2)</f>
        <v/>
      </c>
      <c r="H10" s="66">
        <f>INDEX('Dados'!$H$265:$H$284,2)</f>
        <v/>
      </c>
      <c r="I10" s="66">
        <f>INDEX('Dados'!$I$265:$I$284,2)</f>
        <v/>
      </c>
    </row>
    <row r="11">
      <c r="A11" s="31">
        <f>INDEX('Dados'!$A$265:$A$284,3)</f>
        <v/>
      </c>
      <c r="B11" s="64">
        <f>INDEX('Dados'!$B$265:$B$284,3)</f>
        <v/>
      </c>
      <c r="C11" s="64">
        <f>INDEX('Dados'!$C$265:$C$284,3)</f>
        <v/>
      </c>
      <c r="D11" s="64">
        <f>INDEX('Dados'!$D$265:$D$284,3)</f>
        <v/>
      </c>
      <c r="E11" s="64">
        <f>INDEX('Dados'!$E$265:$E$284,3)</f>
        <v/>
      </c>
      <c r="F11" s="64">
        <f>INDEX('Dados'!$F$265:$F$284,3)</f>
        <v/>
      </c>
      <c r="G11" s="64">
        <f>INDEX('Dados'!$G$265:$G$284,3)</f>
        <v/>
      </c>
      <c r="H11" s="64">
        <f>INDEX('Dados'!$H$265:$H$284,3)</f>
        <v/>
      </c>
      <c r="I11" s="64">
        <f>INDEX('Dados'!$I$265:$I$284,3)</f>
        <v/>
      </c>
    </row>
    <row r="12">
      <c r="A12" s="65">
        <f>INDEX('Dados'!$A$265:$A$284,4)</f>
        <v/>
      </c>
      <c r="B12" s="66">
        <f>INDEX('Dados'!$B$265:$B$284,4)</f>
        <v/>
      </c>
      <c r="C12" s="66">
        <f>INDEX('Dados'!$C$265:$C$284,4)</f>
        <v/>
      </c>
      <c r="D12" s="66">
        <f>INDEX('Dados'!$D$265:$D$284,4)</f>
        <v/>
      </c>
      <c r="E12" s="66">
        <f>INDEX('Dados'!$E$265:$E$284,4)</f>
        <v/>
      </c>
      <c r="F12" s="66">
        <f>INDEX('Dados'!$F$265:$F$284,4)</f>
        <v/>
      </c>
      <c r="G12" s="66">
        <f>INDEX('Dados'!$G$265:$G$284,4)</f>
        <v/>
      </c>
      <c r="H12" s="66">
        <f>INDEX('Dados'!$H$265:$H$284,4)</f>
        <v/>
      </c>
      <c r="I12" s="66">
        <f>INDEX('Dados'!$I$265:$I$284,4)</f>
        <v/>
      </c>
    </row>
    <row r="13">
      <c r="A13" s="31">
        <f>INDEX('Dados'!$A$265:$A$284,5)</f>
        <v/>
      </c>
      <c r="B13" s="64">
        <f>INDEX('Dados'!$B$265:$B$284,5)</f>
        <v/>
      </c>
      <c r="C13" s="64">
        <f>INDEX('Dados'!$C$265:$C$284,5)</f>
        <v/>
      </c>
      <c r="D13" s="64">
        <f>INDEX('Dados'!$D$265:$D$284,5)</f>
        <v/>
      </c>
      <c r="E13" s="64">
        <f>INDEX('Dados'!$E$265:$E$284,5)</f>
        <v/>
      </c>
      <c r="F13" s="64">
        <f>INDEX('Dados'!$F$265:$F$284,5)</f>
        <v/>
      </c>
      <c r="G13" s="64">
        <f>INDEX('Dados'!$G$265:$G$284,5)</f>
        <v/>
      </c>
      <c r="H13" s="64">
        <f>INDEX('Dados'!$H$265:$H$284,5)</f>
        <v/>
      </c>
      <c r="I13" s="64">
        <f>INDEX('Dados'!$I$265:$I$284,5)</f>
        <v/>
      </c>
    </row>
    <row r="14">
      <c r="A14" s="65">
        <f>INDEX('Dados'!$A$265:$A$284,6)</f>
        <v/>
      </c>
      <c r="B14" s="66">
        <f>INDEX('Dados'!$B$265:$B$284,6)</f>
        <v/>
      </c>
      <c r="C14" s="66">
        <f>INDEX('Dados'!$C$265:$C$284,6)</f>
        <v/>
      </c>
      <c r="D14" s="66">
        <f>INDEX('Dados'!$D$265:$D$284,6)</f>
        <v/>
      </c>
      <c r="E14" s="66">
        <f>INDEX('Dados'!$E$265:$E$284,6)</f>
        <v/>
      </c>
      <c r="F14" s="66">
        <f>INDEX('Dados'!$F$265:$F$284,6)</f>
        <v/>
      </c>
      <c r="G14" s="66">
        <f>INDEX('Dados'!$G$265:$G$284,6)</f>
        <v/>
      </c>
      <c r="H14" s="66">
        <f>INDEX('Dados'!$H$265:$H$284,6)</f>
        <v/>
      </c>
      <c r="I14" s="66">
        <f>INDEX('Dados'!$I$265:$I$284,6)</f>
        <v/>
      </c>
    </row>
    <row r="15">
      <c r="A15" s="31">
        <f>INDEX('Dados'!$A$265:$A$284,7)</f>
        <v/>
      </c>
      <c r="B15" s="64">
        <f>INDEX('Dados'!$B$265:$B$284,7)</f>
        <v/>
      </c>
      <c r="C15" s="64">
        <f>INDEX('Dados'!$C$265:$C$284,7)</f>
        <v/>
      </c>
      <c r="D15" s="64">
        <f>INDEX('Dados'!$D$265:$D$284,7)</f>
        <v/>
      </c>
      <c r="E15" s="64">
        <f>INDEX('Dados'!$E$265:$E$284,7)</f>
        <v/>
      </c>
      <c r="F15" s="64">
        <f>INDEX('Dados'!$F$265:$F$284,7)</f>
        <v/>
      </c>
      <c r="G15" s="64">
        <f>INDEX('Dados'!$G$265:$G$284,7)</f>
        <v/>
      </c>
      <c r="H15" s="64">
        <f>INDEX('Dados'!$H$265:$H$284,7)</f>
        <v/>
      </c>
      <c r="I15" s="64">
        <f>INDEX('Dados'!$I$265:$I$284,7)</f>
        <v/>
      </c>
    </row>
    <row r="16">
      <c r="A16" s="65">
        <f>INDEX('Dados'!$A$265:$A$284,8)</f>
        <v/>
      </c>
      <c r="B16" s="66">
        <f>INDEX('Dados'!$B$265:$B$284,8)</f>
        <v/>
      </c>
      <c r="C16" s="66">
        <f>INDEX('Dados'!$C$265:$C$284,8)</f>
        <v/>
      </c>
      <c r="D16" s="66">
        <f>INDEX('Dados'!$D$265:$D$284,8)</f>
        <v/>
      </c>
      <c r="E16" s="66">
        <f>INDEX('Dados'!$E$265:$E$284,8)</f>
        <v/>
      </c>
      <c r="F16" s="66">
        <f>INDEX('Dados'!$F$265:$F$284,8)</f>
        <v/>
      </c>
      <c r="G16" s="66">
        <f>INDEX('Dados'!$G$265:$G$284,8)</f>
        <v/>
      </c>
      <c r="H16" s="66">
        <f>INDEX('Dados'!$H$265:$H$284,8)</f>
        <v/>
      </c>
      <c r="I16" s="66">
        <f>INDEX('Dados'!$I$265:$I$284,8)</f>
        <v/>
      </c>
    </row>
    <row r="17">
      <c r="A17" s="31">
        <f>INDEX('Dados'!$A$265:$A$284,9)</f>
        <v/>
      </c>
      <c r="B17" s="64">
        <f>INDEX('Dados'!$B$265:$B$284,9)</f>
        <v/>
      </c>
      <c r="C17" s="64">
        <f>INDEX('Dados'!$C$265:$C$284,9)</f>
        <v/>
      </c>
      <c r="D17" s="64">
        <f>INDEX('Dados'!$D$265:$D$284,9)</f>
        <v/>
      </c>
      <c r="E17" s="64">
        <f>INDEX('Dados'!$E$265:$E$284,9)</f>
        <v/>
      </c>
      <c r="F17" s="64">
        <f>INDEX('Dados'!$F$265:$F$284,9)</f>
        <v/>
      </c>
      <c r="G17" s="64">
        <f>INDEX('Dados'!$G$265:$G$284,9)</f>
        <v/>
      </c>
      <c r="H17" s="64">
        <f>INDEX('Dados'!$H$265:$H$284,9)</f>
        <v/>
      </c>
      <c r="I17" s="64">
        <f>INDEX('Dados'!$I$265:$I$284,9)</f>
        <v/>
      </c>
    </row>
    <row r="18">
      <c r="A18" s="65">
        <f>INDEX('Dados'!$A$265:$A$284,10)</f>
        <v/>
      </c>
      <c r="B18" s="66">
        <f>INDEX('Dados'!$B$265:$B$284,10)</f>
        <v/>
      </c>
      <c r="C18" s="66">
        <f>INDEX('Dados'!$C$265:$C$284,10)</f>
        <v/>
      </c>
      <c r="D18" s="66">
        <f>INDEX('Dados'!$D$265:$D$284,10)</f>
        <v/>
      </c>
      <c r="E18" s="66">
        <f>INDEX('Dados'!$E$265:$E$284,10)</f>
        <v/>
      </c>
      <c r="F18" s="66">
        <f>INDEX('Dados'!$F$265:$F$284,10)</f>
        <v/>
      </c>
      <c r="G18" s="66">
        <f>INDEX('Dados'!$G$265:$G$284,10)</f>
        <v/>
      </c>
      <c r="H18" s="66">
        <f>INDEX('Dados'!$H$265:$H$284,10)</f>
        <v/>
      </c>
      <c r="I18" s="66">
        <f>INDEX('Dados'!$I$265:$I$284,10)</f>
        <v/>
      </c>
    </row>
    <row r="19" ht="26" customHeight="1">
      <c r="A19" s="30" t="inlineStr">
        <is>
          <t>Nível (11 a 20)</t>
        </is>
      </c>
      <c r="B19" s="30" t="inlineStr">
        <is>
          <t>Eficiência</t>
        </is>
      </c>
      <c r="C19" s="30" t="inlineStr">
        <is>
          <t>Eficácia: slots em Perícias</t>
        </is>
      </c>
      <c r="D19" s="30" t="inlineStr">
        <is>
          <t>Eficácia: slots em Testes de Resistência</t>
        </is>
      </c>
      <c r="E19" s="30" t="inlineStr">
        <is>
          <t>Bênçãos</t>
        </is>
      </c>
      <c r="F19" s="30" t="inlineStr">
        <is>
          <t>Habilidades conhecidas</t>
        </is>
      </c>
      <c r="G19" s="30" t="inlineStr">
        <is>
          <t>Reescreve 1 por nível</t>
        </is>
      </c>
      <c r="H19" s="30" t="inlineStr">
        <is>
          <t>Nível máx. de Habilidade</t>
        </is>
      </c>
      <c r="I19" s="30" t="inlineStr">
        <is>
          <t>Aumento de Atributo</t>
        </is>
      </c>
    </row>
    <row r="20">
      <c r="A20" s="31">
        <f>INDEX('Dados'!$A$265:$A$284,11)</f>
        <v/>
      </c>
      <c r="B20" s="64">
        <f>INDEX('Dados'!$B$265:$B$284,11)</f>
        <v/>
      </c>
      <c r="C20" s="64">
        <f>INDEX('Dados'!$C$265:$C$284,11)</f>
        <v/>
      </c>
      <c r="D20" s="64">
        <f>INDEX('Dados'!$D$265:$D$284,11)</f>
        <v/>
      </c>
      <c r="E20" s="64">
        <f>INDEX('Dados'!$E$265:$E$284,11)</f>
        <v/>
      </c>
      <c r="F20" s="64">
        <f>INDEX('Dados'!$F$265:$F$284,11)</f>
        <v/>
      </c>
      <c r="G20" s="64">
        <f>INDEX('Dados'!$G$265:$G$284,11)</f>
        <v/>
      </c>
      <c r="H20" s="64">
        <f>INDEX('Dados'!$H$265:$H$284,11)</f>
        <v/>
      </c>
      <c r="I20" s="64">
        <f>INDEX('Dados'!$I$265:$I$284,11)</f>
        <v/>
      </c>
    </row>
    <row r="21">
      <c r="A21" s="65">
        <f>INDEX('Dados'!$A$265:$A$284,12)</f>
        <v/>
      </c>
      <c r="B21" s="66">
        <f>INDEX('Dados'!$B$265:$B$284,12)</f>
        <v/>
      </c>
      <c r="C21" s="66">
        <f>INDEX('Dados'!$C$265:$C$284,12)</f>
        <v/>
      </c>
      <c r="D21" s="66">
        <f>INDEX('Dados'!$D$265:$D$284,12)</f>
        <v/>
      </c>
      <c r="E21" s="66">
        <f>INDEX('Dados'!$E$265:$E$284,12)</f>
        <v/>
      </c>
      <c r="F21" s="66">
        <f>INDEX('Dados'!$F$265:$F$284,12)</f>
        <v/>
      </c>
      <c r="G21" s="66">
        <f>INDEX('Dados'!$G$265:$G$284,12)</f>
        <v/>
      </c>
      <c r="H21" s="66">
        <f>INDEX('Dados'!$H$265:$H$284,12)</f>
        <v/>
      </c>
      <c r="I21" s="66">
        <f>INDEX('Dados'!$I$265:$I$284,12)</f>
        <v/>
      </c>
    </row>
    <row r="22">
      <c r="A22" s="31">
        <f>INDEX('Dados'!$A$265:$A$284,13)</f>
        <v/>
      </c>
      <c r="B22" s="64">
        <f>INDEX('Dados'!$B$265:$B$284,13)</f>
        <v/>
      </c>
      <c r="C22" s="64">
        <f>INDEX('Dados'!$C$265:$C$284,13)</f>
        <v/>
      </c>
      <c r="D22" s="64">
        <f>INDEX('Dados'!$D$265:$D$284,13)</f>
        <v/>
      </c>
      <c r="E22" s="64">
        <f>INDEX('Dados'!$E$265:$E$284,13)</f>
        <v/>
      </c>
      <c r="F22" s="64">
        <f>INDEX('Dados'!$F$265:$F$284,13)</f>
        <v/>
      </c>
      <c r="G22" s="64">
        <f>INDEX('Dados'!$G$265:$G$284,13)</f>
        <v/>
      </c>
      <c r="H22" s="64">
        <f>INDEX('Dados'!$H$265:$H$284,13)</f>
        <v/>
      </c>
      <c r="I22" s="64">
        <f>INDEX('Dados'!$I$265:$I$284,13)</f>
        <v/>
      </c>
    </row>
    <row r="23">
      <c r="A23" s="65">
        <f>INDEX('Dados'!$A$265:$A$284,14)</f>
        <v/>
      </c>
      <c r="B23" s="66">
        <f>INDEX('Dados'!$B$265:$B$284,14)</f>
        <v/>
      </c>
      <c r="C23" s="66">
        <f>INDEX('Dados'!$C$265:$C$284,14)</f>
        <v/>
      </c>
      <c r="D23" s="66">
        <f>INDEX('Dados'!$D$265:$D$284,14)</f>
        <v/>
      </c>
      <c r="E23" s="66">
        <f>INDEX('Dados'!$E$265:$E$284,14)</f>
        <v/>
      </c>
      <c r="F23" s="66">
        <f>INDEX('Dados'!$F$265:$F$284,14)</f>
        <v/>
      </c>
      <c r="G23" s="66">
        <f>INDEX('Dados'!$G$265:$G$284,14)</f>
        <v/>
      </c>
      <c r="H23" s="66">
        <f>INDEX('Dados'!$H$265:$H$284,14)</f>
        <v/>
      </c>
      <c r="I23" s="66">
        <f>INDEX('Dados'!$I$265:$I$284,14)</f>
        <v/>
      </c>
    </row>
    <row r="24">
      <c r="A24" s="31">
        <f>INDEX('Dados'!$A$265:$A$284,15)</f>
        <v/>
      </c>
      <c r="B24" s="64">
        <f>INDEX('Dados'!$B$265:$B$284,15)</f>
        <v/>
      </c>
      <c r="C24" s="64">
        <f>INDEX('Dados'!$C$265:$C$284,15)</f>
        <v/>
      </c>
      <c r="D24" s="64">
        <f>INDEX('Dados'!$D$265:$D$284,15)</f>
        <v/>
      </c>
      <c r="E24" s="64">
        <f>INDEX('Dados'!$E$265:$E$284,15)</f>
        <v/>
      </c>
      <c r="F24" s="64">
        <f>INDEX('Dados'!$F$265:$F$284,15)</f>
        <v/>
      </c>
      <c r="G24" s="64">
        <f>INDEX('Dados'!$G$265:$G$284,15)</f>
        <v/>
      </c>
      <c r="H24" s="64">
        <f>INDEX('Dados'!$H$265:$H$284,15)</f>
        <v/>
      </c>
      <c r="I24" s="64">
        <f>INDEX('Dados'!$I$265:$I$284,15)</f>
        <v/>
      </c>
    </row>
    <row r="25">
      <c r="A25" s="65">
        <f>INDEX('Dados'!$A$265:$A$284,16)</f>
        <v/>
      </c>
      <c r="B25" s="66">
        <f>INDEX('Dados'!$B$265:$B$284,16)</f>
        <v/>
      </c>
      <c r="C25" s="66">
        <f>INDEX('Dados'!$C$265:$C$284,16)</f>
        <v/>
      </c>
      <c r="D25" s="66">
        <f>INDEX('Dados'!$D$265:$D$284,16)</f>
        <v/>
      </c>
      <c r="E25" s="66">
        <f>INDEX('Dados'!$E$265:$E$284,16)</f>
        <v/>
      </c>
      <c r="F25" s="66">
        <f>INDEX('Dados'!$F$265:$F$284,16)</f>
        <v/>
      </c>
      <c r="G25" s="66">
        <f>INDEX('Dados'!$G$265:$G$284,16)</f>
        <v/>
      </c>
      <c r="H25" s="66">
        <f>INDEX('Dados'!$H$265:$H$284,16)</f>
        <v/>
      </c>
      <c r="I25" s="66">
        <f>INDEX('Dados'!$I$265:$I$284,16)</f>
        <v/>
      </c>
    </row>
    <row r="26">
      <c r="A26" s="31">
        <f>INDEX('Dados'!$A$265:$A$284,17)</f>
        <v/>
      </c>
      <c r="B26" s="64">
        <f>INDEX('Dados'!$B$265:$B$284,17)</f>
        <v/>
      </c>
      <c r="C26" s="64">
        <f>INDEX('Dados'!$C$265:$C$284,17)</f>
        <v/>
      </c>
      <c r="D26" s="64">
        <f>INDEX('Dados'!$D$265:$D$284,17)</f>
        <v/>
      </c>
      <c r="E26" s="64">
        <f>INDEX('Dados'!$E$265:$E$284,17)</f>
        <v/>
      </c>
      <c r="F26" s="64">
        <f>INDEX('Dados'!$F$265:$F$284,17)</f>
        <v/>
      </c>
      <c r="G26" s="64">
        <f>INDEX('Dados'!$G$265:$G$284,17)</f>
        <v/>
      </c>
      <c r="H26" s="64">
        <f>INDEX('Dados'!$H$265:$H$284,17)</f>
        <v/>
      </c>
      <c r="I26" s="64">
        <f>INDEX('Dados'!$I$265:$I$284,17)</f>
        <v/>
      </c>
    </row>
    <row r="27">
      <c r="A27" s="65">
        <f>INDEX('Dados'!$A$265:$A$284,18)</f>
        <v/>
      </c>
      <c r="B27" s="66">
        <f>INDEX('Dados'!$B$265:$B$284,18)</f>
        <v/>
      </c>
      <c r="C27" s="66">
        <f>INDEX('Dados'!$C$265:$C$284,18)</f>
        <v/>
      </c>
      <c r="D27" s="66">
        <f>INDEX('Dados'!$D$265:$D$284,18)</f>
        <v/>
      </c>
      <c r="E27" s="66">
        <f>INDEX('Dados'!$E$265:$E$284,18)</f>
        <v/>
      </c>
      <c r="F27" s="66">
        <f>INDEX('Dados'!$F$265:$F$284,18)</f>
        <v/>
      </c>
      <c r="G27" s="66">
        <f>INDEX('Dados'!$G$265:$G$284,18)</f>
        <v/>
      </c>
      <c r="H27" s="66">
        <f>INDEX('Dados'!$H$265:$H$284,18)</f>
        <v/>
      </c>
      <c r="I27" s="66">
        <f>INDEX('Dados'!$I$265:$I$284,18)</f>
        <v/>
      </c>
    </row>
    <row r="28">
      <c r="A28" s="31">
        <f>INDEX('Dados'!$A$265:$A$284,19)</f>
        <v/>
      </c>
      <c r="B28" s="64">
        <f>INDEX('Dados'!$B$265:$B$284,19)</f>
        <v/>
      </c>
      <c r="C28" s="64">
        <f>INDEX('Dados'!$C$265:$C$284,19)</f>
        <v/>
      </c>
      <c r="D28" s="64">
        <f>INDEX('Dados'!$D$265:$D$284,19)</f>
        <v/>
      </c>
      <c r="E28" s="64">
        <f>INDEX('Dados'!$E$265:$E$284,19)</f>
        <v/>
      </c>
      <c r="F28" s="64">
        <f>INDEX('Dados'!$F$265:$F$284,19)</f>
        <v/>
      </c>
      <c r="G28" s="64">
        <f>INDEX('Dados'!$G$265:$G$284,19)</f>
        <v/>
      </c>
      <c r="H28" s="64">
        <f>INDEX('Dados'!$H$265:$H$284,19)</f>
        <v/>
      </c>
      <c r="I28" s="64">
        <f>INDEX('Dados'!$I$265:$I$284,19)</f>
        <v/>
      </c>
    </row>
    <row r="29">
      <c r="A29" s="65">
        <f>INDEX('Dados'!$A$265:$A$284,20)</f>
        <v/>
      </c>
      <c r="B29" s="66">
        <f>INDEX('Dados'!$B$265:$B$284,20)</f>
        <v/>
      </c>
      <c r="C29" s="66">
        <f>INDEX('Dados'!$C$265:$C$284,20)</f>
        <v/>
      </c>
      <c r="D29" s="66">
        <f>INDEX('Dados'!$D$265:$D$284,20)</f>
        <v/>
      </c>
      <c r="E29" s="66">
        <f>INDEX('Dados'!$E$265:$E$284,20)</f>
        <v/>
      </c>
      <c r="F29" s="66">
        <f>INDEX('Dados'!$F$265:$F$284,20)</f>
        <v/>
      </c>
      <c r="G29" s="66">
        <f>INDEX('Dados'!$G$265:$G$284,20)</f>
        <v/>
      </c>
      <c r="H29" s="66">
        <f>INDEX('Dados'!$H$265:$H$284,20)</f>
        <v/>
      </c>
      <c r="I29" s="66">
        <f>INDEX('Dados'!$I$265:$I$284,20)</f>
        <v/>
      </c>
    </row>
    <row r="30"/>
    <row r="31">
      <c r="A31" s="14" t="inlineStr">
        <is>
          <t>Tabela mestra (continuação) — 26.2, PH do grupo 16.2, Ultimate 17.3, Cone de Luz e Relíquias 25.1</t>
        </is>
      </c>
    </row>
    <row r="32" ht="26" customHeight="1">
      <c r="A32" s="30" t="inlineStr">
        <is>
          <t>Nível (1 a 10)</t>
        </is>
      </c>
      <c r="B32" s="30" t="inlineStr">
        <is>
          <t>Dados de Ataque Básico</t>
        </is>
      </c>
      <c r="C32" s="30" t="inlineStr">
        <is>
          <t>Especialização de Combate</t>
        </is>
      </c>
      <c r="D32" s="30" t="inlineStr">
        <is>
          <t>Teto de RD</t>
        </is>
      </c>
      <c r="E32" s="30" t="inlineStr">
        <is>
          <t>PH do grupo: máximo</t>
        </is>
      </c>
      <c r="F32" s="30" t="inlineStr">
        <is>
          <t>PH do grupo: início</t>
        </is>
      </c>
      <c r="G32" s="30" t="inlineStr">
        <is>
          <t>Ultimate: Nível equivalente</t>
        </is>
      </c>
      <c r="H32" s="30" t="inlineStr">
        <is>
          <t>Cone de Luz máximo</t>
        </is>
      </c>
      <c r="I32" s="30" t="inlineStr">
        <is>
          <t>Tier de Relíquia</t>
        </is>
      </c>
    </row>
    <row r="33">
      <c r="A33" s="31">
        <f>INDEX('Dados'!$A$265:$A$284,1)</f>
        <v/>
      </c>
      <c r="B33" s="64">
        <f>INDEX('Dados'!$J$265:$J$284,1)</f>
        <v/>
      </c>
      <c r="C33" s="64">
        <f>INDEX('Dados'!$K$265:$K$284,1)</f>
        <v/>
      </c>
      <c r="D33" s="64">
        <f>INDEX('Dados'!$L$265:$L$284,1)</f>
        <v/>
      </c>
      <c r="E33" s="64">
        <f>1+$E$5+IF($A33&gt;=17,2,IF($A33&gt;=9,1,0))</f>
        <v/>
      </c>
      <c r="F33" s="64">
        <f>$E$33-2</f>
        <v/>
      </c>
      <c r="G33" s="64">
        <f>INDEX('Dados'!$B$333:$B$337,INT(($A33-1)/4)+1)</f>
        <v/>
      </c>
      <c r="H33" s="64">
        <f>"Nível "&amp;(INT(($A33-1)/4)+1)</f>
        <v/>
      </c>
      <c r="I33" s="64">
        <f>CHOOSE(IF($A33&lt;=6,1,IF($A33&lt;=12,2,IF($A33&lt;=17,3,4))),"I","II","III","IV")</f>
        <v/>
      </c>
    </row>
    <row r="34">
      <c r="A34" s="65">
        <f>INDEX('Dados'!$A$265:$A$284,2)</f>
        <v/>
      </c>
      <c r="B34" s="66">
        <f>INDEX('Dados'!$J$265:$J$284,2)</f>
        <v/>
      </c>
      <c r="C34" s="66">
        <f>INDEX('Dados'!$K$265:$K$284,2)</f>
        <v/>
      </c>
      <c r="D34" s="66">
        <f>INDEX('Dados'!$L$265:$L$284,2)</f>
        <v/>
      </c>
      <c r="E34" s="66">
        <f>1+$E$5+IF($A34&gt;=17,2,IF($A34&gt;=9,1,0))</f>
        <v/>
      </c>
      <c r="F34" s="66">
        <f>$E$34-2</f>
        <v/>
      </c>
      <c r="G34" s="66">
        <f>INDEX('Dados'!$B$333:$B$337,INT(($A34-1)/4)+1)</f>
        <v/>
      </c>
      <c r="H34" s="66">
        <f>"Nível "&amp;(INT(($A34-1)/4)+1)</f>
        <v/>
      </c>
      <c r="I34" s="66">
        <f>CHOOSE(IF($A34&lt;=6,1,IF($A34&lt;=12,2,IF($A34&lt;=17,3,4))),"I","II","III","IV")</f>
        <v/>
      </c>
    </row>
    <row r="35">
      <c r="A35" s="31">
        <f>INDEX('Dados'!$A$265:$A$284,3)</f>
        <v/>
      </c>
      <c r="B35" s="64">
        <f>INDEX('Dados'!$J$265:$J$284,3)</f>
        <v/>
      </c>
      <c r="C35" s="64">
        <f>INDEX('Dados'!$K$265:$K$284,3)</f>
        <v/>
      </c>
      <c r="D35" s="64">
        <f>INDEX('Dados'!$L$265:$L$284,3)</f>
        <v/>
      </c>
      <c r="E35" s="64">
        <f>1+$E$5+IF($A35&gt;=17,2,IF($A35&gt;=9,1,0))</f>
        <v/>
      </c>
      <c r="F35" s="64">
        <f>$E$35-2</f>
        <v/>
      </c>
      <c r="G35" s="64">
        <f>INDEX('Dados'!$B$333:$B$337,INT(($A35-1)/4)+1)</f>
        <v/>
      </c>
      <c r="H35" s="64">
        <f>"Nível "&amp;(INT(($A35-1)/4)+1)</f>
        <v/>
      </c>
      <c r="I35" s="64">
        <f>CHOOSE(IF($A35&lt;=6,1,IF($A35&lt;=12,2,IF($A35&lt;=17,3,4))),"I","II","III","IV")</f>
        <v/>
      </c>
    </row>
    <row r="36">
      <c r="A36" s="65">
        <f>INDEX('Dados'!$A$265:$A$284,4)</f>
        <v/>
      </c>
      <c r="B36" s="66">
        <f>INDEX('Dados'!$J$265:$J$284,4)</f>
        <v/>
      </c>
      <c r="C36" s="66">
        <f>INDEX('Dados'!$K$265:$K$284,4)</f>
        <v/>
      </c>
      <c r="D36" s="66">
        <f>INDEX('Dados'!$L$265:$L$284,4)</f>
        <v/>
      </c>
      <c r="E36" s="66">
        <f>1+$E$5+IF($A36&gt;=17,2,IF($A36&gt;=9,1,0))</f>
        <v/>
      </c>
      <c r="F36" s="66">
        <f>$E$36-2</f>
        <v/>
      </c>
      <c r="G36" s="66">
        <f>INDEX('Dados'!$B$333:$B$337,INT(($A36-1)/4)+1)</f>
        <v/>
      </c>
      <c r="H36" s="66">
        <f>"Nível "&amp;(INT(($A36-1)/4)+1)</f>
        <v/>
      </c>
      <c r="I36" s="66">
        <f>CHOOSE(IF($A36&lt;=6,1,IF($A36&lt;=12,2,IF($A36&lt;=17,3,4))),"I","II","III","IV")</f>
        <v/>
      </c>
    </row>
    <row r="37">
      <c r="A37" s="31">
        <f>INDEX('Dados'!$A$265:$A$284,5)</f>
        <v/>
      </c>
      <c r="B37" s="64">
        <f>INDEX('Dados'!$J$265:$J$284,5)</f>
        <v/>
      </c>
      <c r="C37" s="64">
        <f>INDEX('Dados'!$K$265:$K$284,5)</f>
        <v/>
      </c>
      <c r="D37" s="64">
        <f>INDEX('Dados'!$L$265:$L$284,5)</f>
        <v/>
      </c>
      <c r="E37" s="64">
        <f>1+$E$5+IF($A37&gt;=17,2,IF($A37&gt;=9,1,0))</f>
        <v/>
      </c>
      <c r="F37" s="64">
        <f>$E$37-2</f>
        <v/>
      </c>
      <c r="G37" s="64">
        <f>INDEX('Dados'!$B$333:$B$337,INT(($A37-1)/4)+1)</f>
        <v/>
      </c>
      <c r="H37" s="64">
        <f>"Nível "&amp;(INT(($A37-1)/4)+1)</f>
        <v/>
      </c>
      <c r="I37" s="64">
        <f>CHOOSE(IF($A37&lt;=6,1,IF($A37&lt;=12,2,IF($A37&lt;=17,3,4))),"I","II","III","IV")</f>
        <v/>
      </c>
    </row>
    <row r="38">
      <c r="A38" s="65">
        <f>INDEX('Dados'!$A$265:$A$284,6)</f>
        <v/>
      </c>
      <c r="B38" s="66">
        <f>INDEX('Dados'!$J$265:$J$284,6)</f>
        <v/>
      </c>
      <c r="C38" s="66">
        <f>INDEX('Dados'!$K$265:$K$284,6)</f>
        <v/>
      </c>
      <c r="D38" s="66">
        <f>INDEX('Dados'!$L$265:$L$284,6)</f>
        <v/>
      </c>
      <c r="E38" s="66">
        <f>1+$E$5+IF($A38&gt;=17,2,IF($A38&gt;=9,1,0))</f>
        <v/>
      </c>
      <c r="F38" s="66">
        <f>$E$38-2</f>
        <v/>
      </c>
      <c r="G38" s="66">
        <f>INDEX('Dados'!$B$333:$B$337,INT(($A38-1)/4)+1)</f>
        <v/>
      </c>
      <c r="H38" s="66">
        <f>"Nível "&amp;(INT(($A38-1)/4)+1)</f>
        <v/>
      </c>
      <c r="I38" s="66">
        <f>CHOOSE(IF($A38&lt;=6,1,IF($A38&lt;=12,2,IF($A38&lt;=17,3,4))),"I","II","III","IV")</f>
        <v/>
      </c>
    </row>
    <row r="39">
      <c r="A39" s="31">
        <f>INDEX('Dados'!$A$265:$A$284,7)</f>
        <v/>
      </c>
      <c r="B39" s="64">
        <f>INDEX('Dados'!$J$265:$J$284,7)</f>
        <v/>
      </c>
      <c r="C39" s="64">
        <f>INDEX('Dados'!$K$265:$K$284,7)</f>
        <v/>
      </c>
      <c r="D39" s="64">
        <f>INDEX('Dados'!$L$265:$L$284,7)</f>
        <v/>
      </c>
      <c r="E39" s="64">
        <f>1+$E$5+IF($A39&gt;=17,2,IF($A39&gt;=9,1,0))</f>
        <v/>
      </c>
      <c r="F39" s="64">
        <f>$E$39-2</f>
        <v/>
      </c>
      <c r="G39" s="64">
        <f>INDEX('Dados'!$B$333:$B$337,INT(($A39-1)/4)+1)</f>
        <v/>
      </c>
      <c r="H39" s="64">
        <f>"Nível "&amp;(INT(($A39-1)/4)+1)</f>
        <v/>
      </c>
      <c r="I39" s="64">
        <f>CHOOSE(IF($A39&lt;=6,1,IF($A39&lt;=12,2,IF($A39&lt;=17,3,4))),"I","II","III","IV")</f>
        <v/>
      </c>
    </row>
    <row r="40">
      <c r="A40" s="65">
        <f>INDEX('Dados'!$A$265:$A$284,8)</f>
        <v/>
      </c>
      <c r="B40" s="66">
        <f>INDEX('Dados'!$J$265:$J$284,8)</f>
        <v/>
      </c>
      <c r="C40" s="66">
        <f>INDEX('Dados'!$K$265:$K$284,8)</f>
        <v/>
      </c>
      <c r="D40" s="66">
        <f>INDEX('Dados'!$L$265:$L$284,8)</f>
        <v/>
      </c>
      <c r="E40" s="66">
        <f>1+$E$5+IF($A40&gt;=17,2,IF($A40&gt;=9,1,0))</f>
        <v/>
      </c>
      <c r="F40" s="66">
        <f>$E$40-2</f>
        <v/>
      </c>
      <c r="G40" s="66">
        <f>INDEX('Dados'!$B$333:$B$337,INT(($A40-1)/4)+1)</f>
        <v/>
      </c>
      <c r="H40" s="66">
        <f>"Nível "&amp;(INT(($A40-1)/4)+1)</f>
        <v/>
      </c>
      <c r="I40" s="66">
        <f>CHOOSE(IF($A40&lt;=6,1,IF($A40&lt;=12,2,IF($A40&lt;=17,3,4))),"I","II","III","IV")</f>
        <v/>
      </c>
    </row>
    <row r="41">
      <c r="A41" s="31">
        <f>INDEX('Dados'!$A$265:$A$284,9)</f>
        <v/>
      </c>
      <c r="B41" s="64">
        <f>INDEX('Dados'!$J$265:$J$284,9)</f>
        <v/>
      </c>
      <c r="C41" s="64">
        <f>INDEX('Dados'!$K$265:$K$284,9)</f>
        <v/>
      </c>
      <c r="D41" s="64">
        <f>INDEX('Dados'!$L$265:$L$284,9)</f>
        <v/>
      </c>
      <c r="E41" s="64">
        <f>1+$E$5+IF($A41&gt;=17,2,IF($A41&gt;=9,1,0))</f>
        <v/>
      </c>
      <c r="F41" s="64">
        <f>$E$41-2</f>
        <v/>
      </c>
      <c r="G41" s="64">
        <f>INDEX('Dados'!$B$333:$B$337,INT(($A41-1)/4)+1)</f>
        <v/>
      </c>
      <c r="H41" s="64">
        <f>"Nível "&amp;(INT(($A41-1)/4)+1)</f>
        <v/>
      </c>
      <c r="I41" s="64">
        <f>CHOOSE(IF($A41&lt;=6,1,IF($A41&lt;=12,2,IF($A41&lt;=17,3,4))),"I","II","III","IV")</f>
        <v/>
      </c>
    </row>
    <row r="42">
      <c r="A42" s="65">
        <f>INDEX('Dados'!$A$265:$A$284,10)</f>
        <v/>
      </c>
      <c r="B42" s="66">
        <f>INDEX('Dados'!$J$265:$J$284,10)</f>
        <v/>
      </c>
      <c r="C42" s="66">
        <f>INDEX('Dados'!$K$265:$K$284,10)</f>
        <v/>
      </c>
      <c r="D42" s="66">
        <f>INDEX('Dados'!$L$265:$L$284,10)</f>
        <v/>
      </c>
      <c r="E42" s="66">
        <f>1+$E$5+IF($A42&gt;=17,2,IF($A42&gt;=9,1,0))</f>
        <v/>
      </c>
      <c r="F42" s="66">
        <f>$E$42-2</f>
        <v/>
      </c>
      <c r="G42" s="66">
        <f>INDEX('Dados'!$B$333:$B$337,INT(($A42-1)/4)+1)</f>
        <v/>
      </c>
      <c r="H42" s="66">
        <f>"Nível "&amp;(INT(($A42-1)/4)+1)</f>
        <v/>
      </c>
      <c r="I42" s="66">
        <f>CHOOSE(IF($A42&lt;=6,1,IF($A42&lt;=12,2,IF($A42&lt;=17,3,4))),"I","II","III","IV")</f>
        <v/>
      </c>
    </row>
    <row r="43" ht="26" customHeight="1">
      <c r="A43" s="30" t="inlineStr">
        <is>
          <t>Nível (11 a 20)</t>
        </is>
      </c>
      <c r="B43" s="30" t="inlineStr">
        <is>
          <t>Dados de Ataque Básico</t>
        </is>
      </c>
      <c r="C43" s="30" t="inlineStr">
        <is>
          <t>Especialização de Combate</t>
        </is>
      </c>
      <c r="D43" s="30" t="inlineStr">
        <is>
          <t>Teto de RD</t>
        </is>
      </c>
      <c r="E43" s="30" t="inlineStr">
        <is>
          <t>PH do grupo: máximo</t>
        </is>
      </c>
      <c r="F43" s="30" t="inlineStr">
        <is>
          <t>PH do grupo: início</t>
        </is>
      </c>
      <c r="G43" s="30" t="inlineStr">
        <is>
          <t>Ultimate: Nível equivalente</t>
        </is>
      </c>
      <c r="H43" s="30" t="inlineStr">
        <is>
          <t>Cone de Luz máximo</t>
        </is>
      </c>
      <c r="I43" s="30" t="inlineStr">
        <is>
          <t>Tier de Relíquia</t>
        </is>
      </c>
    </row>
    <row r="44">
      <c r="A44" s="31">
        <f>INDEX('Dados'!$A$265:$A$284,11)</f>
        <v/>
      </c>
      <c r="B44" s="64">
        <f>INDEX('Dados'!$J$265:$J$284,11)</f>
        <v/>
      </c>
      <c r="C44" s="64">
        <f>INDEX('Dados'!$K$265:$K$284,11)</f>
        <v/>
      </c>
      <c r="D44" s="64">
        <f>INDEX('Dados'!$L$265:$L$284,11)</f>
        <v/>
      </c>
      <c r="E44" s="64">
        <f>1+$E$5+IF($A44&gt;=17,2,IF($A44&gt;=9,1,0))</f>
        <v/>
      </c>
      <c r="F44" s="64">
        <f>$E$44-2</f>
        <v/>
      </c>
      <c r="G44" s="64">
        <f>INDEX('Dados'!$B$333:$B$337,INT(($A44-1)/4)+1)</f>
        <v/>
      </c>
      <c r="H44" s="64">
        <f>"Nível "&amp;(INT(($A44-1)/4)+1)</f>
        <v/>
      </c>
      <c r="I44" s="64">
        <f>CHOOSE(IF($A44&lt;=6,1,IF($A44&lt;=12,2,IF($A44&lt;=17,3,4))),"I","II","III","IV")</f>
        <v/>
      </c>
    </row>
    <row r="45">
      <c r="A45" s="65">
        <f>INDEX('Dados'!$A$265:$A$284,12)</f>
        <v/>
      </c>
      <c r="B45" s="66">
        <f>INDEX('Dados'!$J$265:$J$284,12)</f>
        <v/>
      </c>
      <c r="C45" s="66">
        <f>INDEX('Dados'!$K$265:$K$284,12)</f>
        <v/>
      </c>
      <c r="D45" s="66">
        <f>INDEX('Dados'!$L$265:$L$284,12)</f>
        <v/>
      </c>
      <c r="E45" s="66">
        <f>1+$E$5+IF($A45&gt;=17,2,IF($A45&gt;=9,1,0))</f>
        <v/>
      </c>
      <c r="F45" s="66">
        <f>$E$45-2</f>
        <v/>
      </c>
      <c r="G45" s="66">
        <f>INDEX('Dados'!$B$333:$B$337,INT(($A45-1)/4)+1)</f>
        <v/>
      </c>
      <c r="H45" s="66">
        <f>"Nível "&amp;(INT(($A45-1)/4)+1)</f>
        <v/>
      </c>
      <c r="I45" s="66">
        <f>CHOOSE(IF($A45&lt;=6,1,IF($A45&lt;=12,2,IF($A45&lt;=17,3,4))),"I","II","III","IV")</f>
        <v/>
      </c>
    </row>
    <row r="46">
      <c r="A46" s="31">
        <f>INDEX('Dados'!$A$265:$A$284,13)</f>
        <v/>
      </c>
      <c r="B46" s="64">
        <f>INDEX('Dados'!$J$265:$J$284,13)</f>
        <v/>
      </c>
      <c r="C46" s="64">
        <f>INDEX('Dados'!$K$265:$K$284,13)</f>
        <v/>
      </c>
      <c r="D46" s="64">
        <f>INDEX('Dados'!$L$265:$L$284,13)</f>
        <v/>
      </c>
      <c r="E46" s="64">
        <f>1+$E$5+IF($A46&gt;=17,2,IF($A46&gt;=9,1,0))</f>
        <v/>
      </c>
      <c r="F46" s="64">
        <f>$E$46-2</f>
        <v/>
      </c>
      <c r="G46" s="64">
        <f>INDEX('Dados'!$B$333:$B$337,INT(($A46-1)/4)+1)</f>
        <v/>
      </c>
      <c r="H46" s="64">
        <f>"Nível "&amp;(INT(($A46-1)/4)+1)</f>
        <v/>
      </c>
      <c r="I46" s="64">
        <f>CHOOSE(IF($A46&lt;=6,1,IF($A46&lt;=12,2,IF($A46&lt;=17,3,4))),"I","II","III","IV")</f>
        <v/>
      </c>
    </row>
    <row r="47">
      <c r="A47" s="65">
        <f>INDEX('Dados'!$A$265:$A$284,14)</f>
        <v/>
      </c>
      <c r="B47" s="66">
        <f>INDEX('Dados'!$J$265:$J$284,14)</f>
        <v/>
      </c>
      <c r="C47" s="66">
        <f>INDEX('Dados'!$K$265:$K$284,14)</f>
        <v/>
      </c>
      <c r="D47" s="66">
        <f>INDEX('Dados'!$L$265:$L$284,14)</f>
        <v/>
      </c>
      <c r="E47" s="66">
        <f>1+$E$5+IF($A47&gt;=17,2,IF($A47&gt;=9,1,0))</f>
        <v/>
      </c>
      <c r="F47" s="66">
        <f>$E$47-2</f>
        <v/>
      </c>
      <c r="G47" s="66">
        <f>INDEX('Dados'!$B$333:$B$337,INT(($A47-1)/4)+1)</f>
        <v/>
      </c>
      <c r="H47" s="66">
        <f>"Nível "&amp;(INT(($A47-1)/4)+1)</f>
        <v/>
      </c>
      <c r="I47" s="66">
        <f>CHOOSE(IF($A47&lt;=6,1,IF($A47&lt;=12,2,IF($A47&lt;=17,3,4))),"I","II","III","IV")</f>
        <v/>
      </c>
    </row>
    <row r="48">
      <c r="A48" s="31">
        <f>INDEX('Dados'!$A$265:$A$284,15)</f>
        <v/>
      </c>
      <c r="B48" s="64">
        <f>INDEX('Dados'!$J$265:$J$284,15)</f>
        <v/>
      </c>
      <c r="C48" s="64">
        <f>INDEX('Dados'!$K$265:$K$284,15)</f>
        <v/>
      </c>
      <c r="D48" s="64">
        <f>INDEX('Dados'!$L$265:$L$284,15)</f>
        <v/>
      </c>
      <c r="E48" s="64">
        <f>1+$E$5+IF($A48&gt;=17,2,IF($A48&gt;=9,1,0))</f>
        <v/>
      </c>
      <c r="F48" s="64">
        <f>$E$48-2</f>
        <v/>
      </c>
      <c r="G48" s="64">
        <f>INDEX('Dados'!$B$333:$B$337,INT(($A48-1)/4)+1)</f>
        <v/>
      </c>
      <c r="H48" s="64">
        <f>"Nível "&amp;(INT(($A48-1)/4)+1)</f>
        <v/>
      </c>
      <c r="I48" s="64">
        <f>CHOOSE(IF($A48&lt;=6,1,IF($A48&lt;=12,2,IF($A48&lt;=17,3,4))),"I","II","III","IV")</f>
        <v/>
      </c>
    </row>
    <row r="49">
      <c r="A49" s="65">
        <f>INDEX('Dados'!$A$265:$A$284,16)</f>
        <v/>
      </c>
      <c r="B49" s="66">
        <f>INDEX('Dados'!$J$265:$J$284,16)</f>
        <v/>
      </c>
      <c r="C49" s="66">
        <f>INDEX('Dados'!$K$265:$K$284,16)</f>
        <v/>
      </c>
      <c r="D49" s="66">
        <f>INDEX('Dados'!$L$265:$L$284,16)</f>
        <v/>
      </c>
      <c r="E49" s="66">
        <f>1+$E$5+IF($A49&gt;=17,2,IF($A49&gt;=9,1,0))</f>
        <v/>
      </c>
      <c r="F49" s="66">
        <f>$E$49-2</f>
        <v/>
      </c>
      <c r="G49" s="66">
        <f>INDEX('Dados'!$B$333:$B$337,INT(($A49-1)/4)+1)</f>
        <v/>
      </c>
      <c r="H49" s="66">
        <f>"Nível "&amp;(INT(($A49-1)/4)+1)</f>
        <v/>
      </c>
      <c r="I49" s="66">
        <f>CHOOSE(IF($A49&lt;=6,1,IF($A49&lt;=12,2,IF($A49&lt;=17,3,4))),"I","II","III","IV")</f>
        <v/>
      </c>
    </row>
    <row r="50">
      <c r="A50" s="31">
        <f>INDEX('Dados'!$A$265:$A$284,17)</f>
        <v/>
      </c>
      <c r="B50" s="64">
        <f>INDEX('Dados'!$J$265:$J$284,17)</f>
        <v/>
      </c>
      <c r="C50" s="64">
        <f>INDEX('Dados'!$K$265:$K$284,17)</f>
        <v/>
      </c>
      <c r="D50" s="64">
        <f>INDEX('Dados'!$L$265:$L$284,17)</f>
        <v/>
      </c>
      <c r="E50" s="64">
        <f>1+$E$5+IF($A50&gt;=17,2,IF($A50&gt;=9,1,0))</f>
        <v/>
      </c>
      <c r="F50" s="64">
        <f>$E$50-2</f>
        <v/>
      </c>
      <c r="G50" s="64">
        <f>INDEX('Dados'!$B$333:$B$337,INT(($A50-1)/4)+1)</f>
        <v/>
      </c>
      <c r="H50" s="64">
        <f>"Nível "&amp;(INT(($A50-1)/4)+1)</f>
        <v/>
      </c>
      <c r="I50" s="64">
        <f>CHOOSE(IF($A50&lt;=6,1,IF($A50&lt;=12,2,IF($A50&lt;=17,3,4))),"I","II","III","IV")</f>
        <v/>
      </c>
    </row>
    <row r="51">
      <c r="A51" s="65">
        <f>INDEX('Dados'!$A$265:$A$284,18)</f>
        <v/>
      </c>
      <c r="B51" s="66">
        <f>INDEX('Dados'!$J$265:$J$284,18)</f>
        <v/>
      </c>
      <c r="C51" s="66">
        <f>INDEX('Dados'!$K$265:$K$284,18)</f>
        <v/>
      </c>
      <c r="D51" s="66">
        <f>INDEX('Dados'!$L$265:$L$284,18)</f>
        <v/>
      </c>
      <c r="E51" s="66">
        <f>1+$E$5+IF($A51&gt;=17,2,IF($A51&gt;=9,1,0))</f>
        <v/>
      </c>
      <c r="F51" s="66">
        <f>$E$51-2</f>
        <v/>
      </c>
      <c r="G51" s="66">
        <f>INDEX('Dados'!$B$333:$B$337,INT(($A51-1)/4)+1)</f>
        <v/>
      </c>
      <c r="H51" s="66">
        <f>"Nível "&amp;(INT(($A51-1)/4)+1)</f>
        <v/>
      </c>
      <c r="I51" s="66">
        <f>CHOOSE(IF($A51&lt;=6,1,IF($A51&lt;=12,2,IF($A51&lt;=17,3,4))),"I","II","III","IV")</f>
        <v/>
      </c>
    </row>
    <row r="52">
      <c r="A52" s="31">
        <f>INDEX('Dados'!$A$265:$A$284,19)</f>
        <v/>
      </c>
      <c r="B52" s="64">
        <f>INDEX('Dados'!$J$265:$J$284,19)</f>
        <v/>
      </c>
      <c r="C52" s="64">
        <f>INDEX('Dados'!$K$265:$K$284,19)</f>
        <v/>
      </c>
      <c r="D52" s="64">
        <f>INDEX('Dados'!$L$265:$L$284,19)</f>
        <v/>
      </c>
      <c r="E52" s="64">
        <f>1+$E$5+IF($A52&gt;=17,2,IF($A52&gt;=9,1,0))</f>
        <v/>
      </c>
      <c r="F52" s="64">
        <f>$E$52-2</f>
        <v/>
      </c>
      <c r="G52" s="64">
        <f>INDEX('Dados'!$B$333:$B$337,INT(($A52-1)/4)+1)</f>
        <v/>
      </c>
      <c r="H52" s="64">
        <f>"Nível "&amp;(INT(($A52-1)/4)+1)</f>
        <v/>
      </c>
      <c r="I52" s="64">
        <f>CHOOSE(IF($A52&lt;=6,1,IF($A52&lt;=12,2,IF($A52&lt;=17,3,4))),"I","II","III","IV")</f>
        <v/>
      </c>
    </row>
    <row r="53">
      <c r="A53" s="65">
        <f>INDEX('Dados'!$A$265:$A$284,20)</f>
        <v/>
      </c>
      <c r="B53" s="66">
        <f>INDEX('Dados'!$J$265:$J$284,20)</f>
        <v/>
      </c>
      <c r="C53" s="66">
        <f>INDEX('Dados'!$K$265:$K$284,20)</f>
        <v/>
      </c>
      <c r="D53" s="66">
        <f>INDEX('Dados'!$L$265:$L$284,20)</f>
        <v/>
      </c>
      <c r="E53" s="66">
        <f>1+$E$5+IF($A53&gt;=17,2,IF($A53&gt;=9,1,0))</f>
        <v/>
      </c>
      <c r="F53" s="66">
        <f>$E$53-2</f>
        <v/>
      </c>
      <c r="G53" s="66">
        <f>INDEX('Dados'!$B$333:$B$337,INT(($A53-1)/4)+1)</f>
        <v/>
      </c>
      <c r="H53" s="66">
        <f>"Nível "&amp;(INT(($A53-1)/4)+1)</f>
        <v/>
      </c>
      <c r="I53" s="66">
        <f>CHOOSE(IF($A53&lt;=6,1,IF($A53&lt;=12,2,IF($A53&lt;=17,3,4))),"I","II","III","IV")</f>
        <v/>
      </c>
    </row>
    <row r="54"/>
    <row r="55">
      <c r="A55" s="14" t="inlineStr">
        <is>
          <t>Aumentos de Atributo — níveis 3, 6, 9, 12, 15 e 18 (04.3): +2 em um ou +1 em dois diferentes, teto 20</t>
        </is>
      </c>
    </row>
    <row r="56" ht="26" customHeight="1">
      <c r="A56" s="7" t="inlineStr">
        <is>
          <t>Nível</t>
        </is>
      </c>
      <c r="B56" s="7" t="inlineStr">
        <is>
          <t>Situação</t>
        </is>
      </c>
      <c r="C56" s="7" t="inlineStr">
        <is>
          <t>Modo (preencha)</t>
        </is>
      </c>
      <c r="D56" s="7" t="inlineStr">
        <is>
          <t>Atributo 1 (preencha)</t>
        </is>
      </c>
      <c r="E56" s="7" t="inlineStr">
        <is>
          <t>Atributo 2 (só Dois Atributos)</t>
        </is>
      </c>
      <c r="F56" s="7" t="inlineStr">
        <is>
          <t>Soma no Atributo 1</t>
        </is>
      </c>
      <c r="G56" s="7" t="inlineStr">
        <is>
          <t>Soma no Atributo 2</t>
        </is>
      </c>
      <c r="H56" s="7" t="inlineStr">
        <is>
          <t>Aviso</t>
        </is>
      </c>
      <c r="I56" s="15" t="n"/>
    </row>
    <row r="57" ht="26" customHeight="1">
      <c r="A57" s="16" t="n">
        <v>3</v>
      </c>
      <c r="B57" s="22">
        <f>IF($C$5&gt;=3,"Liberado","Libera no nível 3")</f>
        <v/>
      </c>
      <c r="C57" s="23" t="n"/>
      <c r="D57" s="23" t="n"/>
      <c r="E57" s="23" t="n"/>
      <c r="F57" s="22">
        <f>IF(AND(3&lt;=$C$5,$U$57&lt;&gt;""),IF($T$57="Dois Atributos (+1 cada)",1,2),0)</f>
        <v/>
      </c>
      <c r="G57" s="22">
        <f>IF(AND(3&lt;=$C$5,$T$57="Dois Atributos (+1 cada)",$V$57&lt;&gt;"",$V$57&lt;&gt;$U$57),1,0)</f>
        <v/>
      </c>
      <c r="H57" s="13">
        <f>IF(W57&gt;0,"O Google leu como fórmula: escolha de novo na lista.",IF(AND(OR($T$57&lt;&gt;"",$U$57&lt;&gt;"",$V$57&lt;&gt;""),3&gt;$C$5),"Ainda não liberado (nível 3)",IF(AND($T$57="Dois Atributos (+1 cada)",$U$57&lt;&gt;"",$U$57=$V$57),"+1 em dois exige atributos diferentes: contou só um +1",IF(AND($V$57&lt;&gt;"",$T$57&lt;&gt;"Dois Atributos (+1 cada)"),"Atributo 2 só vale no modo Dois Atributos (+1 cada)",IF(AND($T$57="Dois Atributos (+1 cada)",$U$57&lt;&gt;"",$V$57=""),"Falta o Atributo 2","")))))</f>
        <v/>
      </c>
      <c r="T57">
        <f>IF(ISERROR($C$57),"",IF(ISBLANK($C$57),"",$C$57))</f>
        <v/>
      </c>
      <c r="U57">
        <f>IF(ISERROR($D$57),"",IF(ISBLANK($D$57),"",$D$57))</f>
        <v/>
      </c>
      <c r="V57">
        <f>IF(ISERROR($E$57),"",IF(ISBLANK($E$57),"",$E$57))</f>
        <v/>
      </c>
      <c r="W57">
        <f>ISERROR($C$57)*1+ISERROR($D$57)*1+ISERROR($E$57)*1</f>
        <v/>
      </c>
    </row>
    <row r="58" ht="26" customHeight="1">
      <c r="A58" s="18" t="n">
        <v>6</v>
      </c>
      <c r="B58" s="21">
        <f>IF($C$5&gt;=6,"Liberado","Libera no nível 6")</f>
        <v/>
      </c>
      <c r="C58" s="36" t="n"/>
      <c r="D58" s="36" t="n"/>
      <c r="E58" s="36" t="n"/>
      <c r="F58" s="21">
        <f>IF(AND(6&lt;=$C$5,$U$58&lt;&gt;""),IF($T$58="Dois Atributos (+1 cada)",1,2),0)</f>
        <v/>
      </c>
      <c r="G58" s="21">
        <f>IF(AND(6&lt;=$C$5,$T$58="Dois Atributos (+1 cada)",$V$58&lt;&gt;"",$V$58&lt;&gt;$U$58),1,0)</f>
        <v/>
      </c>
      <c r="H58" s="20">
        <f>IF(W58&gt;0,"O Google leu como fórmula: escolha de novo na lista.",IF(AND(OR($T$58&lt;&gt;"",$U$58&lt;&gt;"",$V$58&lt;&gt;""),6&gt;$C$5),"Ainda não liberado (nível 6)",IF(AND($T$58="Dois Atributos (+1 cada)",$U$58&lt;&gt;"",$U$58=$V$58),"+1 em dois exige atributos diferentes: contou só um +1",IF(AND($V$58&lt;&gt;"",$T$58&lt;&gt;"Dois Atributos (+1 cada)"),"Atributo 2 só vale no modo Dois Atributos (+1 cada)",IF(AND($T$58="Dois Atributos (+1 cada)",$U$58&lt;&gt;"",$V$58=""),"Falta o Atributo 2","")))))</f>
        <v/>
      </c>
      <c r="T58">
        <f>IF(ISERROR($C$58),"",IF(ISBLANK($C$58),"",$C$58))</f>
        <v/>
      </c>
      <c r="U58">
        <f>IF(ISERROR($D$58),"",IF(ISBLANK($D$58),"",$D$58))</f>
        <v/>
      </c>
      <c r="V58">
        <f>IF(ISERROR($E$58),"",IF(ISBLANK($E$58),"",$E$58))</f>
        <v/>
      </c>
      <c r="W58">
        <f>ISERROR($C$58)*1+ISERROR($D$58)*1+ISERROR($E$58)*1</f>
        <v/>
      </c>
    </row>
    <row r="59" ht="26" customHeight="1">
      <c r="A59" s="16" t="n">
        <v>9</v>
      </c>
      <c r="B59" s="22">
        <f>IF($C$5&gt;=9,"Liberado","Libera no nível 9")</f>
        <v/>
      </c>
      <c r="C59" s="23" t="n"/>
      <c r="D59" s="23" t="n"/>
      <c r="E59" s="23" t="n"/>
      <c r="F59" s="22">
        <f>IF(AND(9&lt;=$C$5,$U$59&lt;&gt;""),IF($T$59="Dois Atributos (+1 cada)",1,2),0)</f>
        <v/>
      </c>
      <c r="G59" s="22">
        <f>IF(AND(9&lt;=$C$5,$T$59="Dois Atributos (+1 cada)",$V$59&lt;&gt;"",$V$59&lt;&gt;$U$59),1,0)</f>
        <v/>
      </c>
      <c r="H59" s="13">
        <f>IF(W59&gt;0,"O Google leu como fórmula: escolha de novo na lista.",IF(AND(OR($T$59&lt;&gt;"",$U$59&lt;&gt;"",$V$59&lt;&gt;""),9&gt;$C$5),"Ainda não liberado (nível 9)",IF(AND($T$59="Dois Atributos (+1 cada)",$U$59&lt;&gt;"",$U$59=$V$59),"+1 em dois exige atributos diferentes: contou só um +1",IF(AND($V$59&lt;&gt;"",$T$59&lt;&gt;"Dois Atributos (+1 cada)"),"Atributo 2 só vale no modo Dois Atributos (+1 cada)",IF(AND($T$59="Dois Atributos (+1 cada)",$U$59&lt;&gt;"",$V$59=""),"Falta o Atributo 2","")))))</f>
        <v/>
      </c>
      <c r="T59">
        <f>IF(ISERROR($C$59),"",IF(ISBLANK($C$59),"",$C$59))</f>
        <v/>
      </c>
      <c r="U59">
        <f>IF(ISERROR($D$59),"",IF(ISBLANK($D$59),"",$D$59))</f>
        <v/>
      </c>
      <c r="V59">
        <f>IF(ISERROR($E$59),"",IF(ISBLANK($E$59),"",$E$59))</f>
        <v/>
      </c>
      <c r="W59">
        <f>ISERROR($C$59)*1+ISERROR($D$59)*1+ISERROR($E$59)*1</f>
        <v/>
      </c>
    </row>
    <row r="60" ht="26" customHeight="1">
      <c r="A60" s="18" t="n">
        <v>12</v>
      </c>
      <c r="B60" s="21">
        <f>IF($C$5&gt;=12,"Liberado","Libera no nível 12")</f>
        <v/>
      </c>
      <c r="C60" s="36" t="n"/>
      <c r="D60" s="36" t="n"/>
      <c r="E60" s="36" t="n"/>
      <c r="F60" s="21">
        <f>IF(AND(12&lt;=$C$5,$U$60&lt;&gt;""),IF($T$60="Dois Atributos (+1 cada)",1,2),0)</f>
        <v/>
      </c>
      <c r="G60" s="21">
        <f>IF(AND(12&lt;=$C$5,$T$60="Dois Atributos (+1 cada)",$V$60&lt;&gt;"",$V$60&lt;&gt;$U$60),1,0)</f>
        <v/>
      </c>
      <c r="H60" s="20">
        <f>IF(W60&gt;0,"O Google leu como fórmula: escolha de novo na lista.",IF(AND(OR($T$60&lt;&gt;"",$U$60&lt;&gt;"",$V$60&lt;&gt;""),12&gt;$C$5),"Ainda não liberado (nível 12)",IF(AND($T$60="Dois Atributos (+1 cada)",$U$60&lt;&gt;"",$U$60=$V$60),"+1 em dois exige atributos diferentes: contou só um +1",IF(AND($V$60&lt;&gt;"",$T$60&lt;&gt;"Dois Atributos (+1 cada)"),"Atributo 2 só vale no modo Dois Atributos (+1 cada)",IF(AND($T$60="Dois Atributos (+1 cada)",$U$60&lt;&gt;"",$V$60=""),"Falta o Atributo 2","")))))</f>
        <v/>
      </c>
      <c r="T60">
        <f>IF(ISERROR($C$60),"",IF(ISBLANK($C$60),"",$C$60))</f>
        <v/>
      </c>
      <c r="U60">
        <f>IF(ISERROR($D$60),"",IF(ISBLANK($D$60),"",$D$60))</f>
        <v/>
      </c>
      <c r="V60">
        <f>IF(ISERROR($E$60),"",IF(ISBLANK($E$60),"",$E$60))</f>
        <v/>
      </c>
      <c r="W60">
        <f>ISERROR($C$60)*1+ISERROR($D$60)*1+ISERROR($E$60)*1</f>
        <v/>
      </c>
    </row>
    <row r="61" ht="26" customHeight="1">
      <c r="A61" s="16" t="n">
        <v>15</v>
      </c>
      <c r="B61" s="22">
        <f>IF($C$5&gt;=15,"Liberado","Libera no nível 15")</f>
        <v/>
      </c>
      <c r="C61" s="23" t="n"/>
      <c r="D61" s="23" t="n"/>
      <c r="E61" s="23" t="n"/>
      <c r="F61" s="22">
        <f>IF(AND(15&lt;=$C$5,$U$61&lt;&gt;""),IF($T$61="Dois Atributos (+1 cada)",1,2),0)</f>
        <v/>
      </c>
      <c r="G61" s="22">
        <f>IF(AND(15&lt;=$C$5,$T$61="Dois Atributos (+1 cada)",$V$61&lt;&gt;"",$V$61&lt;&gt;$U$61),1,0)</f>
        <v/>
      </c>
      <c r="H61" s="13">
        <f>IF(W61&gt;0,"O Google leu como fórmula: escolha de novo na lista.",IF(AND(OR($T$61&lt;&gt;"",$U$61&lt;&gt;"",$V$61&lt;&gt;""),15&gt;$C$5),"Ainda não liberado (nível 15)",IF(AND($T$61="Dois Atributos (+1 cada)",$U$61&lt;&gt;"",$U$61=$V$61),"+1 em dois exige atributos diferentes: contou só um +1",IF(AND($V$61&lt;&gt;"",$T$61&lt;&gt;"Dois Atributos (+1 cada)"),"Atributo 2 só vale no modo Dois Atributos (+1 cada)",IF(AND($T$61="Dois Atributos (+1 cada)",$U$61&lt;&gt;"",$V$61=""),"Falta o Atributo 2","")))))</f>
        <v/>
      </c>
      <c r="T61">
        <f>IF(ISERROR($C$61),"",IF(ISBLANK($C$61),"",$C$61))</f>
        <v/>
      </c>
      <c r="U61">
        <f>IF(ISERROR($D$61),"",IF(ISBLANK($D$61),"",$D$61))</f>
        <v/>
      </c>
      <c r="V61">
        <f>IF(ISERROR($E$61),"",IF(ISBLANK($E$61),"",$E$61))</f>
        <v/>
      </c>
      <c r="W61">
        <f>ISERROR($C$61)*1+ISERROR($D$61)*1+ISERROR($E$61)*1</f>
        <v/>
      </c>
    </row>
    <row r="62" ht="26" customHeight="1">
      <c r="A62" s="18" t="n">
        <v>18</v>
      </c>
      <c r="B62" s="21">
        <f>IF($C$5&gt;=18,"Liberado","Libera no nível 18")</f>
        <v/>
      </c>
      <c r="C62" s="36" t="n"/>
      <c r="D62" s="36" t="n"/>
      <c r="E62" s="36" t="n"/>
      <c r="F62" s="21">
        <f>IF(AND(18&lt;=$C$5,$U$62&lt;&gt;""),IF($T$62="Dois Atributos (+1 cada)",1,2),0)</f>
        <v/>
      </c>
      <c r="G62" s="21">
        <f>IF(AND(18&lt;=$C$5,$T$62="Dois Atributos (+1 cada)",$V$62&lt;&gt;"",$V$62&lt;&gt;$U$62),1,0)</f>
        <v/>
      </c>
      <c r="H62" s="20">
        <f>IF(W62&gt;0,"O Google leu como fórmula: escolha de novo na lista.",IF(AND(OR($T$62&lt;&gt;"",$U$62&lt;&gt;"",$V$62&lt;&gt;""),18&gt;$C$5),"Ainda não liberado (nível 18)",IF(AND($T$62="Dois Atributos (+1 cada)",$U$62&lt;&gt;"",$U$62=$V$62),"+1 em dois exige atributos diferentes: contou só um +1",IF(AND($V$62&lt;&gt;"",$T$62&lt;&gt;"Dois Atributos (+1 cada)"),"Atributo 2 só vale no modo Dois Atributos (+1 cada)",IF(AND($T$62="Dois Atributos (+1 cada)",$U$62&lt;&gt;"",$V$62=""),"Falta o Atributo 2","")))))</f>
        <v/>
      </c>
      <c r="T62">
        <f>IF(ISERROR($C$62),"",IF(ISBLANK($C$62),"",$C$62))</f>
        <v/>
      </c>
      <c r="U62">
        <f>IF(ISERROR($D$62),"",IF(ISBLANK($D$62),"",$D$62))</f>
        <v/>
      </c>
      <c r="V62">
        <f>IF(ISERROR($E$62),"",IF(ISBLANK($E$62),"",$E$62))</f>
        <v/>
      </c>
      <c r="W62">
        <f>ISERROR($C$62)*1+ISERROR($D$62)*1+ISERROR($E$62)*1</f>
        <v/>
      </c>
    </row>
    <row r="63">
      <c r="A63" s="8" t="inlineStr">
        <is>
          <t>Bônus de Vigor subiu? Os PV sobem na hora: nível + 2 =</t>
        </is>
      </c>
      <c r="E63" s="17">
        <f>$C$5+2</f>
        <v/>
      </c>
      <c r="F63" s="12" t="inlineStr">
        <is>
          <t>PV (04.3; a aba Criação já soma tudo)</t>
        </is>
      </c>
    </row>
    <row r="64"/>
    <row r="65">
      <c r="A65" s="14" t="inlineStr">
        <is>
          <t>Ressonâncias — 26.7 (níveis 5, 10, 15 e 20)</t>
        </is>
      </c>
    </row>
    <row r="66">
      <c r="A66" s="7" t="inlineStr">
        <is>
          <t>Ressonância</t>
        </is>
      </c>
      <c r="B66" s="7" t="inlineStr">
        <is>
          <t>Nível</t>
        </is>
      </c>
      <c r="C66" s="7" t="inlineStr">
        <is>
          <t>Opção (preencha)</t>
        </is>
      </c>
      <c r="D66" s="15" t="n"/>
      <c r="E66" s="15" t="n"/>
      <c r="F66" s="7" t="inlineStr">
        <is>
          <t>Situação</t>
        </is>
      </c>
      <c r="G66" s="7" t="inlineStr">
        <is>
          <t>O que o livro diz</t>
        </is>
      </c>
      <c r="H66" s="15" t="n"/>
      <c r="I66" s="7" t="inlineStr">
        <is>
          <t>Aviso</t>
        </is>
      </c>
    </row>
    <row r="67" ht="48" customHeight="1">
      <c r="A67" s="16" t="inlineStr">
        <is>
          <t>I</t>
        </is>
      </c>
      <c r="B67" s="22">
        <f>INDEX('Dados'!$B$296:$B$299,1)</f>
        <v/>
      </c>
      <c r="C67" s="23" t="n"/>
      <c r="D67" s="28" t="n"/>
      <c r="E67" s="29" t="n"/>
      <c r="F67" s="4">
        <f>IF($C$5&gt;=$B$67,IF($T$67="","Liberada: escolha a opção","Ativa"),"Libera no nível "&amp;$B$67)</f>
        <v/>
      </c>
      <c r="G67" s="4">
        <f>INDEX('Dados'!$C$296:$C$299,1)</f>
        <v/>
      </c>
      <c r="I67" s="13">
        <f>IF(W67&gt;0,"O Google leu como fórmula: escolha de novo na lista.",IF(AND($T$67&lt;&gt;"",$C$5&lt;$B$67),"Ainda não liberada (nível "&amp;$B$67&amp;")",""))</f>
        <v/>
      </c>
      <c r="R67" s="25">
        <f>IF($C$5&gt;=$B$67,$T$67,"")</f>
        <v/>
      </c>
      <c r="T67">
        <f>IF(ISERROR($C$67),"",IF(ISBLANK($C$67),"",$C$67))</f>
        <v/>
      </c>
      <c r="W67">
        <f>ISERROR($C$67)*1</f>
        <v/>
      </c>
    </row>
    <row r="68" ht="48" customHeight="1">
      <c r="A68" s="18" t="inlineStr">
        <is>
          <t>II</t>
        </is>
      </c>
      <c r="B68" s="21">
        <f>INDEX('Dados'!$B$296:$B$299,2)</f>
        <v/>
      </c>
      <c r="C68" s="36" t="n"/>
      <c r="D68" s="28" t="n"/>
      <c r="E68" s="29" t="n"/>
      <c r="F68" s="9">
        <f>IF($C$5&gt;=$B$68,IF($T$68="","Liberada: escolha a opção","Ativa"),"Libera no nível "&amp;$B$68)</f>
        <v/>
      </c>
      <c r="G68" s="9">
        <f>INDEX('Dados'!$C$296:$C$299,2)</f>
        <v/>
      </c>
      <c r="I68" s="20">
        <f>IF(W68&gt;0,"O Google leu como fórmula: escolha de novo na lista.",IF(AND($T$68&lt;&gt;"",$C$5&lt;$B$68),"Ainda não liberada (nível "&amp;$B$68&amp;")",""))</f>
        <v/>
      </c>
      <c r="R68" s="25">
        <f>IF($C$5&gt;=$B$68,$T$68,"")</f>
        <v/>
      </c>
      <c r="T68">
        <f>IF(ISERROR($C$68),"",IF(ISBLANK($C$68),"",$C$68))</f>
        <v/>
      </c>
      <c r="W68">
        <f>ISERROR($C$68)*1</f>
        <v/>
      </c>
    </row>
    <row r="69" ht="48" customHeight="1">
      <c r="A69" s="16" t="inlineStr">
        <is>
          <t>III</t>
        </is>
      </c>
      <c r="B69" s="22">
        <f>INDEX('Dados'!$B$296:$B$299,3)</f>
        <v/>
      </c>
      <c r="C69" s="23" t="n"/>
      <c r="D69" s="28" t="n"/>
      <c r="E69" s="29" t="n"/>
      <c r="F69" s="4">
        <f>IF($C$5&gt;=$B$69,IF($T$69="","Liberada: escolha a opção","Ativa"),"Libera no nível "&amp;$B$69)</f>
        <v/>
      </c>
      <c r="G69" s="4">
        <f>INDEX('Dados'!$C$296:$C$299,3)</f>
        <v/>
      </c>
      <c r="I69" s="13">
        <f>IF(W69&gt;0,"O Google leu como fórmula: escolha de novo na lista.",IF(AND($T$69&lt;&gt;"",$C$5&lt;$B$69),"Ainda não liberada (nível "&amp;$B$69&amp;")",""))</f>
        <v/>
      </c>
      <c r="R69" s="25">
        <f>IF($C$5&gt;=$B$69,$T$69,"")</f>
        <v/>
      </c>
      <c r="T69">
        <f>IF(ISERROR($C$69),"",IF(ISBLANK($C$69),"",$C$69))</f>
        <v/>
      </c>
      <c r="W69">
        <f>ISERROR($C$69)*1</f>
        <v/>
      </c>
    </row>
    <row r="70" ht="48" customHeight="1">
      <c r="A70" s="18" t="inlineStr">
        <is>
          <t>IV</t>
        </is>
      </c>
      <c r="B70" s="21">
        <f>INDEX('Dados'!$B$296:$B$299,4)</f>
        <v/>
      </c>
      <c r="C70" s="36" t="n"/>
      <c r="D70" s="28" t="n"/>
      <c r="E70" s="29" t="n"/>
      <c r="F70" s="9">
        <f>IF($C$5&gt;=$B$70,IF($T$70="","Liberada: escolha a opção","Ativa"),"Libera no nível "&amp;$B$70)</f>
        <v/>
      </c>
      <c r="G70" s="9">
        <f>INDEX('Dados'!$C$296:$C$299,4)</f>
        <v/>
      </c>
      <c r="I70" s="20">
        <f>IF(W70&gt;0,"O Google leu como fórmula: escolha de novo na lista.",IF(AND($T$70&lt;&gt;"",$C$5&lt;$B$70),"Ainda não liberada (nível "&amp;$B$70&amp;")",""))</f>
        <v/>
      </c>
      <c r="R70" s="25">
        <f>IF($C$5&gt;=$B$70,$T$70,"")</f>
        <v/>
      </c>
      <c r="T70">
        <f>IF(ISERROR($C$70),"",IF(ISBLANK($C$70),"",$C$70))</f>
        <v/>
      </c>
      <c r="W70">
        <f>ISERROR($C$70)*1</f>
        <v/>
      </c>
    </row>
    <row r="71"/>
    <row r="72">
      <c r="A72" s="14" t="inlineStr">
        <is>
          <t>No próximo nível você ganha</t>
        </is>
      </c>
    </row>
    <row r="73">
      <c r="A73" s="8" t="inlineStr">
        <is>
          <t>Próximo nível:</t>
        </is>
      </c>
      <c r="C73" s="17">
        <f>MIN(20,$C$5+1)</f>
        <v/>
      </c>
    </row>
    <row r="74">
      <c r="A74" s="22">
        <f>IF($C$5&gt;=20,"Você está no nível 20, o máximo do jogo.","Nível "&amp;$C$73&amp;":")</f>
        <v/>
      </c>
    </row>
    <row r="75">
      <c r="A75" s="22">
        <f>IF(AND($C$5&lt;20,INDEX('Dados'!$B$265:$B$284,$C$73)&gt;INDEX('Dados'!$B$265:$B$284,$C$5)),"Eficiência sobe para +"&amp;INDEX('Dados'!$B$265:$B$284,$C$73)&amp;" (Eficácia +"&amp;2*INDEX('Dados'!$B$265:$B$284,$C$73)&amp;")","")</f>
        <v/>
      </c>
    </row>
    <row r="76">
      <c r="A76" s="22">
        <f>IF(AND($C$5&lt;20,MOD($C$73,2)=1),"Nova Bênção (slot do nível "&amp;$C$73&amp;", aba Caminho)","")</f>
        <v/>
      </c>
    </row>
    <row r="77">
      <c r="A77" s="22">
        <f>IF(AND($C$5&lt;20,INDEX('Dados'!$F$265:$F$284,$C$73)&gt;INDEX('Dados'!$F$265:$F$284,$C$5)),"Mais 1 Habilidade conhecida (total "&amp;INDEX('Dados'!$F$265:$F$284,$C$73)&amp;")",IF(AND($C$5&lt;20,INDEX('Dados'!$G$265:$G$284,$C$73)="Sim"),"Reescreva 1 Habilidade (16.6)",""))</f>
        <v/>
      </c>
    </row>
    <row r="78">
      <c r="A78" s="22">
        <f>IF(AND($C$5&lt;20,INDEX('Dados'!$H$265:$H$284,$C$73)&gt;INDEX('Dados'!$H$265:$H$284,$C$5)),"Habilidades até o Nível "&amp;INDEX('Dados'!$H$265:$H$284,$C$73),"")</f>
        <v/>
      </c>
    </row>
    <row r="79">
      <c r="A79" s="22">
        <f>IF(AND($C$5&lt;20,INDEX('Dados'!$I$265:$I$284,$C$73)="Sim"),"Aumento de Atributo: +2 em um ou +1 em dois (tabela acima)","")</f>
        <v/>
      </c>
    </row>
    <row r="80">
      <c r="A80" s="22">
        <f>IF(AND($C$5&lt;20,INDEX('Dados'!$J$265:$J$284,$C$73)&gt;INDEX('Dados'!$J$265:$J$284,$C$5)),"Ataque Básico com "&amp;INDEX('Dados'!$J$265:$J$284,$C$73)&amp;" dados","")</f>
        <v/>
      </c>
    </row>
    <row r="81">
      <c r="A81" s="22">
        <f>IF(AND($C$5&lt;20,INDEX('Dados'!$K$265:$K$284,$C$73)&gt;INDEX('Dados'!$K$265:$K$284,$C$5)),"Especialização de Combate +"&amp;INDEX('Dados'!$K$265:$K$284,$C$73),"")</f>
        <v/>
      </c>
    </row>
    <row r="82">
      <c r="A82" s="22">
        <f>IF(AND($C$5&lt;20,OR(INDEX('Dados'!$C$265:$C$284,$C$73)&gt;INDEX('Dados'!$C$265:$C$284,$C$5),INDEX('Dados'!$D$265:$D$284,$C$73)&gt;INDEX('Dados'!$D$265:$D$284,$C$5))),"Slots de Eficácia: "&amp;INDEX('Dados'!$C$265:$C$284,$C$73)&amp;" em Perícias e "&amp;INDEX('Dados'!$D$265:$D$284,$C$73)&amp;" em Testes de Resistência","")</f>
        <v/>
      </c>
    </row>
    <row r="83">
      <c r="A83" s="22">
        <f>IF($C$5&lt;20,"PV máximos +"&amp;(5+'Criação'!$B$36+'Criação'!$F$46)&amp;" (5 + N + Bônus de Vigor)","")</f>
        <v/>
      </c>
    </row>
    <row r="84">
      <c r="A84" s="22">
        <f>IF(AND($C$5&lt;20,MOD($C$5,4)=0),"Nova faixa de nível: Ultimate de Nível equivalente "&amp;INDEX('Dados'!$B$333:$B$337,INT(($C$73-1)/4)+1)&amp;" e Cone de Luz até o Nível "&amp;(INT(($C$73-1)/4)+1),"")</f>
        <v/>
      </c>
    </row>
    <row r="85">
      <c r="A85" s="22">
        <f>IF(AND($C$5&lt;20,MOD($C$73,5)=0),"Ressonância "&amp;CHOOSE(INT($C$73/5),"I","II","III","IV")&amp;" (tabela acima)","")</f>
        <v/>
      </c>
    </row>
    <row r="86">
      <c r="A86" s="22">
        <f>IF(AND($C$5&lt;20,OR($C$73=7,$C$73=13,$C$73=18)),"Relíquias sobem para o Tier "&amp;CHOOSE(IF($C$73=7,1,IF($C$73=13,2,3)),"II","III","IV"),"")</f>
        <v/>
      </c>
    </row>
    <row r="87">
      <c r="A87" s="22">
        <f>IF(AND($C$5&lt;20,OR($C$73=9,$C$73=17)),"PH do grupo: máximo +1","")</f>
        <v/>
      </c>
    </row>
    <row r="88">
      <c r="A88" s="22">
        <f>IF(AND($C$5&lt;20,'Criação'!$Q$33="A Recordação"),IF(MOD($C$73,2)=0,"Memoespírito: +1 ponto de atributo. ","")&amp;IF(OR($C$73=8,$C$73=14,$C$73=20),"Memoespírito: nova Evolução.",""),"")</f>
        <v/>
      </c>
    </row>
  </sheetData>
  <mergeCells count="44">
    <mergeCell ref="A7:I7"/>
    <mergeCell ref="A65:I65"/>
    <mergeCell ref="A73:B73"/>
    <mergeCell ref="A75:I75"/>
    <mergeCell ref="A84:I84"/>
    <mergeCell ref="A80:I80"/>
    <mergeCell ref="G67:H67"/>
    <mergeCell ref="A63:D63"/>
    <mergeCell ref="A74:I74"/>
    <mergeCell ref="H58:I58"/>
    <mergeCell ref="A3:L3"/>
    <mergeCell ref="G70:H70"/>
    <mergeCell ref="A55:I55"/>
    <mergeCell ref="A86:I86"/>
    <mergeCell ref="H56:I56"/>
    <mergeCell ref="H59:I59"/>
    <mergeCell ref="A85:I85"/>
    <mergeCell ref="A76:I76"/>
    <mergeCell ref="H60:I60"/>
    <mergeCell ref="C70:E70"/>
    <mergeCell ref="G66:H66"/>
    <mergeCell ref="F63:I63"/>
    <mergeCell ref="H61:I61"/>
    <mergeCell ref="G69:H69"/>
    <mergeCell ref="C67:E67"/>
    <mergeCell ref="A72:I72"/>
    <mergeCell ref="A81:I81"/>
    <mergeCell ref="C66:E66"/>
    <mergeCell ref="G68:H68"/>
    <mergeCell ref="A5:B5"/>
    <mergeCell ref="C69:E69"/>
    <mergeCell ref="H57:I57"/>
    <mergeCell ref="A31:I31"/>
    <mergeCell ref="A77:I77"/>
    <mergeCell ref="C68:E68"/>
    <mergeCell ref="F5:I5"/>
    <mergeCell ref="A83:I83"/>
    <mergeCell ref="A82:I82"/>
    <mergeCell ref="H62:I62"/>
    <mergeCell ref="A1:L1"/>
    <mergeCell ref="A88:I88"/>
    <mergeCell ref="A79:I79"/>
    <mergeCell ref="A87:I87"/>
    <mergeCell ref="A78:I78"/>
  </mergeCells>
  <conditionalFormatting sqref="A9:I29">
    <cfRule type="expression" priority="1" dxfId="2">
      <formula>$A9=$C$5</formula>
    </cfRule>
  </conditionalFormatting>
  <conditionalFormatting sqref="A33:I53">
    <cfRule type="expression" priority="2" dxfId="2">
      <formula>$A33=$C$5</formula>
    </cfRule>
  </conditionalFormatting>
  <conditionalFormatting sqref="H57">
    <cfRule type="expression" priority="3" dxfId="0">
      <formula>LEN(H57)&gt;0</formula>
    </cfRule>
  </conditionalFormatting>
  <conditionalFormatting sqref="H58">
    <cfRule type="expression" priority="4" dxfId="0">
      <formula>LEN(H58)&gt;0</formula>
    </cfRule>
  </conditionalFormatting>
  <conditionalFormatting sqref="H59">
    <cfRule type="expression" priority="5" dxfId="0">
      <formula>LEN(H59)&gt;0</formula>
    </cfRule>
  </conditionalFormatting>
  <conditionalFormatting sqref="H60">
    <cfRule type="expression" priority="6" dxfId="0">
      <formula>LEN(H60)&gt;0</formula>
    </cfRule>
  </conditionalFormatting>
  <conditionalFormatting sqref="H61">
    <cfRule type="expression" priority="7" dxfId="0">
      <formula>LEN(H61)&gt;0</formula>
    </cfRule>
  </conditionalFormatting>
  <conditionalFormatting sqref="H62">
    <cfRule type="expression" priority="8" dxfId="0">
      <formula>LEN(H62)&gt;0</formula>
    </cfRule>
  </conditionalFormatting>
  <conditionalFormatting sqref="I67">
    <cfRule type="expression" priority="9" dxfId="0">
      <formula>LEN(I67)&gt;0</formula>
    </cfRule>
  </conditionalFormatting>
  <conditionalFormatting sqref="I68">
    <cfRule type="expression" priority="10" dxfId="0">
      <formula>LEN(I68)&gt;0</formula>
    </cfRule>
  </conditionalFormatting>
  <conditionalFormatting sqref="I69">
    <cfRule type="expression" priority="11" dxfId="0">
      <formula>LEN(I69)&gt;0</formula>
    </cfRule>
  </conditionalFormatting>
  <conditionalFormatting sqref="I70">
    <cfRule type="expression" priority="12" dxfId="0">
      <formula>LEN(I70)&gt;0</formula>
    </cfRule>
  </conditionalFormatting>
  <dataValidations count="22">
    <dataValidation sqref="C57" showDropDown="0" showInputMessage="0" showErrorMessage="1" allowBlank="1" errorTitle="Fora da lista" error="Aumento do nível 3: escolha um valor da lista. A ficha pode não reconhecer outro valor." type="list" errorStyle="warning">
      <formula1>'Dados'!$AJ$6:$AJ$7</formula1>
    </dataValidation>
    <dataValidation sqref="D57" showDropDown="0" showInputMessage="0" showErrorMessage="1" allowBlank="1" errorTitle="Fora da lista" error="Atributo 1: escolha um valor da lista. A ficha pode não reconhecer outro valor." type="list" errorStyle="warning">
      <formula1>'Dados'!$Q$6:$Q$11</formula1>
    </dataValidation>
    <dataValidation sqref="E57" showDropDown="0" showInputMessage="0" showErrorMessage="1" allowBlank="1" errorTitle="Fora da lista" error="Atributo 2: escolha um valor da lista. A ficha pode não reconhecer outro valor." type="list" errorStyle="warning">
      <formula1>'Dados'!$Q$6:$Q$11</formula1>
    </dataValidation>
    <dataValidation sqref="C58" showDropDown="0" showInputMessage="0" showErrorMessage="1" allowBlank="1" errorTitle="Fora da lista" error="Aumento do nível 6: escolha um valor da lista. A ficha pode não reconhecer outro valor." type="list" errorStyle="warning">
      <formula1>'Dados'!$AJ$6:$AJ$7</formula1>
    </dataValidation>
    <dataValidation sqref="D58" showDropDown="0" showInputMessage="0" showErrorMessage="1" allowBlank="1" errorTitle="Fora da lista" error="Atributo 1: escolha um valor da lista. A ficha pode não reconhecer outro valor." type="list" errorStyle="warning">
      <formula1>'Dados'!$Q$6:$Q$11</formula1>
    </dataValidation>
    <dataValidation sqref="E58" showDropDown="0" showInputMessage="0" showErrorMessage="1" allowBlank="1" errorTitle="Fora da lista" error="Atributo 2: escolha um valor da lista. A ficha pode não reconhecer outro valor." type="list" errorStyle="warning">
      <formula1>'Dados'!$Q$6:$Q$11</formula1>
    </dataValidation>
    <dataValidation sqref="C59" showDropDown="0" showInputMessage="0" showErrorMessage="1" allowBlank="1" errorTitle="Fora da lista" error="Aumento do nível 9: escolha um valor da lista. A ficha pode não reconhecer outro valor." type="list" errorStyle="warning">
      <formula1>'Dados'!$AJ$6:$AJ$7</formula1>
    </dataValidation>
    <dataValidation sqref="D59" showDropDown="0" showInputMessage="0" showErrorMessage="1" allowBlank="1" errorTitle="Fora da lista" error="Atributo 1: escolha um valor da lista. A ficha pode não reconhecer outro valor." type="list" errorStyle="warning">
      <formula1>'Dados'!$Q$6:$Q$11</formula1>
    </dataValidation>
    <dataValidation sqref="E59" showDropDown="0" showInputMessage="0" showErrorMessage="1" allowBlank="1" errorTitle="Fora da lista" error="Atributo 2: escolha um valor da lista. A ficha pode não reconhecer outro valor." type="list" errorStyle="warning">
      <formula1>'Dados'!$Q$6:$Q$11</formula1>
    </dataValidation>
    <dataValidation sqref="C60" showDropDown="0" showInputMessage="0" showErrorMessage="1" allowBlank="1" errorTitle="Fora da lista" error="Aumento do nível 12: escolha um valor da lista. A ficha pode não reconhecer outro valor." type="list" errorStyle="warning">
      <formula1>'Dados'!$AJ$6:$AJ$7</formula1>
    </dataValidation>
    <dataValidation sqref="D60" showDropDown="0" showInputMessage="0" showErrorMessage="1" allowBlank="1" errorTitle="Fora da lista" error="Atributo 1: escolha um valor da lista. A ficha pode não reconhecer outro valor." type="list" errorStyle="warning">
      <formula1>'Dados'!$Q$6:$Q$11</formula1>
    </dataValidation>
    <dataValidation sqref="E60" showDropDown="0" showInputMessage="0" showErrorMessage="1" allowBlank="1" errorTitle="Fora da lista" error="Atributo 2: escolha um valor da lista. A ficha pode não reconhecer outro valor." type="list" errorStyle="warning">
      <formula1>'Dados'!$Q$6:$Q$11</formula1>
    </dataValidation>
    <dataValidation sqref="C61" showDropDown="0" showInputMessage="0" showErrorMessage="1" allowBlank="1" errorTitle="Fora da lista" error="Aumento do nível 15: escolha um valor da lista. A ficha pode não reconhecer outro valor." type="list" errorStyle="warning">
      <formula1>'Dados'!$AJ$6:$AJ$7</formula1>
    </dataValidation>
    <dataValidation sqref="D61" showDropDown="0" showInputMessage="0" showErrorMessage="1" allowBlank="1" errorTitle="Fora da lista" error="Atributo 1: escolha um valor da lista. A ficha pode não reconhecer outro valor." type="list" errorStyle="warning">
      <formula1>'Dados'!$Q$6:$Q$11</formula1>
    </dataValidation>
    <dataValidation sqref="E61" showDropDown="0" showInputMessage="0" showErrorMessage="1" allowBlank="1" errorTitle="Fora da lista" error="Atributo 2: escolha um valor da lista. A ficha pode não reconhecer outro valor." type="list" errorStyle="warning">
      <formula1>'Dados'!$Q$6:$Q$11</formula1>
    </dataValidation>
    <dataValidation sqref="C62" showDropDown="0" showInputMessage="0" showErrorMessage="1" allowBlank="1" errorTitle="Fora da lista" error="Aumento do nível 18: escolha um valor da lista. A ficha pode não reconhecer outro valor." type="list" errorStyle="warning">
      <formula1>'Dados'!$AJ$6:$AJ$7</formula1>
    </dataValidation>
    <dataValidation sqref="D62" showDropDown="0" showInputMessage="0" showErrorMessage="1" allowBlank="1" errorTitle="Fora da lista" error="Atributo 1: escolha um valor da lista. A ficha pode não reconhecer outro valor." type="list" errorStyle="warning">
      <formula1>'Dados'!$Q$6:$Q$11</formula1>
    </dataValidation>
    <dataValidation sqref="E62" showDropDown="0" showInputMessage="0" showErrorMessage="1" allowBlank="1" errorTitle="Fora da lista" error="Atributo 2: escolha um valor da lista. A ficha pode não reconhecer outro valor." type="list" errorStyle="warning">
      <formula1>'Dados'!$Q$6:$Q$11</formula1>
    </dataValidation>
    <dataValidation sqref="C67" showDropDown="0" showInputMessage="0" showErrorMessage="1" allowBlank="1" errorTitle="Fora da lista" error="Ressonância I: escolha um valor da lista. A ficha pode não reconhecer outro valor." type="list" errorStyle="warning">
      <formula1>'Dados'!$AQ$6:$AQ$7</formula1>
    </dataValidation>
    <dataValidation sqref="C68" showDropDown="0" showInputMessage="0" showErrorMessage="1" allowBlank="1" errorTitle="Fora da lista" error="Ressonância II: escolha um valor da lista. A ficha pode não reconhecer outro valor." type="list" errorStyle="warning">
      <formula1>'Dados'!$AR$6:$AR$6</formula1>
    </dataValidation>
    <dataValidation sqref="C69" showDropDown="0" showInputMessage="0" showErrorMessage="1" allowBlank="1" errorTitle="Fora da lista" error="Ressonância III: escolha um valor da lista. A ficha pode não reconhecer outro valor." type="list" errorStyle="warning">
      <formula1>'Dados'!$AS$6:$AS$6</formula1>
    </dataValidation>
    <dataValidation sqref="C70" showDropDown="0" showInputMessage="0" showErrorMessage="1" allowBlank="1" errorTitle="Fora da lista" error="Ressonância IV: escolha um valor da lista. A ficha pode não reconhecer outro valor." type="list" errorStyle="warning">
      <formula1>'Dados'!$AT$6:$AT$7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showGridLines="1"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1" t="inlineStr">
        <is>
          <t>Regras Rápidas — Explorando Galáxias v1.2</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Referência de uma página (29.12), condições, Quebra, Energia e tetos.</t>
        </is>
      </c>
    </row>
    <row r="4"/>
    <row r="5">
      <c r="A5" s="14" t="inlineStr">
        <is>
          <t>A rolagem única — 29.12 e 02</t>
        </is>
      </c>
    </row>
    <row r="6" ht="30" customHeight="1">
      <c r="A6" s="12" t="inlineStr">
        <is>
          <t>d20 + Bônus de Atributo + Eficiência (se treinado) ≥ DT. Arredonde para baixo. Toda instância de dano causa no mínimo 1. A Eficácia (2 × Eficiência) nunca entra em Teste de Ataque; a Esquiva soma sempre a Eficiência. Vantagem: 2d20, fica o maior; Desvantagem: o menor; não acumulam (02.4).</t>
        </is>
      </c>
    </row>
    <row r="7"/>
    <row r="8">
      <c r="A8" s="14" t="inlineStr">
        <is>
          <t>Eficiência e Eficácia por nível — 26.4</t>
        </is>
      </c>
    </row>
    <row r="9">
      <c r="A9" s="7" t="inlineStr">
        <is>
          <t>Níveis</t>
        </is>
      </c>
      <c r="B9" s="7" t="inlineStr">
        <is>
          <t>Eficiência</t>
        </is>
      </c>
      <c r="C9" s="7" t="inlineStr">
        <is>
          <t>Eficácia</t>
        </is>
      </c>
    </row>
    <row r="10">
      <c r="A10" s="16" t="inlineStr">
        <is>
          <t>1-3</t>
        </is>
      </c>
      <c r="B10" s="22">
        <f>"+"&amp;INDEX('Dados'!$B$265:$B$284,1)</f>
        <v/>
      </c>
      <c r="C10" s="22">
        <f>"+"&amp;(2*INDEX('Dados'!$B$265:$B$284,1))</f>
        <v/>
      </c>
      <c r="D10" s="22">
        <f>"Você agora: nível "&amp;'Criação'!$A$14&amp;", Eficiência +"&amp;'Criação'!$C$14&amp;", Eficácia +"&amp;(2*'Criação'!$C$14)</f>
        <v/>
      </c>
    </row>
    <row r="11">
      <c r="A11" s="18" t="inlineStr">
        <is>
          <t>4-6</t>
        </is>
      </c>
      <c r="B11" s="21">
        <f>"+"&amp;INDEX('Dados'!$B$265:$B$284,4)</f>
        <v/>
      </c>
      <c r="C11" s="21">
        <f>"+"&amp;(2*INDEX('Dados'!$B$265:$B$284,4))</f>
        <v/>
      </c>
    </row>
    <row r="12">
      <c r="A12" s="16" t="inlineStr">
        <is>
          <t>7-9</t>
        </is>
      </c>
      <c r="B12" s="22">
        <f>"+"&amp;INDEX('Dados'!$B$265:$B$284,7)</f>
        <v/>
      </c>
      <c r="C12" s="22">
        <f>"+"&amp;(2*INDEX('Dados'!$B$265:$B$284,7))</f>
        <v/>
      </c>
    </row>
    <row r="13">
      <c r="A13" s="18" t="inlineStr">
        <is>
          <t>10-12</t>
        </is>
      </c>
      <c r="B13" s="21">
        <f>"+"&amp;INDEX('Dados'!$B$265:$B$284,10)</f>
        <v/>
      </c>
      <c r="C13" s="21">
        <f>"+"&amp;(2*INDEX('Dados'!$B$265:$B$284,10))</f>
        <v/>
      </c>
    </row>
    <row r="14">
      <c r="A14" s="16" t="inlineStr">
        <is>
          <t>13-15</t>
        </is>
      </c>
      <c r="B14" s="22">
        <f>"+"&amp;INDEX('Dados'!$B$265:$B$284,13)</f>
        <v/>
      </c>
      <c r="C14" s="22">
        <f>"+"&amp;(2*INDEX('Dados'!$B$265:$B$284,13))</f>
        <v/>
      </c>
    </row>
    <row r="15">
      <c r="A15" s="18" t="inlineStr">
        <is>
          <t>16-18</t>
        </is>
      </c>
      <c r="B15" s="21">
        <f>"+"&amp;INDEX('Dados'!$B$265:$B$284,16)</f>
        <v/>
      </c>
      <c r="C15" s="21">
        <f>"+"&amp;(2*INDEX('Dados'!$B$265:$B$284,16))</f>
        <v/>
      </c>
    </row>
    <row r="16">
      <c r="A16" s="16" t="inlineStr">
        <is>
          <t>19-20</t>
        </is>
      </c>
      <c r="B16" s="22">
        <f>"+"&amp;INDEX('Dados'!$B$265:$B$284,19)</f>
        <v/>
      </c>
      <c r="C16" s="22">
        <f>"+"&amp;(2*INDEX('Dados'!$B$265:$B$284,19))</f>
        <v/>
      </c>
    </row>
    <row r="17"/>
    <row r="18">
      <c r="A18" s="14" t="inlineStr">
        <is>
          <t>Bônus de Atributo — 04.2</t>
        </is>
      </c>
    </row>
    <row r="19">
      <c r="A19" s="7" t="inlineStr">
        <is>
          <t>Valor</t>
        </is>
      </c>
      <c r="B19" s="7" t="inlineStr">
        <is>
          <t>8-9</t>
        </is>
      </c>
      <c r="C19" s="7" t="inlineStr">
        <is>
          <t>10-11</t>
        </is>
      </c>
      <c r="D19" s="7" t="inlineStr">
        <is>
          <t>12-13</t>
        </is>
      </c>
      <c r="E19" s="7" t="inlineStr">
        <is>
          <t>14</t>
        </is>
      </c>
      <c r="F19" s="7" t="inlineStr">
        <is>
          <t>15-16</t>
        </is>
      </c>
      <c r="G19" s="7" t="inlineStr">
        <is>
          <t>17-18</t>
        </is>
      </c>
      <c r="H19" s="7" t="inlineStr">
        <is>
          <t>19-20</t>
        </is>
      </c>
    </row>
    <row r="20">
      <c r="A20" s="16" t="inlineStr">
        <is>
          <t>Bônus</t>
        </is>
      </c>
      <c r="B20" s="17">
        <f>IF(VLOOKUP(8,'Dados'!$A$34:$B$46,2,FALSE)&gt;=0,"+","")&amp;VLOOKUP(8,'Dados'!$A$34:$B$46,2,FALSE)</f>
        <v/>
      </c>
      <c r="C20" s="17">
        <f>IF(VLOOKUP(10,'Dados'!$A$34:$B$46,2,FALSE)&gt;=0,"+","")&amp;VLOOKUP(10,'Dados'!$A$34:$B$46,2,FALSE)</f>
        <v/>
      </c>
      <c r="D20" s="17">
        <f>IF(VLOOKUP(12,'Dados'!$A$34:$B$46,2,FALSE)&gt;=0,"+","")&amp;VLOOKUP(12,'Dados'!$A$34:$B$46,2,FALSE)</f>
        <v/>
      </c>
      <c r="E20" s="17">
        <f>IF(VLOOKUP(14,'Dados'!$A$34:$B$46,2,FALSE)&gt;=0,"+","")&amp;VLOOKUP(14,'Dados'!$A$34:$B$46,2,FALSE)</f>
        <v/>
      </c>
      <c r="F20" s="17">
        <f>IF(VLOOKUP(15,'Dados'!$A$34:$B$46,2,FALSE)&gt;=0,"+","")&amp;VLOOKUP(15,'Dados'!$A$34:$B$46,2,FALSE)</f>
        <v/>
      </c>
      <c r="G20" s="17">
        <f>IF(VLOOKUP(17,'Dados'!$A$34:$B$46,2,FALSE)&gt;=0,"+","")&amp;VLOOKUP(17,'Dados'!$A$34:$B$46,2,FALSE)</f>
        <v/>
      </c>
      <c r="H20" s="17">
        <f>IF(VLOOKUP(19,'Dados'!$A$34:$B$46,2,FALSE)&gt;=0,"+","")&amp;VLOOKUP(19,'Dados'!$A$34:$B$46,2,FALSE)</f>
        <v/>
      </c>
    </row>
    <row r="21"/>
    <row r="22">
      <c r="A22" s="14" t="inlineStr">
        <is>
          <t>DT por faixa — 27.2</t>
        </is>
      </c>
    </row>
    <row r="23" ht="30" customHeight="1">
      <c r="A23" s="67" t="inlineStr">
        <is>
          <t>Dificuldade</t>
        </is>
      </c>
      <c r="B23" s="30" t="inlineStr">
        <is>
          <t>1-4</t>
        </is>
      </c>
      <c r="C23" s="30" t="inlineStr">
        <is>
          <t>5-8</t>
        </is>
      </c>
      <c r="D23" s="30" t="inlineStr">
        <is>
          <t>9-12</t>
        </is>
      </c>
      <c r="E23" s="30" t="inlineStr">
        <is>
          <t>13-16</t>
        </is>
      </c>
      <c r="F23" s="30" t="inlineStr">
        <is>
          <t>17-20</t>
        </is>
      </c>
    </row>
    <row r="24">
      <c r="A24" s="68">
        <f>IF(LEN('Dados'!$A$424)=0,"",'Dados'!$A$424)</f>
        <v/>
      </c>
      <c r="B24" s="69">
        <f>IF(LEN('Dados'!$B$424)=0,"",'Dados'!$B$424)</f>
        <v/>
      </c>
      <c r="C24" s="69">
        <f>IF(LEN('Dados'!$C$424)=0,"",'Dados'!$C$424)</f>
        <v/>
      </c>
      <c r="D24" s="69">
        <f>IF(LEN('Dados'!$D$424)=0,"",'Dados'!$D$424)</f>
        <v/>
      </c>
      <c r="E24" s="69">
        <f>IF(LEN('Dados'!$E$424)=0,"",'Dados'!$E$424)</f>
        <v/>
      </c>
      <c r="F24" s="69">
        <f>IF(LEN('Dados'!$F$424)=0,"",'Dados'!$F$424)</f>
        <v/>
      </c>
    </row>
    <row r="25">
      <c r="A25" s="70">
        <f>IF(LEN('Dados'!$A$425)=0,"",'Dados'!$A$425)</f>
        <v/>
      </c>
      <c r="B25" s="71">
        <f>IF(LEN('Dados'!$B$425)=0,"",'Dados'!$B$425)</f>
        <v/>
      </c>
      <c r="C25" s="71">
        <f>IF(LEN('Dados'!$C$425)=0,"",'Dados'!$C$425)</f>
        <v/>
      </c>
      <c r="D25" s="71">
        <f>IF(LEN('Dados'!$D$425)=0,"",'Dados'!$D$425)</f>
        <v/>
      </c>
      <c r="E25" s="71">
        <f>IF(LEN('Dados'!$E$425)=0,"",'Dados'!$E$425)</f>
        <v/>
      </c>
      <c r="F25" s="71">
        <f>IF(LEN('Dados'!$F$425)=0,"",'Dados'!$F$425)</f>
        <v/>
      </c>
    </row>
    <row r="26">
      <c r="A26" s="68">
        <f>IF(LEN('Dados'!$A$426)=0,"",'Dados'!$A$426)</f>
        <v/>
      </c>
      <c r="B26" s="69">
        <f>IF(LEN('Dados'!$B$426)=0,"",'Dados'!$B$426)</f>
        <v/>
      </c>
      <c r="C26" s="69">
        <f>IF(LEN('Dados'!$C$426)=0,"",'Dados'!$C$426)</f>
        <v/>
      </c>
      <c r="D26" s="69">
        <f>IF(LEN('Dados'!$D$426)=0,"",'Dados'!$D$426)</f>
        <v/>
      </c>
      <c r="E26" s="69">
        <f>IF(LEN('Dados'!$E$426)=0,"",'Dados'!$E$426)</f>
        <v/>
      </c>
      <c r="F26" s="69">
        <f>IF(LEN('Dados'!$F$426)=0,"",'Dados'!$F$426)</f>
        <v/>
      </c>
    </row>
    <row r="27">
      <c r="A27" s="70">
        <f>IF(LEN('Dados'!$A$427)=0,"",'Dados'!$A$427)</f>
        <v/>
      </c>
      <c r="B27" s="71">
        <f>IF(LEN('Dados'!$B$427)=0,"",'Dados'!$B$427)</f>
        <v/>
      </c>
      <c r="C27" s="71">
        <f>IF(LEN('Dados'!$C$427)=0,"",'Dados'!$C$427)</f>
        <v/>
      </c>
      <c r="D27" s="71">
        <f>IF(LEN('Dados'!$D$427)=0,"",'Dados'!$D$427)</f>
        <v/>
      </c>
      <c r="E27" s="71">
        <f>IF(LEN('Dados'!$E$427)=0,"",'Dados'!$E$427)</f>
        <v/>
      </c>
      <c r="F27" s="71">
        <f>IF(LEN('Dados'!$F$427)=0,"",'Dados'!$F$427)</f>
        <v/>
      </c>
    </row>
    <row r="28">
      <c r="A28" s="68">
        <f>IF(LEN('Dados'!$A$428)=0,"",'Dados'!$A$428)</f>
        <v/>
      </c>
      <c r="B28" s="69">
        <f>IF(LEN('Dados'!$B$428)=0,"",'Dados'!$B$428)</f>
        <v/>
      </c>
      <c r="C28" s="69">
        <f>IF(LEN('Dados'!$C$428)=0,"",'Dados'!$C$428)</f>
        <v/>
      </c>
      <c r="D28" s="69">
        <f>IF(LEN('Dados'!$D$428)=0,"",'Dados'!$D$428)</f>
        <v/>
      </c>
      <c r="E28" s="69">
        <f>IF(LEN('Dados'!$E$428)=0,"",'Dados'!$E$428)</f>
        <v/>
      </c>
      <c r="F28" s="69">
        <f>IF(LEN('Dados'!$F$428)=0,"",'Dados'!$F$428)</f>
        <v/>
      </c>
    </row>
    <row r="29">
      <c r="A29" s="70">
        <f>IF(LEN('Dados'!$A$429)=0,"",'Dados'!$A$429)</f>
        <v/>
      </c>
      <c r="B29" s="71">
        <f>IF(LEN('Dados'!$B$429)=0,"",'Dados'!$B$429)</f>
        <v/>
      </c>
      <c r="C29" s="71">
        <f>IF(LEN('Dados'!$C$429)=0,"",'Dados'!$C$429)</f>
        <v/>
      </c>
      <c r="D29" s="71">
        <f>IF(LEN('Dados'!$D$429)=0,"",'Dados'!$D$429)</f>
        <v/>
      </c>
      <c r="E29" s="71">
        <f>IF(LEN('Dados'!$E$429)=0,"",'Dados'!$E$429)</f>
        <v/>
      </c>
      <c r="F29" s="71">
        <f>IF(LEN('Dados'!$F$429)=0,"",'Dados'!$F$429)</f>
        <v/>
      </c>
    </row>
    <row r="30">
      <c r="A30" s="72">
        <f>"A sua faixa agora: "&amp;CHOOSE('Criação'!$B$14,"1-4","5-8","9-12","13-16","17-20")&amp;" · Sucesso Automático: bônus total da Perícia ≥ DT, não rola (27.2)"</f>
        <v/>
      </c>
    </row>
    <row r="31"/>
    <row r="32">
      <c r="A32" s="14" t="inlineStr">
        <is>
          <t>As cinco DTs de subsistema — 27.3 (vencem a tabela acima e não escalam)</t>
        </is>
      </c>
    </row>
    <row r="33" ht="30" customHeight="1">
      <c r="A33" s="67" t="inlineStr">
        <is>
          <t>Teste</t>
        </is>
      </c>
      <c r="B33" s="15" t="n"/>
      <c r="C33" s="15" t="n"/>
      <c r="D33" s="15" t="n"/>
      <c r="E33" s="67" t="inlineStr">
        <is>
          <t>DT</t>
        </is>
      </c>
      <c r="F33" s="15" t="n"/>
      <c r="G33" s="15" t="n"/>
      <c r="H33" s="15" t="n"/>
      <c r="I33" s="30" t="inlineStr">
        <is>
          <t>Capítulo</t>
        </is>
      </c>
    </row>
    <row r="34">
      <c r="A34" s="68">
        <f>IF(LEN('Dados'!$A$433)=0,"",'Dados'!$A$433)</f>
        <v/>
      </c>
      <c r="E34" s="73">
        <f>IF(LEN('Dados'!$B$433)=0,"",'Dados'!$B$433)</f>
        <v/>
      </c>
      <c r="I34" s="69">
        <f>IF(LEN('Dados'!$C$433)=0,"",'Dados'!$C$433)</f>
        <v/>
      </c>
    </row>
    <row r="35">
      <c r="A35" s="70">
        <f>IF(LEN('Dados'!$A$434)=0,"",'Dados'!$A$434)</f>
        <v/>
      </c>
      <c r="E35" s="74">
        <f>IF(LEN('Dados'!$B$434)=0,"",'Dados'!$B$434)</f>
        <v/>
      </c>
      <c r="I35" s="71">
        <f>IF(LEN('Dados'!$C$434)=0,"",'Dados'!$C$434)</f>
        <v/>
      </c>
    </row>
    <row r="36">
      <c r="A36" s="68">
        <f>IF(LEN('Dados'!$A$435)=0,"",'Dados'!$A$435)</f>
        <v/>
      </c>
      <c r="E36" s="73">
        <f>IF(LEN('Dados'!$B$435)=0,"",'Dados'!$B$435)</f>
        <v/>
      </c>
      <c r="I36" s="69">
        <f>IF(LEN('Dados'!$C$435)=0,"",'Dados'!$C$435)</f>
        <v/>
      </c>
    </row>
    <row r="37">
      <c r="A37" s="70">
        <f>IF(LEN('Dados'!$A$436)=0,"",'Dados'!$A$436)</f>
        <v/>
      </c>
      <c r="E37" s="74">
        <f>IF(LEN('Dados'!$B$436)=0,"",'Dados'!$B$436)</f>
        <v/>
      </c>
      <c r="I37" s="71">
        <f>IF(LEN('Dados'!$C$436)=0,"",'Dados'!$C$436)</f>
        <v/>
      </c>
    </row>
    <row r="38">
      <c r="A38" s="68">
        <f>IF(LEN('Dados'!$A$437)=0,"",'Dados'!$A$437)</f>
        <v/>
      </c>
      <c r="E38" s="73">
        <f>IF(LEN('Dados'!$B$437)=0,"",'Dados'!$B$437)</f>
        <v/>
      </c>
      <c r="I38" s="69">
        <f>IF(LEN('Dados'!$C$437)=0,"",'Dados'!$C$437)</f>
        <v/>
      </c>
    </row>
    <row r="39"/>
    <row r="40">
      <c r="A40" s="14" t="inlineStr">
        <is>
          <t>O turno, as Distâncias e o Teste de Ataque — 18 e 29.12</t>
        </is>
      </c>
    </row>
    <row r="41" ht="30" customHeight="1">
      <c r="A41" s="12" t="inlineStr">
        <is>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is>
      </c>
    </row>
    <row r="42">
      <c r="A42" s="12" t="inlineStr">
        <is>
          <t>Distâncias: Pessoal → Curta → Média → Longa → Extrema. Um passo por Ação de Movimento.</t>
        </is>
      </c>
    </row>
    <row r="43" ht="30" customHeight="1">
      <c r="A43" s="12" t="inlineStr">
        <is>
          <t>Teste de Ataque: d20 + Atributo de Ataque + Eficiência + Especialização + equipamento ± temporários ≥ Defesa. 20 natural é crítico (dobra só os dados base); 1 natural erra e não gera Energia. A faixa 19-20 é exclusiva da Caça (Olho de Lan).</t>
        </is>
      </c>
    </row>
    <row r="44"/>
    <row r="45">
      <c r="A45" s="14" t="inlineStr">
        <is>
          <t>Habilidades por Nível — 16.3</t>
        </is>
      </c>
    </row>
    <row r="46" ht="30" customHeight="1">
      <c r="A46" s="67" t="inlineStr">
        <is>
          <t>Nível</t>
        </is>
      </c>
      <c r="B46" s="30" t="inlineStr">
        <is>
          <t>Dano</t>
        </is>
      </c>
      <c r="C46" s="30" t="inlineStr">
        <is>
          <t>Média do dano</t>
        </is>
      </c>
      <c r="D46" s="30" t="inlineStr">
        <is>
          <t>Cura</t>
        </is>
      </c>
      <c r="E46" s="30" t="inlineStr">
        <is>
          <t>Média da cura</t>
        </is>
      </c>
      <c r="F46" s="30" t="inlineStr">
        <is>
          <t>Custo (PH)</t>
        </is>
      </c>
      <c r="G46" s="30" t="inlineStr">
        <is>
          <t>Redução de Tenacidade</t>
        </is>
      </c>
      <c r="H46" s="67" t="inlineStr">
        <is>
          <t>Alcance (cumulativo)</t>
        </is>
      </c>
      <c r="I46" s="15" t="n"/>
    </row>
    <row r="47">
      <c r="A47" s="68">
        <f>IF(LEN('Dados'!$A$303)=0,"",'Dados'!$A$303)</f>
        <v/>
      </c>
      <c r="B47" s="69">
        <f>IF(LEN('Dados'!$B$303)=0,"",'Dados'!$B$303)</f>
        <v/>
      </c>
      <c r="C47" s="69">
        <f>IF(LEN('Dados'!$E$303)=0,"",'Dados'!$E$303)</f>
        <v/>
      </c>
      <c r="D47" s="69">
        <f>IF(LEN('Dados'!$F$303)=0,"",'Dados'!$F$303)</f>
        <v/>
      </c>
      <c r="E47" s="69">
        <f>IF(LEN('Dados'!$I$303)=0,"",'Dados'!$I$303)</f>
        <v/>
      </c>
      <c r="F47" s="69">
        <f>IF(LEN('Dados'!$J$303)=0,"",'Dados'!$J$303)</f>
        <v/>
      </c>
      <c r="G47" s="69">
        <f>IF(LEN('Dados'!$K$303)=0,"",'Dados'!$K$303)</f>
        <v/>
      </c>
      <c r="H47" s="73">
        <f>IF(LEN('Dados'!$L$303)=0,"",'Dados'!$L$303)</f>
        <v/>
      </c>
    </row>
    <row r="48">
      <c r="A48" s="70">
        <f>IF(LEN('Dados'!$A$304)=0,"",'Dados'!$A$304)</f>
        <v/>
      </c>
      <c r="B48" s="71">
        <f>IF(LEN('Dados'!$B$304)=0,"",'Dados'!$B$304)</f>
        <v/>
      </c>
      <c r="C48" s="71">
        <f>IF(LEN('Dados'!$E$304)=0,"",'Dados'!$E$304)</f>
        <v/>
      </c>
      <c r="D48" s="71">
        <f>IF(LEN('Dados'!$F$304)=0,"",'Dados'!$F$304)</f>
        <v/>
      </c>
      <c r="E48" s="71">
        <f>IF(LEN('Dados'!$I$304)=0,"",'Dados'!$I$304)</f>
        <v/>
      </c>
      <c r="F48" s="71">
        <f>IF(LEN('Dados'!$J$304)=0,"",'Dados'!$J$304)</f>
        <v/>
      </c>
      <c r="G48" s="71">
        <f>IF(LEN('Dados'!$K$304)=0,"",'Dados'!$K$304)</f>
        <v/>
      </c>
      <c r="H48" s="74">
        <f>IF(LEN('Dados'!$L$304)=0,"",'Dados'!$L$304)</f>
        <v/>
      </c>
    </row>
    <row r="49">
      <c r="A49" s="68">
        <f>IF(LEN('Dados'!$A$305)=0,"",'Dados'!$A$305)</f>
        <v/>
      </c>
      <c r="B49" s="69">
        <f>IF(LEN('Dados'!$B$305)=0,"",'Dados'!$B$305)</f>
        <v/>
      </c>
      <c r="C49" s="69">
        <f>IF(LEN('Dados'!$E$305)=0,"",'Dados'!$E$305)</f>
        <v/>
      </c>
      <c r="D49" s="69">
        <f>IF(LEN('Dados'!$F$305)=0,"",'Dados'!$F$305)</f>
        <v/>
      </c>
      <c r="E49" s="69">
        <f>IF(LEN('Dados'!$I$305)=0,"",'Dados'!$I$305)</f>
        <v/>
      </c>
      <c r="F49" s="69">
        <f>IF(LEN('Dados'!$J$305)=0,"",'Dados'!$J$305)</f>
        <v/>
      </c>
      <c r="G49" s="69">
        <f>IF(LEN('Dados'!$K$305)=0,"",'Dados'!$K$305)</f>
        <v/>
      </c>
      <c r="H49" s="73">
        <f>IF(LEN('Dados'!$L$305)=0,"",'Dados'!$L$305)</f>
        <v/>
      </c>
    </row>
    <row r="50">
      <c r="A50" s="70">
        <f>IF(LEN('Dados'!$A$306)=0,"",'Dados'!$A$306)</f>
        <v/>
      </c>
      <c r="B50" s="71">
        <f>IF(LEN('Dados'!$B$306)=0,"",'Dados'!$B$306)</f>
        <v/>
      </c>
      <c r="C50" s="71">
        <f>IF(LEN('Dados'!$E$306)=0,"",'Dados'!$E$306)</f>
        <v/>
      </c>
      <c r="D50" s="71">
        <f>IF(LEN('Dados'!$F$306)=0,"",'Dados'!$F$306)</f>
        <v/>
      </c>
      <c r="E50" s="71">
        <f>IF(LEN('Dados'!$I$306)=0,"",'Dados'!$I$306)</f>
        <v/>
      </c>
      <c r="F50" s="71">
        <f>IF(LEN('Dados'!$J$306)=0,"",'Dados'!$J$306)</f>
        <v/>
      </c>
      <c r="G50" s="71">
        <f>IF(LEN('Dados'!$K$306)=0,"",'Dados'!$K$306)</f>
        <v/>
      </c>
      <c r="H50" s="74">
        <f>IF(LEN('Dados'!$L$306)=0,"",'Dados'!$L$306)</f>
        <v/>
      </c>
    </row>
    <row r="51">
      <c r="A51" s="68">
        <f>IF(LEN('Dados'!$A$307)=0,"",'Dados'!$A$307)</f>
        <v/>
      </c>
      <c r="B51" s="69">
        <f>IF(LEN('Dados'!$B$307)=0,"",'Dados'!$B$307)</f>
        <v/>
      </c>
      <c r="C51" s="69">
        <f>IF(LEN('Dados'!$E$307)=0,"",'Dados'!$E$307)</f>
        <v/>
      </c>
      <c r="D51" s="69">
        <f>IF(LEN('Dados'!$F$307)=0,"",'Dados'!$F$307)</f>
        <v/>
      </c>
      <c r="E51" s="69">
        <f>IF(LEN('Dados'!$I$307)=0,"",'Dados'!$I$307)</f>
        <v/>
      </c>
      <c r="F51" s="69">
        <f>IF(LEN('Dados'!$J$307)=0,"",'Dados'!$J$307)</f>
        <v/>
      </c>
      <c r="G51" s="69">
        <f>IF(LEN('Dados'!$K$307)=0,"",'Dados'!$K$307)</f>
        <v/>
      </c>
      <c r="H51" s="73">
        <f>IF(LEN('Dados'!$L$307)=0,"",'Dados'!$L$307)</f>
        <v/>
      </c>
    </row>
    <row r="52">
      <c r="A52" s="70">
        <f>IF(LEN('Dados'!$A$308)=0,"",'Dados'!$A$308)</f>
        <v/>
      </c>
      <c r="B52" s="71">
        <f>IF(LEN('Dados'!$B$308)=0,"",'Dados'!$B$308)</f>
        <v/>
      </c>
      <c r="C52" s="71">
        <f>IF(LEN('Dados'!$E$308)=0,"",'Dados'!$E$308)</f>
        <v/>
      </c>
      <c r="D52" s="71">
        <f>IF(LEN('Dados'!$F$308)=0,"",'Dados'!$F$308)</f>
        <v/>
      </c>
      <c r="E52" s="71">
        <f>IF(LEN('Dados'!$I$308)=0,"",'Dados'!$I$308)</f>
        <v/>
      </c>
      <c r="F52" s="71">
        <f>IF(LEN('Dados'!$J$308)=0,"",'Dados'!$J$308)</f>
        <v/>
      </c>
      <c r="G52" s="71">
        <f>IF(LEN('Dados'!$K$308)=0,"",'Dados'!$K$308)</f>
        <v/>
      </c>
      <c r="H52" s="74">
        <f>IF(LEN('Dados'!$L$308)=0,"",'Dados'!$L$308)</f>
        <v/>
      </c>
    </row>
    <row r="53">
      <c r="A53" s="68">
        <f>IF(LEN('Dados'!$A$309)=0,"",'Dados'!$A$309)</f>
        <v/>
      </c>
      <c r="B53" s="69">
        <f>IF(LEN('Dados'!$B$309)=0,"",'Dados'!$B$309)</f>
        <v/>
      </c>
      <c r="C53" s="69">
        <f>IF(LEN('Dados'!$E$309)=0,"",'Dados'!$E$309)</f>
        <v/>
      </c>
      <c r="D53" s="69">
        <f>IF(LEN('Dados'!$F$309)=0,"",'Dados'!$F$309)</f>
        <v/>
      </c>
      <c r="E53" s="69">
        <f>IF(LEN('Dados'!$I$309)=0,"",'Dados'!$I$309)</f>
        <v/>
      </c>
      <c r="F53" s="69">
        <f>IF(LEN('Dados'!$J$309)=0,"",'Dados'!$J$309)</f>
        <v/>
      </c>
      <c r="G53" s="69">
        <f>IF(LEN('Dados'!$K$309)=0,"",'Dados'!$K$309)</f>
        <v/>
      </c>
      <c r="H53" s="73">
        <f>IF(LEN('Dados'!$L$309)=0,"",'Dados'!$L$309)</f>
        <v/>
      </c>
    </row>
    <row r="54" ht="30" customHeight="1">
      <c r="A54" s="33" t="inlineStr">
        <is>
          <t>Mais o Bônus do Atributo de Habilidade, uma vez. Em área: metade dos dados (mínimo 1), até 3 alvos (4 nos Níveis 6 e 7), teto absoluto 6, mesmo custo (16.4). Passiva não custa PH e conta no teto de 8.</t>
        </is>
      </c>
    </row>
    <row r="55"/>
    <row r="56">
      <c r="A56" s="14" t="inlineStr">
        <is>
          <t>Ultimate por faixa — 17.3 (100 de Energia, 1 por Ciclo)</t>
        </is>
      </c>
    </row>
    <row r="57" ht="30" customHeight="1">
      <c r="A57" s="67" t="inlineStr">
        <is>
          <t>Faixa de nível</t>
        </is>
      </c>
      <c r="B57" s="30" t="inlineStr">
        <is>
          <t>Nível equivalente</t>
        </is>
      </c>
      <c r="C57" s="30" t="inlineStr">
        <is>
          <t>Dano</t>
        </is>
      </c>
      <c r="D57" s="30" t="inlineStr">
        <is>
          <t>Média do dano</t>
        </is>
      </c>
      <c r="E57" s="30" t="inlineStr">
        <is>
          <t>Cura</t>
        </is>
      </c>
      <c r="F57" s="30" t="inlineStr">
        <is>
          <t>Média da cura</t>
        </is>
      </c>
      <c r="G57" s="30" t="inlineStr">
        <is>
          <t>Redução de Tenacidade</t>
        </is>
      </c>
    </row>
    <row r="58">
      <c r="A58" s="68">
        <f>IF(LEN('Dados'!$A$333)=0,"",'Dados'!$A$333)</f>
        <v/>
      </c>
      <c r="B58" s="69">
        <f>IF(LEN('Dados'!$B$333)=0,"",'Dados'!$B$333)</f>
        <v/>
      </c>
      <c r="C58" s="69">
        <f>IF(LEN('Dados'!$C$333)=0,"",'Dados'!$C$333)</f>
        <v/>
      </c>
      <c r="D58" s="69">
        <f>IF(LEN('Dados'!$F$333)=0,"",'Dados'!$F$333)</f>
        <v/>
      </c>
      <c r="E58" s="69">
        <f>IF(LEN('Dados'!$G$333)=0,"",'Dados'!$G$333)</f>
        <v/>
      </c>
      <c r="F58" s="69">
        <f>IF(LEN('Dados'!$J$333)=0,"",'Dados'!$J$333)</f>
        <v/>
      </c>
      <c r="G58" s="69">
        <f>IF(LEN('Dados'!$K$333)=0,"",'Dados'!$K$333)</f>
        <v/>
      </c>
    </row>
    <row r="59">
      <c r="A59" s="70">
        <f>IF(LEN('Dados'!$A$334)=0,"",'Dados'!$A$334)</f>
        <v/>
      </c>
      <c r="B59" s="71">
        <f>IF(LEN('Dados'!$B$334)=0,"",'Dados'!$B$334)</f>
        <v/>
      </c>
      <c r="C59" s="71">
        <f>IF(LEN('Dados'!$C$334)=0,"",'Dados'!$C$334)</f>
        <v/>
      </c>
      <c r="D59" s="71">
        <f>IF(LEN('Dados'!$F$334)=0,"",'Dados'!$F$334)</f>
        <v/>
      </c>
      <c r="E59" s="71">
        <f>IF(LEN('Dados'!$G$334)=0,"",'Dados'!$G$334)</f>
        <v/>
      </c>
      <c r="F59" s="71">
        <f>IF(LEN('Dados'!$J$334)=0,"",'Dados'!$J$334)</f>
        <v/>
      </c>
      <c r="G59" s="71">
        <f>IF(LEN('Dados'!$K$334)=0,"",'Dados'!$K$334)</f>
        <v/>
      </c>
    </row>
    <row r="60">
      <c r="A60" s="68">
        <f>IF(LEN('Dados'!$A$335)=0,"",'Dados'!$A$335)</f>
        <v/>
      </c>
      <c r="B60" s="69">
        <f>IF(LEN('Dados'!$B$335)=0,"",'Dados'!$B$335)</f>
        <v/>
      </c>
      <c r="C60" s="69">
        <f>IF(LEN('Dados'!$C$335)=0,"",'Dados'!$C$335)</f>
        <v/>
      </c>
      <c r="D60" s="69">
        <f>IF(LEN('Dados'!$F$335)=0,"",'Dados'!$F$335)</f>
        <v/>
      </c>
      <c r="E60" s="69">
        <f>IF(LEN('Dados'!$G$335)=0,"",'Dados'!$G$335)</f>
        <v/>
      </c>
      <c r="F60" s="69">
        <f>IF(LEN('Dados'!$J$335)=0,"",'Dados'!$J$335)</f>
        <v/>
      </c>
      <c r="G60" s="69">
        <f>IF(LEN('Dados'!$K$335)=0,"",'Dados'!$K$335)</f>
        <v/>
      </c>
    </row>
    <row r="61">
      <c r="A61" s="70">
        <f>IF(LEN('Dados'!$A$336)=0,"",'Dados'!$A$336)</f>
        <v/>
      </c>
      <c r="B61" s="71">
        <f>IF(LEN('Dados'!$B$336)=0,"",'Dados'!$B$336)</f>
        <v/>
      </c>
      <c r="C61" s="71">
        <f>IF(LEN('Dados'!$C$336)=0,"",'Dados'!$C$336)</f>
        <v/>
      </c>
      <c r="D61" s="71">
        <f>IF(LEN('Dados'!$F$336)=0,"",'Dados'!$F$336)</f>
        <v/>
      </c>
      <c r="E61" s="71">
        <f>IF(LEN('Dados'!$G$336)=0,"",'Dados'!$G$336)</f>
        <v/>
      </c>
      <c r="F61" s="71">
        <f>IF(LEN('Dados'!$J$336)=0,"",'Dados'!$J$336)</f>
        <v/>
      </c>
      <c r="G61" s="71">
        <f>IF(LEN('Dados'!$K$336)=0,"",'Dados'!$K$336)</f>
        <v/>
      </c>
    </row>
    <row r="62">
      <c r="A62" s="68">
        <f>IF(LEN('Dados'!$A$337)=0,"",'Dados'!$A$337)</f>
        <v/>
      </c>
      <c r="B62" s="69">
        <f>IF(LEN('Dados'!$B$337)=0,"",'Dados'!$B$337)</f>
        <v/>
      </c>
      <c r="C62" s="69">
        <f>IF(LEN('Dados'!$C$337)=0,"",'Dados'!$C$337)</f>
        <v/>
      </c>
      <c r="D62" s="69">
        <f>IF(LEN('Dados'!$F$337)=0,"",'Dados'!$F$337)</f>
        <v/>
      </c>
      <c r="E62" s="69">
        <f>IF(LEN('Dados'!$G$337)=0,"",'Dados'!$G$337)</f>
        <v/>
      </c>
      <c r="F62" s="69">
        <f>IF(LEN('Dados'!$J$337)=0,"",'Dados'!$J$337)</f>
        <v/>
      </c>
      <c r="G62" s="69">
        <f>IF(LEN('Dados'!$K$337)=0,"",'Dados'!$K$337)</f>
        <v/>
      </c>
    </row>
    <row r="63"/>
    <row r="64">
      <c r="A64" s="14" t="inlineStr">
        <is>
          <t>Energia — 17.2</t>
        </is>
      </c>
    </row>
    <row r="65" ht="30" customHeight="1">
      <c r="A65" s="67" t="inlineStr">
        <is>
          <t>Fonte</t>
        </is>
      </c>
      <c r="B65" s="15" t="n"/>
      <c r="C65" s="15" t="n"/>
      <c r="D65" s="67" t="inlineStr">
        <is>
          <t>Energia</t>
        </is>
      </c>
      <c r="E65" s="15" t="n"/>
      <c r="F65" s="15" t="n"/>
      <c r="G65" s="15" t="n"/>
      <c r="H65" s="15" t="n"/>
      <c r="I65" s="67" t="inlineStr">
        <is>
          <t>Limite</t>
        </is>
      </c>
      <c r="J65" s="15" t="n"/>
      <c r="K65" s="15" t="n"/>
    </row>
    <row r="66" ht="30" customHeight="1">
      <c r="A66" s="68">
        <f>IF(LEN('Dados'!$A$358)=0,"",'Dados'!$A$358)</f>
        <v/>
      </c>
      <c r="D66" s="73">
        <f>IF(LEN('Dados'!$B$358)=0,"",'Dados'!$B$358)</f>
        <v/>
      </c>
      <c r="I66" s="73">
        <f>IF(LEN('Dados'!$C$358)=0,"",'Dados'!$C$358)</f>
        <v/>
      </c>
    </row>
    <row r="67" ht="30" customHeight="1">
      <c r="A67" s="70">
        <f>IF(LEN('Dados'!$A$359)=0,"",'Dados'!$A$359)</f>
        <v/>
      </c>
      <c r="D67" s="74">
        <f>IF(LEN('Dados'!$B$359)=0,"",'Dados'!$B$359)</f>
        <v/>
      </c>
      <c r="I67" s="74">
        <f>IF(LEN('Dados'!$C$359)=0,"",'Dados'!$C$359)</f>
        <v/>
      </c>
    </row>
    <row r="68" ht="30" customHeight="1">
      <c r="A68" s="68">
        <f>IF(LEN('Dados'!$A$360)=0,"",'Dados'!$A$360)</f>
        <v/>
      </c>
      <c r="D68" s="73">
        <f>IF(LEN('Dados'!$B$360)=0,"",'Dados'!$B$360)</f>
        <v/>
      </c>
      <c r="I68" s="73">
        <f>IF(LEN('Dados'!$C$360)=0,"",'Dados'!$C$360)</f>
        <v/>
      </c>
    </row>
    <row r="69" ht="30" customHeight="1">
      <c r="A69" s="70">
        <f>IF(LEN('Dados'!$A$361)=0,"",'Dados'!$A$361)</f>
        <v/>
      </c>
      <c r="D69" s="74">
        <f>IF(LEN('Dados'!$B$361)=0,"",'Dados'!$B$361)</f>
        <v/>
      </c>
      <c r="I69" s="74">
        <f>IF(LEN('Dados'!$C$361)=0,"",'Dados'!$C$361)</f>
        <v/>
      </c>
    </row>
    <row r="70" ht="30" customHeight="1">
      <c r="A70" s="68">
        <f>IF(LEN('Dados'!$A$362)=0,"",'Dados'!$A$362)</f>
        <v/>
      </c>
      <c r="D70" s="73">
        <f>IF(LEN('Dados'!$B$362)=0,"",'Dados'!$B$362)</f>
        <v/>
      </c>
      <c r="I70" s="73">
        <f>IF(LEN('Dados'!$C$362)=0,"",'Dados'!$C$362)</f>
        <v/>
      </c>
    </row>
    <row r="71" ht="30" customHeight="1">
      <c r="A71" s="70">
        <f>IF(LEN('Dados'!$A$363)=0,"",'Dados'!$A$363)</f>
        <v/>
      </c>
      <c r="D71" s="74">
        <f>IF(LEN('Dados'!$B$363)=0,"",'Dados'!$B$363)</f>
        <v/>
      </c>
      <c r="I71" s="74">
        <f>IF(LEN('Dados'!$C$363)=0,"",'Dados'!$C$363)</f>
        <v/>
      </c>
    </row>
    <row r="72" ht="30" customHeight="1">
      <c r="A72" s="68">
        <f>IF(LEN('Dados'!$A$364)=0,"",'Dados'!$A$364)</f>
        <v/>
      </c>
      <c r="D72" s="73">
        <f>IF(LEN('Dados'!$B$364)=0,"",'Dados'!$B$364)</f>
        <v/>
      </c>
      <c r="I72" s="73">
        <f>IF(LEN('Dados'!$C$364)=0,"",'Dados'!$C$364)</f>
        <v/>
      </c>
    </row>
    <row r="73" ht="30" customHeight="1">
      <c r="A73" s="70">
        <f>IF(LEN('Dados'!$A$365)=0,"",'Dados'!$A$365)</f>
        <v/>
      </c>
      <c r="D73" s="74">
        <f>IF(LEN('Dados'!$B$365)=0,"",'Dados'!$B$365)</f>
        <v/>
      </c>
      <c r="I73" s="74">
        <f>IF(LEN('Dados'!$C$365)=0,"",'Dados'!$C$365)</f>
        <v/>
      </c>
    </row>
    <row r="74"/>
    <row r="75">
      <c r="A75" s="14" t="inlineStr">
        <is>
          <t>Fraqueza e Resistência — 20.2 (Redução de Tenacidade só se o ataque acertar)</t>
        </is>
      </c>
    </row>
    <row r="76" ht="30" customHeight="1">
      <c r="A76" s="67" t="inlineStr">
        <is>
          <t>Situação</t>
        </is>
      </c>
      <c r="B76" s="15" t="n"/>
      <c r="C76" s="15" t="n"/>
      <c r="D76" s="67" t="inlineStr">
        <is>
          <t>Dano</t>
        </is>
      </c>
      <c r="E76" s="15" t="n"/>
      <c r="F76" s="15" t="n"/>
      <c r="G76" s="15" t="n"/>
      <c r="H76" s="67" t="inlineStr">
        <is>
          <t>Redução de Tenacidade</t>
        </is>
      </c>
      <c r="I76" s="15" t="n"/>
      <c r="J76" s="15" t="n"/>
      <c r="K76" s="15" t="n"/>
    </row>
    <row r="77">
      <c r="A77" s="68">
        <f>IF(LEN('Dados'!$A$391)=0,"",'Dados'!$A$391)</f>
        <v/>
      </c>
      <c r="D77" s="73">
        <f>IF(LEN('Dados'!$B$391)=0,"",'Dados'!$B$391)</f>
        <v/>
      </c>
      <c r="H77" s="73">
        <f>IF(LEN('Dados'!$C$391)=0,"",'Dados'!$C$391)</f>
        <v/>
      </c>
    </row>
    <row r="78">
      <c r="A78" s="70">
        <f>IF(LEN('Dados'!$A$392)=0,"",'Dados'!$A$392)</f>
        <v/>
      </c>
      <c r="D78" s="74">
        <f>IF(LEN('Dados'!$B$392)=0,"",'Dados'!$B$392)</f>
        <v/>
      </c>
      <c r="H78" s="74">
        <f>IF(LEN('Dados'!$C$392)=0,"",'Dados'!$C$392)</f>
        <v/>
      </c>
    </row>
    <row r="79">
      <c r="A79" s="68">
        <f>IF(LEN('Dados'!$A$393)=0,"",'Dados'!$A$393)</f>
        <v/>
      </c>
      <c r="D79" s="73">
        <f>IF(LEN('Dados'!$B$393)=0,"",'Dados'!$B$393)</f>
        <v/>
      </c>
      <c r="H79" s="73">
        <f>IF(LEN('Dados'!$C$393)=0,"",'Dados'!$C$393)</f>
        <v/>
      </c>
    </row>
    <row r="80"/>
    <row r="81">
      <c r="A81" s="14" t="inlineStr">
        <is>
          <t>Dano de Quebra — 20.5 (Quebra: dano + efeito + Atrasa 1 casa + Quebrado + 10 de Energia)</t>
        </is>
      </c>
    </row>
    <row r="82" ht="30" customHeight="1">
      <c r="A82" s="67" t="inlineStr">
        <is>
          <t>Elemento</t>
        </is>
      </c>
      <c r="B82" s="15" t="n"/>
      <c r="C82" s="67" t="inlineStr">
        <is>
          <t>Dano de Quebra</t>
        </is>
      </c>
      <c r="D82" s="15" t="n"/>
      <c r="E82" s="15" t="n"/>
      <c r="F82" s="67" t="inlineStr">
        <is>
          <t>Efeito de Quebra</t>
        </is>
      </c>
      <c r="G82" s="15" t="n"/>
      <c r="H82" s="15" t="n"/>
    </row>
    <row r="83">
      <c r="A83" s="68">
        <f>IF(LEN('Dados'!$A$381)=0,"",'Dados'!$A$381)</f>
        <v/>
      </c>
      <c r="C83" s="73">
        <f>IF(LEN('Dados'!$D$381)=0,"",'Dados'!$D$381)</f>
        <v/>
      </c>
      <c r="F83" s="73">
        <f>IF(LEN('Dados'!$H$381)=0,"",'Dados'!$H$381)</f>
        <v/>
      </c>
    </row>
    <row r="84">
      <c r="A84" s="70">
        <f>IF(LEN('Dados'!$A$382)=0,"",'Dados'!$A$382)</f>
        <v/>
      </c>
      <c r="C84" s="74">
        <f>IF(LEN('Dados'!$D$382)=0,"",'Dados'!$D$382)</f>
        <v/>
      </c>
      <c r="F84" s="74">
        <f>IF(LEN('Dados'!$H$382)=0,"",'Dados'!$H$382)</f>
        <v/>
      </c>
    </row>
    <row r="85">
      <c r="A85" s="68">
        <f>IF(LEN('Dados'!$A$383)=0,"",'Dados'!$A$383)</f>
        <v/>
      </c>
      <c r="C85" s="73">
        <f>IF(LEN('Dados'!$D$383)=0,"",'Dados'!$D$383)</f>
        <v/>
      </c>
      <c r="F85" s="73">
        <f>IF(LEN('Dados'!$H$383)=0,"",'Dados'!$H$383)</f>
        <v/>
      </c>
    </row>
    <row r="86">
      <c r="A86" s="70">
        <f>IF(LEN('Dados'!$A$384)=0,"",'Dados'!$A$384)</f>
        <v/>
      </c>
      <c r="C86" s="74">
        <f>IF(LEN('Dados'!$D$384)=0,"",'Dados'!$D$384)</f>
        <v/>
      </c>
      <c r="F86" s="74">
        <f>IF(LEN('Dados'!$H$384)=0,"",'Dados'!$H$384)</f>
        <v/>
      </c>
    </row>
    <row r="87">
      <c r="A87" s="68">
        <f>IF(LEN('Dados'!$A$385)=0,"",'Dados'!$A$385)</f>
        <v/>
      </c>
      <c r="C87" s="73">
        <f>IF(LEN('Dados'!$D$385)=0,"",'Dados'!$D$385)</f>
        <v/>
      </c>
      <c r="F87" s="73">
        <f>IF(LEN('Dados'!$H$385)=0,"",'Dados'!$H$385)</f>
        <v/>
      </c>
    </row>
    <row r="88">
      <c r="A88" s="70">
        <f>IF(LEN('Dados'!$A$386)=0,"",'Dados'!$A$386)</f>
        <v/>
      </c>
      <c r="C88" s="74">
        <f>IF(LEN('Dados'!$D$386)=0,"",'Dados'!$D$386)</f>
        <v/>
      </c>
      <c r="F88" s="74">
        <f>IF(LEN('Dados'!$H$386)=0,"",'Dados'!$H$386)</f>
        <v/>
      </c>
    </row>
    <row r="89">
      <c r="A89" s="68">
        <f>IF(LEN('Dados'!$A$387)=0,"",'Dados'!$A$387)</f>
        <v/>
      </c>
      <c r="C89" s="73">
        <f>IF(LEN('Dados'!$D$387)=0,"",'Dados'!$D$387)</f>
        <v/>
      </c>
      <c r="F89" s="73">
        <f>IF(LEN('Dados'!$H$387)=0,"",'Dados'!$H$387)</f>
        <v/>
      </c>
    </row>
    <row r="90"/>
    <row r="91">
      <c r="A91" s="14" t="inlineStr">
        <is>
          <t>Tetos que a mesa esquece — 26.6, 18.4 e 23.3</t>
        </is>
      </c>
    </row>
    <row r="92" ht="45" customHeight="1">
      <c r="A92" s="12" t="inlineStr">
        <is>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is>
      </c>
    </row>
    <row r="93">
      <c r="A93" s="4">
        <f>"Os seus tetos agora: bônus +"&amp;'Criação'!$J$14&amp;" · penalidade "&amp;'Criação'!$K$14&amp;" · RD "&amp;'Criação'!$H$14&amp;" · PV temporários "&amp;'Criação'!$I$14</f>
        <v/>
      </c>
    </row>
    <row r="94"/>
    <row r="95">
      <c r="A95" s="14" t="inlineStr">
        <is>
          <t>Condições — 21.5 (no máximo 5 instâncias; cura não remove; Descanso Longo remove todas)</t>
        </is>
      </c>
    </row>
    <row r="96" ht="30" customHeight="1">
      <c r="A96" s="67" t="inlineStr">
        <is>
          <t>Condição</t>
        </is>
      </c>
      <c r="B96" s="15" t="n"/>
      <c r="C96" s="67" t="inlineStr">
        <is>
          <t>Efeito</t>
        </is>
      </c>
      <c r="D96" s="15" t="n"/>
      <c r="E96" s="15" t="n"/>
      <c r="F96" s="15" t="n"/>
      <c r="G96" s="15" t="n"/>
      <c r="H96" s="67" t="inlineStr">
        <is>
          <t>Duração</t>
        </is>
      </c>
      <c r="I96" s="15" t="n"/>
      <c r="J96" s="67" t="inlineStr">
        <is>
          <t>Acúmulo</t>
        </is>
      </c>
      <c r="K96" s="15" t="n"/>
      <c r="L96" s="30" t="inlineStr">
        <is>
          <t>Só inimigos</t>
        </is>
      </c>
    </row>
    <row r="97" ht="30" customHeight="1">
      <c r="A97" s="68">
        <f>IF(LEN('Dados'!$A$405)=0,"",'Dados'!$A$405)</f>
        <v/>
      </c>
      <c r="C97" s="73">
        <f>IF(LEN('Dados'!$B$405)=0,"",'Dados'!$B$405)</f>
        <v/>
      </c>
      <c r="H97" s="73">
        <f>IF(LEN('Dados'!$C$405)=0,"",'Dados'!$C$405)</f>
        <v/>
      </c>
      <c r="J97" s="73">
        <f>IF(LEN('Dados'!$D$405)=0,"",'Dados'!$D$405)</f>
        <v/>
      </c>
      <c r="L97" s="69">
        <f>IF(LEN('Dados'!$E$405)=0,"",'Dados'!$E$405)</f>
        <v/>
      </c>
    </row>
    <row r="98" ht="30" customHeight="1">
      <c r="A98" s="70">
        <f>IF(LEN('Dados'!$A$406)=0,"",'Dados'!$A$406)</f>
        <v/>
      </c>
      <c r="C98" s="74">
        <f>IF(LEN('Dados'!$B$406)=0,"",'Dados'!$B$406)</f>
        <v/>
      </c>
      <c r="H98" s="74">
        <f>IF(LEN('Dados'!$C$406)=0,"",'Dados'!$C$406)</f>
        <v/>
      </c>
      <c r="J98" s="74">
        <f>IF(LEN('Dados'!$D$406)=0,"",'Dados'!$D$406)</f>
        <v/>
      </c>
      <c r="L98" s="71">
        <f>IF(LEN('Dados'!$E$406)=0,"",'Dados'!$E$406)</f>
        <v/>
      </c>
    </row>
    <row r="99" ht="30" customHeight="1">
      <c r="A99" s="68">
        <f>IF(LEN('Dados'!$A$407)=0,"",'Dados'!$A$407)</f>
        <v/>
      </c>
      <c r="C99" s="73">
        <f>IF(LEN('Dados'!$B$407)=0,"",'Dados'!$B$407)</f>
        <v/>
      </c>
      <c r="H99" s="73">
        <f>IF(LEN('Dados'!$C$407)=0,"",'Dados'!$C$407)</f>
        <v/>
      </c>
      <c r="J99" s="73">
        <f>IF(LEN('Dados'!$D$407)=0,"",'Dados'!$D$407)</f>
        <v/>
      </c>
      <c r="L99" s="69">
        <f>IF(LEN('Dados'!$E$407)=0,"",'Dados'!$E$407)</f>
        <v/>
      </c>
    </row>
    <row r="100" ht="30" customHeight="1">
      <c r="A100" s="70">
        <f>IF(LEN('Dados'!$A$408)=0,"",'Dados'!$A$408)</f>
        <v/>
      </c>
      <c r="C100" s="74">
        <f>IF(LEN('Dados'!$B$408)=0,"",'Dados'!$B$408)</f>
        <v/>
      </c>
      <c r="H100" s="74">
        <f>IF(LEN('Dados'!$C$408)=0,"",'Dados'!$C$408)</f>
        <v/>
      </c>
      <c r="J100" s="74">
        <f>IF(LEN('Dados'!$D$408)=0,"",'Dados'!$D$408)</f>
        <v/>
      </c>
      <c r="L100" s="71">
        <f>IF(LEN('Dados'!$E$408)=0,"",'Dados'!$E$408)</f>
        <v/>
      </c>
    </row>
    <row r="101" ht="30" customHeight="1">
      <c r="A101" s="68">
        <f>IF(LEN('Dados'!$A$409)=0,"",'Dados'!$A$409)</f>
        <v/>
      </c>
      <c r="C101" s="73">
        <f>IF(LEN('Dados'!$B$409)=0,"",'Dados'!$B$409)</f>
        <v/>
      </c>
      <c r="H101" s="73">
        <f>IF(LEN('Dados'!$C$409)=0,"",'Dados'!$C$409)</f>
        <v/>
      </c>
      <c r="J101" s="73">
        <f>IF(LEN('Dados'!$D$409)=0,"",'Dados'!$D$409)</f>
        <v/>
      </c>
      <c r="L101" s="69">
        <f>IF(LEN('Dados'!$E$409)=0,"",'Dados'!$E$409)</f>
        <v/>
      </c>
    </row>
    <row r="102" ht="30" customHeight="1">
      <c r="A102" s="70">
        <f>IF(LEN('Dados'!$A$410)=0,"",'Dados'!$A$410)</f>
        <v/>
      </c>
      <c r="C102" s="74">
        <f>IF(LEN('Dados'!$B$410)=0,"",'Dados'!$B$410)</f>
        <v/>
      </c>
      <c r="H102" s="74">
        <f>IF(LEN('Dados'!$C$410)=0,"",'Dados'!$C$410)</f>
        <v/>
      </c>
      <c r="J102" s="74">
        <f>IF(LEN('Dados'!$D$410)=0,"",'Dados'!$D$410)</f>
        <v/>
      </c>
      <c r="L102" s="71">
        <f>IF(LEN('Dados'!$E$410)=0,"",'Dados'!$E$410)</f>
        <v/>
      </c>
    </row>
    <row r="103" ht="30" customHeight="1">
      <c r="A103" s="68">
        <f>IF(LEN('Dados'!$A$411)=0,"",'Dados'!$A$411)</f>
        <v/>
      </c>
      <c r="C103" s="73">
        <f>IF(LEN('Dados'!$B$411)=0,"",'Dados'!$B$411)</f>
        <v/>
      </c>
      <c r="H103" s="73">
        <f>IF(LEN('Dados'!$C$411)=0,"",'Dados'!$C$411)</f>
        <v/>
      </c>
      <c r="J103" s="73">
        <f>IF(LEN('Dados'!$D$411)=0,"",'Dados'!$D$411)</f>
        <v/>
      </c>
      <c r="L103" s="69">
        <f>IF(LEN('Dados'!$E$411)=0,"",'Dados'!$E$411)</f>
        <v/>
      </c>
    </row>
    <row r="104" ht="30" customHeight="1">
      <c r="A104" s="70">
        <f>IF(LEN('Dados'!$A$412)=0,"",'Dados'!$A$412)</f>
        <v/>
      </c>
      <c r="C104" s="74">
        <f>IF(LEN('Dados'!$B$412)=0,"",'Dados'!$B$412)</f>
        <v/>
      </c>
      <c r="H104" s="74">
        <f>IF(LEN('Dados'!$C$412)=0,"",'Dados'!$C$412)</f>
        <v/>
      </c>
      <c r="J104" s="74">
        <f>IF(LEN('Dados'!$D$412)=0,"",'Dados'!$D$412)</f>
        <v/>
      </c>
      <c r="L104" s="71">
        <f>IF(LEN('Dados'!$E$412)=0,"",'Dados'!$E$412)</f>
        <v/>
      </c>
    </row>
    <row r="105" ht="30" customHeight="1">
      <c r="A105" s="68">
        <f>IF(LEN('Dados'!$A$413)=0,"",'Dados'!$A$413)</f>
        <v/>
      </c>
      <c r="C105" s="73">
        <f>IF(LEN('Dados'!$B$413)=0,"",'Dados'!$B$413)</f>
        <v/>
      </c>
      <c r="H105" s="73">
        <f>IF(LEN('Dados'!$C$413)=0,"",'Dados'!$C$413)</f>
        <v/>
      </c>
      <c r="J105" s="73">
        <f>IF(LEN('Dados'!$D$413)=0,"",'Dados'!$D$413)</f>
        <v/>
      </c>
      <c r="L105" s="69">
        <f>IF(LEN('Dados'!$E$413)=0,"",'Dados'!$E$413)</f>
        <v/>
      </c>
    </row>
    <row r="106" ht="30" customHeight="1">
      <c r="A106" s="70">
        <f>IF(LEN('Dados'!$A$414)=0,"",'Dados'!$A$414)</f>
        <v/>
      </c>
      <c r="C106" s="74">
        <f>IF(LEN('Dados'!$B$414)=0,"",'Dados'!$B$414)</f>
        <v/>
      </c>
      <c r="H106" s="74">
        <f>IF(LEN('Dados'!$C$414)=0,"",'Dados'!$C$414)</f>
        <v/>
      </c>
      <c r="J106" s="74">
        <f>IF(LEN('Dados'!$D$414)=0,"",'Dados'!$D$414)</f>
        <v/>
      </c>
      <c r="L106" s="71">
        <f>IF(LEN('Dados'!$E$414)=0,"",'Dados'!$E$414)</f>
        <v/>
      </c>
    </row>
    <row r="107" ht="30" customHeight="1">
      <c r="A107" s="67" t="inlineStr">
        <is>
          <t>Condição</t>
        </is>
      </c>
      <c r="B107" s="15" t="n"/>
      <c r="C107" s="67" t="inlineStr">
        <is>
          <t>Efeito</t>
        </is>
      </c>
      <c r="D107" s="15" t="n"/>
      <c r="E107" s="15" t="n"/>
      <c r="F107" s="15" t="n"/>
      <c r="G107" s="15" t="n"/>
      <c r="H107" s="67" t="inlineStr">
        <is>
          <t>Duração</t>
        </is>
      </c>
      <c r="I107" s="15" t="n"/>
      <c r="J107" s="67" t="inlineStr">
        <is>
          <t>Acúmulo</t>
        </is>
      </c>
      <c r="K107" s="15" t="n"/>
      <c r="L107" s="30" t="inlineStr">
        <is>
          <t>Só inimigos</t>
        </is>
      </c>
    </row>
    <row r="108" ht="30" customHeight="1">
      <c r="A108" s="68">
        <f>IF(LEN('Dados'!$A$415)=0,"",'Dados'!$A$415)</f>
        <v/>
      </c>
      <c r="C108" s="73">
        <f>IF(LEN('Dados'!$B$415)=0,"",'Dados'!$B$415)</f>
        <v/>
      </c>
      <c r="H108" s="73">
        <f>IF(LEN('Dados'!$C$415)=0,"",'Dados'!$C$415)</f>
        <v/>
      </c>
      <c r="J108" s="73">
        <f>IF(LEN('Dados'!$D$415)=0,"",'Dados'!$D$415)</f>
        <v/>
      </c>
      <c r="L108" s="69">
        <f>IF(LEN('Dados'!$E$415)=0,"",'Dados'!$E$415)</f>
        <v/>
      </c>
    </row>
    <row r="109" ht="30" customHeight="1">
      <c r="A109" s="70">
        <f>IF(LEN('Dados'!$A$416)=0,"",'Dados'!$A$416)</f>
        <v/>
      </c>
      <c r="C109" s="74">
        <f>IF(LEN('Dados'!$B$416)=0,"",'Dados'!$B$416)</f>
        <v/>
      </c>
      <c r="H109" s="74">
        <f>IF(LEN('Dados'!$C$416)=0,"",'Dados'!$C$416)</f>
        <v/>
      </c>
      <c r="J109" s="74">
        <f>IF(LEN('Dados'!$D$416)=0,"",'Dados'!$D$416)</f>
        <v/>
      </c>
      <c r="L109" s="71">
        <f>IF(LEN('Dados'!$E$416)=0,"",'Dados'!$E$416)</f>
        <v/>
      </c>
    </row>
    <row r="110" ht="30" customHeight="1">
      <c r="A110" s="68">
        <f>IF(LEN('Dados'!$A$417)=0,"",'Dados'!$A$417)</f>
        <v/>
      </c>
      <c r="C110" s="73">
        <f>IF(LEN('Dados'!$B$417)=0,"",'Dados'!$B$417)</f>
        <v/>
      </c>
      <c r="H110" s="73">
        <f>IF(LEN('Dados'!$C$417)=0,"",'Dados'!$C$417)</f>
        <v/>
      </c>
      <c r="J110" s="73">
        <f>IF(LEN('Dados'!$D$417)=0,"",'Dados'!$D$417)</f>
        <v/>
      </c>
      <c r="L110" s="69">
        <f>IF(LEN('Dados'!$E$417)=0,"",'Dados'!$E$417)</f>
        <v/>
      </c>
    </row>
    <row r="111" ht="30" customHeight="1">
      <c r="A111" s="70">
        <f>IF(LEN('Dados'!$A$418)=0,"",'Dados'!$A$418)</f>
        <v/>
      </c>
      <c r="C111" s="74">
        <f>IF(LEN('Dados'!$B$418)=0,"",'Dados'!$B$418)</f>
        <v/>
      </c>
      <c r="H111" s="74">
        <f>IF(LEN('Dados'!$C$418)=0,"",'Dados'!$C$418)</f>
        <v/>
      </c>
      <c r="J111" s="74">
        <f>IF(LEN('Dados'!$D$418)=0,"",'Dados'!$D$418)</f>
        <v/>
      </c>
      <c r="L111" s="71">
        <f>IF(LEN('Dados'!$E$418)=0,"",'Dados'!$E$418)</f>
        <v/>
      </c>
    </row>
    <row r="112" ht="30" customHeight="1">
      <c r="A112" s="68">
        <f>IF(LEN('Dados'!$A$419)=0,"",'Dados'!$A$419)</f>
        <v/>
      </c>
      <c r="C112" s="73">
        <f>IF(LEN('Dados'!$B$419)=0,"",'Dados'!$B$419)</f>
        <v/>
      </c>
      <c r="H112" s="73">
        <f>IF(LEN('Dados'!$C$419)=0,"",'Dados'!$C$419)</f>
        <v/>
      </c>
      <c r="J112" s="73">
        <f>IF(LEN('Dados'!$D$419)=0,"",'Dados'!$D$419)</f>
        <v/>
      </c>
      <c r="L112" s="69">
        <f>IF(LEN('Dados'!$E$419)=0,"",'Dados'!$E$419)</f>
        <v/>
      </c>
    </row>
    <row r="113" ht="30" customHeight="1">
      <c r="A113" s="70">
        <f>IF(LEN('Dados'!$A$420)=0,"",'Dados'!$A$420)</f>
        <v/>
      </c>
      <c r="C113" s="74">
        <f>IF(LEN('Dados'!$B$420)=0,"",'Dados'!$B$420)</f>
        <v/>
      </c>
      <c r="H113" s="74">
        <f>IF(LEN('Dados'!$C$420)=0,"",'Dados'!$C$420)</f>
        <v/>
      </c>
      <c r="J113" s="74">
        <f>IF(LEN('Dados'!$D$420)=0,"",'Dados'!$D$420)</f>
        <v/>
      </c>
      <c r="L113" s="71">
        <f>IF(LEN('Dados'!$E$420)=0,"",'Dados'!$E$420)</f>
        <v/>
      </c>
    </row>
    <row r="114"/>
    <row r="115">
      <c r="A115" s="14" t="inlineStr">
        <is>
          <t>Morrendo, Descanso e variantes — 23.4, 23.6 e 06.4</t>
        </is>
      </c>
    </row>
    <row r="116" ht="45" customHeight="1">
      <c r="A116" s="12" t="inlineStr">
        <is>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is>
      </c>
    </row>
    <row r="117" ht="30" customHeight="1">
      <c r="A117" s="4">
        <f>"Descanso Curto: 1 hora, até 2 por dia, (2 × nível) + Bônus de Vigor = "&amp;'Em Jogo'!$J$11&amp;" PV para você. Descanso Longo: 8 horas, 1 por dia, todos os PV, remove todas as condições e devolve o Esforço. A Energia não zera; o PH volta no começo de cada combate."</f>
        <v/>
      </c>
    </row>
    <row r="118" ht="30" customHeight="1">
      <c r="A118" s="12" t="inlineStr">
        <is>
          <t>Variante oficial — PV rolado (06.4): role 1d20 no lugar do valor fixo de cada nível, com piso no valor fixo menos 3 e teto no valor fixo mais 5. A ficha calcula só o valor fixo: com a variante, o Mestre ajusta os PV à mão.</t>
        </is>
      </c>
    </row>
    <row r="119">
      <c r="A119" s="12" t="inlineStr">
        <is>
          <t>Falhe para frente: uma falha em Teste de Perícia nunca trava a cena. A cena avança com custo.</t>
        </is>
      </c>
    </row>
  </sheetData>
  <mergeCells count="184">
    <mergeCell ref="H53:I53"/>
    <mergeCell ref="I72:K72"/>
    <mergeCell ref="A98:B98"/>
    <mergeCell ref="F85:H85"/>
    <mergeCell ref="A107:B107"/>
    <mergeCell ref="A88:B88"/>
    <mergeCell ref="H113:I113"/>
    <mergeCell ref="H76:K76"/>
    <mergeCell ref="C97:G97"/>
    <mergeCell ref="E37:H37"/>
    <mergeCell ref="A71:C71"/>
    <mergeCell ref="C109:G109"/>
    <mergeCell ref="A99:B99"/>
    <mergeCell ref="I73:K73"/>
    <mergeCell ref="H52:I52"/>
    <mergeCell ref="H108:I108"/>
    <mergeCell ref="D66:H66"/>
    <mergeCell ref="A91:L91"/>
    <mergeCell ref="J108:K108"/>
    <mergeCell ref="A101:B101"/>
    <mergeCell ref="A115:L115"/>
    <mergeCell ref="D77:G77"/>
    <mergeCell ref="A85:B85"/>
    <mergeCell ref="A93:L93"/>
    <mergeCell ref="I65:K65"/>
    <mergeCell ref="A77:C77"/>
    <mergeCell ref="C110:G110"/>
    <mergeCell ref="F87:H87"/>
    <mergeCell ref="H96:I96"/>
    <mergeCell ref="A109:B109"/>
    <mergeCell ref="A92:L92"/>
    <mergeCell ref="H105:I105"/>
    <mergeCell ref="H79:K79"/>
    <mergeCell ref="E34:H34"/>
    <mergeCell ref="F89:H89"/>
    <mergeCell ref="A111:B111"/>
    <mergeCell ref="A6:L6"/>
    <mergeCell ref="D78:G78"/>
    <mergeCell ref="H107:I107"/>
    <mergeCell ref="A33:D33"/>
    <mergeCell ref="A69:C69"/>
    <mergeCell ref="A119:L119"/>
    <mergeCell ref="J110:K110"/>
    <mergeCell ref="C101:G101"/>
    <mergeCell ref="E36:H36"/>
    <mergeCell ref="C85:E85"/>
    <mergeCell ref="A66:C66"/>
    <mergeCell ref="A35:D35"/>
    <mergeCell ref="C84:E84"/>
    <mergeCell ref="C108:G108"/>
    <mergeCell ref="A103:B103"/>
    <mergeCell ref="A75:L75"/>
    <mergeCell ref="H50:I50"/>
    <mergeCell ref="A3:L3"/>
    <mergeCell ref="H102:I102"/>
    <mergeCell ref="J102:K102"/>
    <mergeCell ref="D65:H65"/>
    <mergeCell ref="A87:B87"/>
    <mergeCell ref="A95:L95"/>
    <mergeCell ref="C113:G113"/>
    <mergeCell ref="C103:G103"/>
    <mergeCell ref="J99:K99"/>
    <mergeCell ref="C100:G100"/>
    <mergeCell ref="C112:G112"/>
    <mergeCell ref="A5:L5"/>
    <mergeCell ref="A32:L32"/>
    <mergeCell ref="H49:I49"/>
    <mergeCell ref="A89:B89"/>
    <mergeCell ref="A105:B105"/>
    <mergeCell ref="J101:K101"/>
    <mergeCell ref="A81:L81"/>
    <mergeCell ref="H109:I109"/>
    <mergeCell ref="A43:L43"/>
    <mergeCell ref="J103:K103"/>
    <mergeCell ref="J100:K100"/>
    <mergeCell ref="E38:H38"/>
    <mergeCell ref="C87:E87"/>
    <mergeCell ref="A67:C67"/>
    <mergeCell ref="A40:L40"/>
    <mergeCell ref="H111:I111"/>
    <mergeCell ref="A73:C73"/>
    <mergeCell ref="A100:B100"/>
    <mergeCell ref="C106:G106"/>
    <mergeCell ref="D68:H68"/>
    <mergeCell ref="C89:E89"/>
    <mergeCell ref="H48:I48"/>
    <mergeCell ref="H104:I104"/>
    <mergeCell ref="D67:H67"/>
    <mergeCell ref="C88:E88"/>
    <mergeCell ref="A102:B102"/>
    <mergeCell ref="H97:I97"/>
    <mergeCell ref="F86:H86"/>
    <mergeCell ref="J97:K97"/>
    <mergeCell ref="A83:B83"/>
    <mergeCell ref="H106:I106"/>
    <mergeCell ref="D69:H69"/>
    <mergeCell ref="J111:K111"/>
    <mergeCell ref="I66:K66"/>
    <mergeCell ref="C104:G104"/>
    <mergeCell ref="A118:L118"/>
    <mergeCell ref="A18:L18"/>
    <mergeCell ref="I68:K68"/>
    <mergeCell ref="A42:L42"/>
    <mergeCell ref="D79:G79"/>
    <mergeCell ref="A34:D34"/>
    <mergeCell ref="I67:K67"/>
    <mergeCell ref="C99:G99"/>
    <mergeCell ref="A22:L22"/>
    <mergeCell ref="H110:I110"/>
    <mergeCell ref="A36:D36"/>
    <mergeCell ref="A72:C72"/>
    <mergeCell ref="F82:H82"/>
    <mergeCell ref="A104:B104"/>
    <mergeCell ref="H100:I100"/>
    <mergeCell ref="A113:B113"/>
    <mergeCell ref="D71:H71"/>
    <mergeCell ref="J113:K113"/>
    <mergeCell ref="A106:B106"/>
    <mergeCell ref="D76:G76"/>
    <mergeCell ref="A37:D37"/>
    <mergeCell ref="D10:I10"/>
    <mergeCell ref="A96:B96"/>
    <mergeCell ref="A64:L64"/>
    <mergeCell ref="J106:K106"/>
    <mergeCell ref="D73:H73"/>
    <mergeCell ref="A79:C79"/>
    <mergeCell ref="I70:K70"/>
    <mergeCell ref="F84:H84"/>
    <mergeCell ref="A70:C70"/>
    <mergeCell ref="C96:G96"/>
    <mergeCell ref="A54:L54"/>
    <mergeCell ref="A82:B82"/>
    <mergeCell ref="A41:L41"/>
    <mergeCell ref="H103:I103"/>
    <mergeCell ref="H112:I112"/>
    <mergeCell ref="A38:D38"/>
    <mergeCell ref="I71:K71"/>
    <mergeCell ref="H77:K77"/>
    <mergeCell ref="C98:G98"/>
    <mergeCell ref="J112:K112"/>
    <mergeCell ref="C107:G107"/>
    <mergeCell ref="A56:L56"/>
    <mergeCell ref="A110:B110"/>
    <mergeCell ref="A76:C76"/>
    <mergeCell ref="H46:I46"/>
    <mergeCell ref="A108:B108"/>
    <mergeCell ref="A116:L116"/>
    <mergeCell ref="H98:I98"/>
    <mergeCell ref="H51:I51"/>
    <mergeCell ref="A84:B84"/>
    <mergeCell ref="J98:K98"/>
    <mergeCell ref="A8:L8"/>
    <mergeCell ref="J107:K107"/>
    <mergeCell ref="H78:K78"/>
    <mergeCell ref="E33:H33"/>
    <mergeCell ref="C82:E82"/>
    <mergeCell ref="D70:H70"/>
    <mergeCell ref="J104:K104"/>
    <mergeCell ref="C105:G105"/>
    <mergeCell ref="A68:C68"/>
    <mergeCell ref="A86:B86"/>
    <mergeCell ref="D72:H72"/>
    <mergeCell ref="E35:H35"/>
    <mergeCell ref="A117:L117"/>
    <mergeCell ref="I69:K69"/>
    <mergeCell ref="H99:I99"/>
    <mergeCell ref="F88:H88"/>
    <mergeCell ref="C86:E86"/>
    <mergeCell ref="H47:I47"/>
    <mergeCell ref="C83:E83"/>
    <mergeCell ref="J109:K109"/>
    <mergeCell ref="A97:B97"/>
    <mergeCell ref="J96:K96"/>
    <mergeCell ref="A30:L30"/>
    <mergeCell ref="J105:K105"/>
    <mergeCell ref="H101:I101"/>
    <mergeCell ref="A112:B112"/>
    <mergeCell ref="A1:L1"/>
    <mergeCell ref="A45:L45"/>
    <mergeCell ref="A78:C78"/>
    <mergeCell ref="C102:G102"/>
    <mergeCell ref="F83:H83"/>
    <mergeCell ref="C111:G111"/>
    <mergeCell ref="A65:C6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601"/>
  <sheetViews>
    <sheetView showGridLines="1" workbookViewId="0">
      <selection activeCell="A1" sqref="A1"/>
    </sheetView>
  </sheetViews>
  <sheetFormatPr baseColWidth="8" defaultRowHeight="15"/>
  <cols>
    <col width="26" customWidth="1" min="1" max="1"/>
    <col width="20" customWidth="1" min="2" max="2"/>
    <col width="20" customWidth="1" min="3" max="3"/>
    <col width="18" customWidth="1" min="4" max="4"/>
    <col width="18" customWidth="1" min="5" max="5"/>
    <col width="40" customWidth="1" min="6" max="6"/>
    <col width="80" customWidth="1" min="7" max="7"/>
    <col width="16" customWidth="1" min="8" max="8"/>
    <col width="16" customWidth="1" min="9" max="9"/>
    <col width="14" customWidth="1" min="10" max="10"/>
    <col width="15.2" customWidth="1" min="11" max="11"/>
    <col width="18" customWidth="1" min="12" max="12"/>
    <col width="3" customWidth="1" min="13" max="13"/>
    <col width="3"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s>
  <sheetData>
    <row r="1" ht="24" customHeight="1">
      <c r="A1" s="1" t="inlineStr">
        <is>
          <t>Dados — Explorando Galáxias v1.2</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livro usadas pelas fórmulas. Não edite: o gerador reescreve esta aba.</t>
        </is>
      </c>
    </row>
    <row r="4">
      <c r="O4" s="14" t="inlineStr">
        <is>
          <t>Listas de validação (uma por coluna; a fonte está no título)</t>
        </is>
      </c>
    </row>
    <row r="5" ht="37" customHeight="1">
      <c r="A5" s="14" t="inlineStr">
        <is>
          <t>Raças — capítulo 05 (tabela de consulta rápida e traços)</t>
        </is>
      </c>
      <c r="O5" s="7" t="inlineStr">
        <is>
          <t>Raças — cap. 05</t>
        </is>
      </c>
      <c r="P5" s="7" t="inlineStr">
        <is>
          <t>Caminhos — cap. 06.3</t>
        </is>
      </c>
      <c r="Q5" s="7" t="inlineStr">
        <is>
          <t>Atributos — cap. 04.1</t>
        </is>
      </c>
      <c r="R5" s="7" t="inlineStr">
        <is>
          <t>Elementos — cap. 20.1</t>
        </is>
      </c>
      <c r="S5" s="7" t="inlineStr">
        <is>
          <t>Armaduras — cap. 24.1</t>
        </is>
      </c>
      <c r="T5" s="7" t="inlineStr">
        <is>
          <t>Categorias de arma — cap. 24.2</t>
        </is>
      </c>
      <c r="U5" s="7" t="inlineStr">
        <is>
          <t>Atributo da arma Média — cap. 24.2</t>
        </is>
      </c>
      <c r="V5" s="7" t="inlineStr">
        <is>
          <t>Propriedade especial — cap. 24.2</t>
        </is>
      </c>
      <c r="W5" s="7" t="inlineStr">
        <is>
          <t>Tipos de Habilidade — cap. 16.1</t>
        </is>
      </c>
      <c r="X5" s="7" t="inlineStr">
        <is>
          <t>Alcances — cap. 18</t>
        </is>
      </c>
      <c r="Y5" s="7" t="inlineStr">
        <is>
          <t>Condições do personagem — cap. 21.5</t>
        </is>
      </c>
      <c r="Z5" s="7" t="inlineStr">
        <is>
          <t>Perícias — cap. 04.4</t>
        </is>
      </c>
      <c r="AA5" s="7" t="inlineStr">
        <is>
          <t>Testes de Resistência — cap. 04.6</t>
        </is>
      </c>
      <c r="AB5" s="7" t="inlineStr">
        <is>
          <t>Slots de Relíquia — cap. 25.3</t>
        </is>
      </c>
      <c r="AC5" s="7" t="inlineStr">
        <is>
          <t>Conceitos do Memoespírito — cap. 11.3</t>
        </is>
      </c>
      <c r="AD5" s="7" t="inlineStr">
        <is>
          <t>Funções do Memoespírito — cap. 11.3</t>
        </is>
      </c>
      <c r="AE5" s="7" t="inlineStr">
        <is>
          <t>Bônus menores do Memoespírito — cap. 11.3</t>
        </is>
      </c>
      <c r="AF5" s="7" t="inlineStr">
        <is>
          <t>Evoluções do Memoespírito — cap. 11.3</t>
        </is>
      </c>
      <c r="AG5" s="7" t="inlineStr">
        <is>
          <t>Sim/Não — convenção da planilha</t>
        </is>
      </c>
      <c r="AH5" s="7" t="inlineStr">
        <is>
          <t>Método de atributos — cap. 03</t>
        </is>
      </c>
      <c r="AI5" s="7" t="inlineStr">
        <is>
          <t>Bônus racial: +2 em um, ou +1 em cada — cap. 05</t>
        </is>
      </c>
      <c r="AJ5" s="7" t="inlineStr">
        <is>
          <t>Aumento de Atributo — cap. 04</t>
        </is>
      </c>
      <c r="AK5" s="7" t="inlineStr">
        <is>
          <t>Resolução — cap. 16</t>
        </is>
      </c>
      <c r="AL5" s="7" t="inlineStr">
        <is>
          <t>Atributo da Sintonia — cap. 04</t>
        </is>
      </c>
      <c r="AM5" s="7" t="inlineStr">
        <is>
          <t>Alvo do Bônus Maior — cap. 25</t>
        </is>
      </c>
      <c r="AN5" s="7" t="inlineStr">
        <is>
          <t>Cone: numérico ou PV — cap. 25</t>
        </is>
      </c>
      <c r="AO5" s="7" t="inlineStr">
        <is>
          <t>Conjunto — cap. 25</t>
        </is>
      </c>
      <c r="AP5" s="7" t="inlineStr">
        <is>
          <t>Bônus de 2 peças — cap. 25</t>
        </is>
      </c>
      <c r="AQ5" s="7" t="inlineStr">
        <is>
          <t>Ressonância I — cap. 26</t>
        </is>
      </c>
      <c r="AR5" s="7" t="inlineStr">
        <is>
          <t>Ressonância II — cap. 26</t>
        </is>
      </c>
      <c r="AS5" s="7" t="inlineStr">
        <is>
          <t>Ressonância III — cap. 26</t>
        </is>
      </c>
      <c r="AT5" s="7" t="inlineStr">
        <is>
          <t>Ressonância IV — cap. 26</t>
        </is>
      </c>
    </row>
    <row r="6" ht="37" customHeight="1">
      <c r="A6" s="7" t="inlineStr">
        <is>
          <t>Raça</t>
        </is>
      </c>
      <c r="B6" s="7" t="inlineStr">
        <is>
          <t>Bônus de atributo</t>
        </is>
      </c>
      <c r="C6" s="7" t="inlineStr">
        <is>
          <t>Bônus livre (+2 em um ou +1 em dois)</t>
        </is>
      </c>
      <c r="D6" s="7" t="inlineStr">
        <is>
          <t>Opção 1 do +2</t>
        </is>
      </c>
      <c r="E6" s="7" t="inlineStr">
        <is>
          <t>Opção 2 do +2</t>
        </is>
      </c>
      <c r="F6" s="7" t="inlineStr">
        <is>
          <t>Traços (resumo)</t>
        </is>
      </c>
      <c r="G6" s="7" t="inlineStr">
        <is>
          <t>Traços (texto do livro)</t>
        </is>
      </c>
      <c r="O6" s="22" t="inlineStr">
        <is>
          <t>Humano</t>
        </is>
      </c>
      <c r="P6" s="22" t="inlineStr">
        <is>
          <t>A Destruição</t>
        </is>
      </c>
      <c r="Q6" s="22" t="inlineStr">
        <is>
          <t>Poder</t>
        </is>
      </c>
      <c r="R6" s="22" t="inlineStr">
        <is>
          <t>Físico</t>
        </is>
      </c>
      <c r="S6" s="22" t="inlineStr">
        <is>
          <t>Leve</t>
        </is>
      </c>
      <c r="T6" s="22" t="inlineStr">
        <is>
          <t>Leve</t>
        </is>
      </c>
      <c r="U6" s="22" t="inlineStr">
        <is>
          <t>Poder</t>
        </is>
      </c>
      <c r="V6" s="22" t="inlineStr">
        <is>
          <t>Nenhuma</t>
        </is>
      </c>
      <c r="W6" s="22" t="inlineStr">
        <is>
          <t>Dano</t>
        </is>
      </c>
      <c r="X6" s="22" t="inlineStr">
        <is>
          <t>Pessoal</t>
        </is>
      </c>
      <c r="Y6" s="22" t="inlineStr">
        <is>
          <t>Sangramento</t>
        </is>
      </c>
      <c r="Z6" s="22" t="inlineStr">
        <is>
          <t>Atletismo</t>
        </is>
      </c>
      <c r="AA6" s="22" t="inlineStr">
        <is>
          <t>Potência Física</t>
        </is>
      </c>
      <c r="AB6" s="22" t="inlineStr">
        <is>
          <t>Cabeça</t>
        </is>
      </c>
      <c r="AC6" s="22" t="inlineStr">
        <is>
          <t>Memória de Guerra</t>
        </is>
      </c>
      <c r="AD6" s="22" t="inlineStr">
        <is>
          <t>Predador</t>
        </is>
      </c>
      <c r="AE6" s="22" t="inlineStr">
        <is>
          <t>Força Espiritual</t>
        </is>
      </c>
      <c r="AF6" s="22" t="inlineStr">
        <is>
          <t>Forma Completa</t>
        </is>
      </c>
      <c r="AG6" s="22" t="inlineStr">
        <is>
          <t>Sim</t>
        </is>
      </c>
      <c r="AH6" s="22" t="inlineStr">
        <is>
          <t>Array oficial</t>
        </is>
      </c>
      <c r="AI6" s="22" t="inlineStr">
        <is>
          <t>Um Atributo (+2)</t>
        </is>
      </c>
      <c r="AJ6" s="22" t="inlineStr">
        <is>
          <t>Um Atributo (+2)</t>
        </is>
      </c>
      <c r="AK6" s="22" t="inlineStr">
        <is>
          <t>Teste de Ataque</t>
        </is>
      </c>
      <c r="AL6" s="22" t="inlineStr">
        <is>
          <t>Discernimento</t>
        </is>
      </c>
      <c r="AM6" s="22" t="inlineStr">
        <is>
          <t>PV máximos</t>
        </is>
      </c>
      <c r="AN6" s="22" t="inlineStr">
        <is>
          <t>Numérico</t>
        </is>
      </c>
      <c r="AO6" s="22" t="inlineStr">
        <is>
          <t>A</t>
        </is>
      </c>
      <c r="AP6" s="22" t="inlineStr">
        <is>
          <t>Um tipo de rolagem +1</t>
        </is>
      </c>
      <c r="AQ6" s="4" t="inlineStr">
        <is>
          <t>Habilidade de Nível 3 ou menor sem PH (1 por combate)</t>
        </is>
      </c>
      <c r="AR6" s="22" t="inlineStr">
        <is>
          <t>Ultimate com efeito extra</t>
        </is>
      </c>
      <c r="AS6" s="4" t="inlineStr">
        <is>
          <t>Uma Habilidade sobe 1 Nível de efeito</t>
        </is>
      </c>
      <c r="AT6" s="4" t="inlineStr">
        <is>
          <t>Ultimate com 80 de Energia</t>
        </is>
      </c>
    </row>
    <row r="7" ht="172" customHeight="1">
      <c r="A7" s="58" t="inlineStr">
        <is>
          <t>Humano</t>
        </is>
      </c>
      <c r="B7" s="4" t="inlineStr">
        <is>
          <t>+2 em um, ou +1 em dois</t>
        </is>
      </c>
      <c r="C7" s="22" t="inlineStr">
        <is>
          <t>Sim</t>
        </is>
      </c>
      <c r="D7" s="22" t="inlineStr"/>
      <c r="E7" s="22" t="inlineStr"/>
      <c r="F7" s="4" t="inlineStr">
        <is>
          <t>Força de Vontade (ativável: Esforço, 1 ponto, re-rola um dado) · Vocação Livre (passivo: +1 Perícia na criação)</t>
        </is>
      </c>
      <c r="G7" s="4" t="inlineStr">
        <is>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 Vocação Livre: Humano aprende o ofício do lugar onde está. Na criação, você escolhe 1 Perícia a mais do que o seu Bônus de Sincronia entregaria (capítulo 04). • A Perícia extra é escolhida como as outras, na criação, e é permanente. • Ela não vem com Eficácia e não mexe nos slots de Eficácia do capítulo 26. • Pode ser qualquer Perícia da lista do capítulo 04 que você ainda não tenha — inclusive uma que o seu Caminho não dê.</t>
        </is>
      </c>
      <c r="O7" s="22" t="inlineStr">
        <is>
          <t>Xianzhouíta</t>
        </is>
      </c>
      <c r="P7" s="22" t="inlineStr">
        <is>
          <t>A Inexistência</t>
        </is>
      </c>
      <c r="Q7" s="22" t="inlineStr">
        <is>
          <t>Agilidade</t>
        </is>
      </c>
      <c r="R7" s="22" t="inlineStr">
        <is>
          <t>Fogo</t>
        </is>
      </c>
      <c r="S7" s="22" t="inlineStr">
        <is>
          <t>Média</t>
        </is>
      </c>
      <c r="T7" s="22" t="inlineStr">
        <is>
          <t>Média</t>
        </is>
      </c>
      <c r="U7" s="22" t="inlineStr">
        <is>
          <t>Agilidade</t>
        </is>
      </c>
      <c r="V7" s="22" t="inlineStr">
        <is>
          <t>Arremessável</t>
        </is>
      </c>
      <c r="W7" s="22" t="inlineStr">
        <is>
          <t>Cura</t>
        </is>
      </c>
      <c r="X7" s="22" t="inlineStr">
        <is>
          <t>Curta</t>
        </is>
      </c>
      <c r="Y7" s="22" t="inlineStr">
        <is>
          <t>Queimadura</t>
        </is>
      </c>
      <c r="Z7" s="22" t="inlineStr">
        <is>
          <t>Acrobacia</t>
        </is>
      </c>
      <c r="AA7" s="22" t="inlineStr">
        <is>
          <t>Reflexos</t>
        </is>
      </c>
      <c r="AB7" s="22" t="inlineStr">
        <is>
          <t>Mãos</t>
        </is>
      </c>
      <c r="AC7" s="22" t="inlineStr">
        <is>
          <t>Memória Perdida</t>
        </is>
      </c>
      <c r="AD7" s="22" t="inlineStr">
        <is>
          <t>Guardião</t>
        </is>
      </c>
      <c r="AE7" s="22" t="inlineStr">
        <is>
          <t>Resistência Espiritual</t>
        </is>
      </c>
      <c r="AF7" s="22" t="inlineStr">
        <is>
          <t>Fusão de Memórias</t>
        </is>
      </c>
      <c r="AG7" s="22" t="inlineStr">
        <is>
          <t>Não</t>
        </is>
      </c>
      <c r="AH7" s="22" t="inlineStr">
        <is>
          <t>Compra de Pontos</t>
        </is>
      </c>
      <c r="AI7" s="22" t="inlineStr">
        <is>
          <t>Dois Atributos (+1 cada)</t>
        </is>
      </c>
      <c r="AJ7" s="22" t="inlineStr">
        <is>
          <t>Dois Atributos (+1 cada)</t>
        </is>
      </c>
      <c r="AK7" s="22" t="inlineStr">
        <is>
          <t>Teste de Resistência</t>
        </is>
      </c>
      <c r="AL7" s="22" t="inlineStr">
        <is>
          <t>Sincronia</t>
        </is>
      </c>
      <c r="AM7" s="22" t="inlineStr">
        <is>
          <t>Defesa</t>
        </is>
      </c>
      <c r="AN7" s="22" t="inlineStr">
        <is>
          <t>PV</t>
        </is>
      </c>
      <c r="AO7" s="22" t="inlineStr">
        <is>
          <t>B</t>
        </is>
      </c>
      <c r="AP7" s="22" t="inlineStr">
        <is>
          <t>Velocidade +1</t>
        </is>
      </c>
      <c r="AQ7" s="22" t="inlineStr">
        <is>
          <t>Velocidade +1</t>
        </is>
      </c>
      <c r="AT7" s="4" t="inlineStr">
        <is>
          <t>Avatar afeta um alvo adicional</t>
        </is>
      </c>
    </row>
    <row r="8" ht="251" customHeight="1">
      <c r="A8" s="59" t="inlineStr">
        <is>
          <t>Xianzhouíta</t>
        </is>
      </c>
      <c r="B8" s="9" t="inlineStr">
        <is>
          <t>+2 Vigor ou Sincronia, ou +1 em cada</t>
        </is>
      </c>
      <c r="C8" s="21" t="inlineStr">
        <is>
          <t>Não</t>
        </is>
      </c>
      <c r="D8" s="21" t="inlineStr">
        <is>
          <t>Vigor</t>
        </is>
      </c>
      <c r="E8" s="21" t="inlineStr">
        <is>
          <t>Sincronia</t>
        </is>
      </c>
      <c r="F8" s="9" t="inlineStr">
        <is>
          <t>Séculos de Memória (ativável: 1 por cena, uma pergunta respondida com verdade) · Ad Vitam Aeternam (passivo: não pode ser Executado; Vantagem em todo Teste de Resistência)</t>
        </is>
      </c>
      <c r="G8" s="9" t="inlineStr">
        <is>
          <t>Séculos de Memória: Você já viu este universo repetir-se. Uma vez por cena, de graça e sem rolar dado, aponte uma criatura, um lugar ou uma tecnologia e declare que já viveu algo parecido. Faça ao Mestre uma pergunta concreta sobre o que você apontou, dentro destas quatro: o que é, de onde veio, do que tem medo ou o que ele quer. O Mestre responde com uma informação verdadeira. • A resposta é verdadeira, mas pode ser incompleta — você lembra de um século atrás, não da ficha do bicho. O Mestre nunca precisa revelar PV, Defesa, Fraqueza nem número nenhum: isso é assunto do capítulo 20, e a Fraqueza continua sendo do Intellitron. • Só funciona sobre o que tem passado. Contra o que é genuinamente novo no universo — uma criatura inédita, uma máquina recém-construída, um lugar que acabou de existir — o Mestre diz "disso você não lembra", e o uso não é gasto. • Fora de combate, a mesma pergunta cabe sobre um povo, uma instituição ou um acontecimento histórico. Este é o traço que a Característica "grande conhecimento acumulado" sempre prometeu. Ele não dá bônus numérico, não gasta ação e não entra em teto nenhum (capítulo 26): ele entrega informação, que é a moeda que séculos de vida deveriam pagar. Ad Vitam Aeternam: • Você não pode ser Executado por ninguém. A Execução (capítulo 23) simplesmente não funciona em você: um inimigo racional a Distância Pessoal que gaste o Ataque Básico dele para isso perde a ação. • Você tem Vantagem em qualquer Teste de Resistência. Vantagem permanente nos seis Testes de Resistência é o traço passivo mais forte da lista, e está certo que seja: é a Raça da longevidade. O preço está no traço ativável dela — o único do capítulo que não resolve nada em combate.</t>
        </is>
      </c>
      <c r="O8" s="22" t="inlineStr">
        <is>
          <t>Vidyadhara</t>
        </is>
      </c>
      <c r="P8" s="22" t="inlineStr">
        <is>
          <t>A Harmonia</t>
        </is>
      </c>
      <c r="Q8" s="22" t="inlineStr">
        <is>
          <t>Vigor</t>
        </is>
      </c>
      <c r="R8" s="22" t="inlineStr">
        <is>
          <t>Gelo</t>
        </is>
      </c>
      <c r="S8" s="22" t="inlineStr">
        <is>
          <t>Pesada</t>
        </is>
      </c>
      <c r="T8" s="22" t="inlineStr">
        <is>
          <t>Pesada</t>
        </is>
      </c>
      <c r="V8" s="22" t="inlineStr">
        <is>
          <t>Alcance estendido</t>
        </is>
      </c>
      <c r="W8" s="22" t="inlineStr">
        <is>
          <t>Buff</t>
        </is>
      </c>
      <c r="X8" s="22" t="inlineStr">
        <is>
          <t>Média</t>
        </is>
      </c>
      <c r="Y8" s="22" t="inlineStr">
        <is>
          <t>Choque</t>
        </is>
      </c>
      <c r="Z8" s="22" t="inlineStr">
        <is>
          <t>Furtividade</t>
        </is>
      </c>
      <c r="AA8" s="22" t="inlineStr">
        <is>
          <t>Resistência Física</t>
        </is>
      </c>
      <c r="AB8" s="22" t="inlineStr">
        <is>
          <t>Tronco</t>
        </is>
      </c>
      <c r="AC8" s="22" t="inlineStr">
        <is>
          <t>Memória Animal</t>
        </is>
      </c>
      <c r="AD8" s="22" t="inlineStr">
        <is>
          <t>Catalisador</t>
        </is>
      </c>
      <c r="AE8" s="22" t="inlineStr">
        <is>
          <t>Velocidade Espiritual</t>
        </is>
      </c>
      <c r="AF8" s="22" t="inlineStr">
        <is>
          <t>Memória Desperta</t>
        </is>
      </c>
      <c r="AM8" s="22" t="inlineStr">
        <is>
          <t>Velocidade</t>
        </is>
      </c>
      <c r="AO8" s="22" t="inlineStr">
        <is>
          <t>C</t>
        </is>
      </c>
      <c r="AP8" s="22" t="inlineStr">
        <is>
          <t>Dano +2</t>
        </is>
      </c>
    </row>
    <row r="9" ht="217" customHeight="1">
      <c r="A9" s="58" t="inlineStr">
        <is>
          <t>Vidyadhara</t>
        </is>
      </c>
      <c r="B9" s="4" t="inlineStr">
        <is>
          <t>+2 Vigor ou Poder, ou +1 em cada</t>
        </is>
      </c>
      <c r="C9" s="22" t="inlineStr">
        <is>
          <t>Não</t>
        </is>
      </c>
      <c r="D9" s="22" t="inlineStr">
        <is>
          <t>Vigor</t>
        </is>
      </c>
      <c r="E9" s="22" t="inlineStr">
        <is>
          <t>Poder</t>
        </is>
      </c>
      <c r="F9" s="4" t="inlineStr">
        <is>
          <t>Maré que Volta (ativável: 1 por Descanso Curto, recupera nível + Vigor PV) · Corpo das Marés (passivo: respira debaixo d'água; Reencarnação Ancestral)</t>
        </is>
      </c>
      <c r="G9" s="4" t="inlineStr">
        <is>
          <t>Maré que Volta: O seu corpo se refaz como maré que volta. Uma vez por Descanso Curto, gaste a sua Ação Complementar para recuperar nível + Bônus de Vigor PV. • É só em você. Este traço não cura aliado, não concede PV temporários e não remove condição (capítulo 21) — curar os outros é assunto da Abundância e da Preservação (capítulos 10 e 15). • O relógio é o de "1 vez por descanso" do capítulo 23: o Descanso Curto recarrega, e você tem até dois por dia. A cura é exatamente metade do que um Descanso Curto devolve ((2 × nível) + Bônus de Vigor, em 23.6), e é o único efeito de regeneração do livro que não vem de Caminho: 3 PV no nível 1, 12 no nível 10, 22 no nível 20, com Vigor +2. Corpo das Marés: • Você respira debaixo d'água indefinidamente e não faz Teste de Resistência Física contra afogamento.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is>
      </c>
      <c r="O9" s="22" t="inlineStr">
        <is>
          <t>Vulpes</t>
        </is>
      </c>
      <c r="P9" s="22" t="inlineStr">
        <is>
          <t>A Abundância</t>
        </is>
      </c>
      <c r="Q9" s="22" t="inlineStr">
        <is>
          <t>Sincronia</t>
        </is>
      </c>
      <c r="R9" s="22" t="inlineStr">
        <is>
          <t>Raio</t>
        </is>
      </c>
      <c r="T9" s="22" t="inlineStr">
        <is>
          <t>Disparo curto</t>
        </is>
      </c>
      <c r="V9" s="22" t="inlineStr">
        <is>
          <t>Peso de impacto</t>
        </is>
      </c>
      <c r="W9" s="22" t="inlineStr">
        <is>
          <t>Debuff</t>
        </is>
      </c>
      <c r="X9" s="22" t="inlineStr">
        <is>
          <t>Longa</t>
        </is>
      </c>
      <c r="Y9" s="22" t="inlineStr">
        <is>
          <t>Cisalhamento de Vento</t>
        </is>
      </c>
      <c r="Z9" s="22" t="inlineStr">
        <is>
          <t>Pilotagem</t>
        </is>
      </c>
      <c r="AA9" s="22" t="inlineStr">
        <is>
          <t>Resistência Mental</t>
        </is>
      </c>
      <c r="AB9" s="22" t="inlineStr">
        <is>
          <t>Botas</t>
        </is>
      </c>
      <c r="AC9" s="22" t="inlineStr">
        <is>
          <t>Memória Artificial</t>
        </is>
      </c>
      <c r="AD9" s="22" t="inlineStr">
        <is>
          <t>Controlador</t>
        </is>
      </c>
      <c r="AE9" s="22" t="inlineStr">
        <is>
          <t>Memória Afiada</t>
        </is>
      </c>
      <c r="AM9" s="22" t="inlineStr">
        <is>
          <t>Dano de Ataque Básico</t>
        </is>
      </c>
      <c r="AO9" s="22" t="inlineStr">
        <is>
          <t>—</t>
        </is>
      </c>
      <c r="AP9" s="22" t="inlineStr">
        <is>
          <t>RD +1</t>
        </is>
      </c>
    </row>
    <row r="10" ht="195" customHeight="1">
      <c r="A10" s="59" t="inlineStr">
        <is>
          <t>Vulpes</t>
        </is>
      </c>
      <c r="B10" s="9" t="inlineStr">
        <is>
          <t>+2 Agilidade ou Discernimento, ou +1 em cada</t>
        </is>
      </c>
      <c r="C10" s="21" t="inlineStr">
        <is>
          <t>Não</t>
        </is>
      </c>
      <c r="D10" s="21" t="inlineStr">
        <is>
          <t>Agilidade</t>
        </is>
      </c>
      <c r="E10" s="21" t="inlineStr">
        <is>
          <t>Discernimento</t>
        </is>
      </c>
      <c r="F10" s="9" t="inlineStr">
        <is>
          <t>Favor Antigo (ativável: 1 por Descanso Longo, alguém lhe deve um favor) · Língua de Prata (passivo: Vantagem em Testes de Presença; Raposa Astuta)</t>
        </is>
      </c>
      <c r="G10" s="9" t="inlineStr">
        <is>
          <t>Favor Antigo: Comércio é a memória de quem ficou devendo. Uma vez por Descanso Longo, fora de combate, você declara que alguém naquele lugar lhe deve um favor antigo. O Mestre diz quem é e o que a pessoa cobra em troca — o favor existe, mas o preço é dele. • O favor é uma pessoa, não um recurso: ela ajuda uma vez, do jeito que ela pode ajudar, e o Mestre decide o que isso significa na cena. • Não serve para pedir combate. O favor não entra em cena para lutar ao seu lado. • Em lugar onde ninguém poderia te conhecer — nave recém-pousada em mundo deserto, estação inimiga selada —, o Mestre diz que não há ninguém, e o uso não é gasto. • O preço é dito na hora e vale. O Mestre não precisa da sua aprovação para cobrá-lo, e é por isso que o traço não é um cheque em branco. 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is>
      </c>
      <c r="O10" s="22" t="inlineStr">
        <is>
          <t>Haloviano</t>
        </is>
      </c>
      <c r="P10" s="22" t="inlineStr">
        <is>
          <t>A Recordação</t>
        </is>
      </c>
      <c r="Q10" s="22" t="inlineStr">
        <is>
          <t>Discernimento</t>
        </is>
      </c>
      <c r="R10" s="22" t="inlineStr">
        <is>
          <t>Vento</t>
        </is>
      </c>
      <c r="T10" s="22" t="inlineStr">
        <is>
          <t>Disparo longo</t>
        </is>
      </c>
      <c r="V10" s="22" t="inlineStr">
        <is>
          <t>Dissimulada</t>
        </is>
      </c>
      <c r="W10" s="22" t="inlineStr">
        <is>
          <t>Passiva</t>
        </is>
      </c>
      <c r="X10" s="22" t="inlineStr">
        <is>
          <t>Extrema</t>
        </is>
      </c>
      <c r="Y10" s="22" t="inlineStr">
        <is>
          <t>Embaraço</t>
        </is>
      </c>
      <c r="Z10" s="22" t="inlineStr">
        <is>
          <t>Resistência</t>
        </is>
      </c>
      <c r="AA10" s="22" t="inlineStr">
        <is>
          <t>Percepção Mental</t>
        </is>
      </c>
      <c r="AB10" s="22" t="inlineStr">
        <is>
          <t>Esfera Planar</t>
        </is>
      </c>
      <c r="AC10" s="22" t="inlineStr">
        <is>
          <t>Memória Celestial</t>
        </is>
      </c>
      <c r="AE10" s="22" t="inlineStr">
        <is>
          <t>Vínculo Profundo</t>
        </is>
      </c>
      <c r="AM10" s="22" t="inlineStr">
        <is>
          <t>Dano de Habilidade</t>
        </is>
      </c>
    </row>
    <row r="11" ht="172" customHeight="1">
      <c r="A11" s="58" t="inlineStr">
        <is>
          <t>Haloviano</t>
        </is>
      </c>
      <c r="B11" s="4" t="inlineStr">
        <is>
          <t>+2 Discernimento ou Presença, ou +1 em cada</t>
        </is>
      </c>
      <c r="C11" s="22" t="inlineStr">
        <is>
          <t>Não</t>
        </is>
      </c>
      <c r="D11" s="22" t="inlineStr">
        <is>
          <t>Discernimento</t>
        </is>
      </c>
      <c r="E11" s="22" t="inlineStr">
        <is>
          <t>Presença</t>
        </is>
      </c>
      <c r="F11" s="4" t="inlineStr">
        <is>
          <t>To na sua mente (ativável: 2 vezes por dia, deixa o alvo Controlado) · Asas de Halo (passivo: não sofre dano de queda)</t>
        </is>
      </c>
      <c r="G11" s="4" t="inlineStr">
        <is>
          <t>To na sua mente: 2 vezes por dia. Gaste a sua Ação Complementar. 1. Ativação. Faça um Teste de Sintonia contra DT 13. Se falhar, este uso é gasto e nada acontece. 2. Resistência do alvo. Se você passar,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 Asas de Halo: As asas não levam o seu peso para cima, mas não deixam você cair. • Você não sofre dano de queda, de nenhuma altura, e não faz Teste de Reflexos por cair (capítulo 22). • Você desce planando: ao cair, ou ao pular de propósito, você chega ao chão de pé, no ponto que escolher dentro de uma Distância do lugar de onde saiu (capítulo 18). • Não é voo. Você não ganha altura, não ignora terreno em combate, e isso não muda a sua Velocidade, a sua Ação de Movimento nem a sua casa na Fila (capítulo 19).</t>
        </is>
      </c>
      <c r="O11" s="22" t="inlineStr">
        <is>
          <t>Avginiano</t>
        </is>
      </c>
      <c r="P11" s="22" t="inlineStr">
        <is>
          <t>A Erudição</t>
        </is>
      </c>
      <c r="Q11" s="22" t="inlineStr">
        <is>
          <t>Presença</t>
        </is>
      </c>
      <c r="R11" s="22" t="inlineStr">
        <is>
          <t>Quântico</t>
        </is>
      </c>
      <c r="T11" s="22" t="inlineStr">
        <is>
          <t>Energia</t>
        </is>
      </c>
      <c r="Y11" s="22" t="inlineStr">
        <is>
          <t>Aprisionamento</t>
        </is>
      </c>
      <c r="Z11" s="22" t="inlineStr">
        <is>
          <t>Tecnologia</t>
        </is>
      </c>
      <c r="AA11" s="22" t="inlineStr">
        <is>
          <t>Força de Vontade</t>
        </is>
      </c>
      <c r="AB11" s="22" t="inlineStr">
        <is>
          <t>Corda de Ligação</t>
        </is>
      </c>
      <c r="AE11" s="22" t="inlineStr">
        <is>
          <t>Forma Mutável</t>
        </is>
      </c>
      <c r="AM11" s="22" t="inlineStr">
        <is>
          <t>Dano de Ultimate</t>
        </is>
      </c>
    </row>
    <row r="12" ht="206" customHeight="1">
      <c r="A12" s="59" t="inlineStr">
        <is>
          <t>Avginiano</t>
        </is>
      </c>
      <c r="B12" s="9" t="inlineStr">
        <is>
          <t>+2 Agilidade ou Presença, ou +1 em cada</t>
        </is>
      </c>
      <c r="C12" s="21" t="inlineStr">
        <is>
          <t>Não</t>
        </is>
      </c>
      <c r="D12" s="21" t="inlineStr">
        <is>
          <t>Agilidade</t>
        </is>
      </c>
      <c r="E12" s="21" t="inlineStr">
        <is>
          <t>Presença</t>
        </is>
      </c>
      <c r="F12" s="9" t="inlineStr">
        <is>
          <t>Não Foi a Primeira Vez (ativável: 1 por combate, metade da duração na falha) · Mente de Ferro (passivo: Vantagem em Resistência Mental, Percepção Mental e Força de Vontade)</t>
        </is>
      </c>
      <c r="G12" s="9" t="inlineStr">
        <is>
          <t>Não Foi a Primeira Vez: O seu povo aprendeu a sobreviver ao que não deu para evitar. Uma vez por combate, quando você falha em um Teste de Resistência, declare este traço: a duração do efeito sobre você cai pela metade (arredonda para baixo, mínimo 1 turno). • Vale para qualquer um dos seis Testes de Resistência, não só os três mentais da Mente de Ferro. • Corta duração, não dano. O dano da fonte acontece por inteiro; o que encurta é o tempo que a condição fica em você (capítulo 21). • Contra efeito de duração 1 turno, o mínimo já é 1: o traço não faz nada, e o uso não é gasto. Guarde-o para o efeito longo. • Fora de combate, o Mestre converte pela cena, como faz com toda duração narrativa. • Não é re-rolagem. Você falhou, e continua tendo falhado — o Esforço é e segue sendo exclusivo do Humano. Repare no eixo: a Mente de Ferro te ajuda a passar no teste; a Não Foi a Primeira Vez te ajuda quando você falha. Nenhum outro traço do livro trabalha nesse segundo eixo, e é por isso que ele é do Avginiano. 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is>
      </c>
      <c r="O12" s="22" t="inlineStr">
        <is>
          <t>Intellitron</t>
        </is>
      </c>
      <c r="P12" s="22" t="inlineStr">
        <is>
          <t>A Euforia</t>
        </is>
      </c>
      <c r="R12" s="22" t="inlineStr">
        <is>
          <t>Imaginário</t>
        </is>
      </c>
      <c r="Y12" s="22" t="inlineStr">
        <is>
          <t>Lentidão</t>
        </is>
      </c>
      <c r="Z12" s="22" t="inlineStr">
        <is>
          <t>Pesquisa</t>
        </is>
      </c>
      <c r="AM12" s="22" t="inlineStr">
        <is>
          <t>RD</t>
        </is>
      </c>
    </row>
    <row r="13" ht="172" customHeight="1">
      <c r="A13" s="58" t="inlineStr">
        <is>
          <t>Intellitron</t>
        </is>
      </c>
      <c r="B13" s="4" t="inlineStr">
        <is>
          <t>+2 Sincronia ou Poder, ou +1 em cada</t>
        </is>
      </c>
      <c r="C13" s="22" t="inlineStr">
        <is>
          <t>Não</t>
        </is>
      </c>
      <c r="D13" s="22" t="inlineStr">
        <is>
          <t>Sincronia</t>
        </is>
      </c>
      <c r="E13" s="22" t="inlineStr">
        <is>
          <t>Poder</t>
        </is>
      </c>
      <c r="F13" s="4" t="inlineStr">
        <is>
          <t>Sabedoria de Intellitron (ativável: Fraqueza com Vantagem e duas por sucesso; 1 informação por cena) · Chassi (passivo: Vantagem em Tecnologia e Mecânica; imune a doença natural)</t>
        </is>
      </c>
      <c r="G13" s="4" t="inlineStr">
        <is>
          <t>Sabedoria de Intellitron: • Quando você faz o teste para descobrir uma Fraqueza de inimigo (capítulo 20), você rola com Vantagem e, em um sucesso, descobre duas Fraquezas em vez de uma. • Fora de combate, uma vez por cena, o mesmo tipo de teste — Pesquisa, Ciência ou Sintonia contra a DT da cena — arranca uma informação concreta sobre algo que você queira saber: um nome, um lugar, uma data ou uma relação entre duas coisas. O Mestre escolhe qual dos quatro responde. Chassi: Você não é feito de carne. • Você tem Vantagem em Testes de Tecnologia e de Mecânica. • Você é imune a doença natural e a veneno de origem biológica. • Toxina sintética, nanomáquina, radiação e gás de combate afetam você normalmente, e você continua rolando Teste de Resistência Física contra eles como qualquer um. • Você não precisa comer nem beber, mas continua precisando de Descanso Curto e Descanso Longo (capítulo 23): o seu corpo não tem fome, e sim manutenção. Isto é a Característica "corpo mecânico ou sintético" e "não sofrem com doenças naturais" virando regra. A terceira linha existe para a segunda não ser lida como imunidade ampla a veneno — o Intellitron é imune ao que é vivo, não ao que é químico.</t>
        </is>
      </c>
      <c r="P13" s="22" t="inlineStr">
        <is>
          <t>A Caça</t>
        </is>
      </c>
      <c r="Y13" s="22" t="inlineStr">
        <is>
          <t>Marcado</t>
        </is>
      </c>
      <c r="Z13" s="22" t="inlineStr">
        <is>
          <t>Ciência</t>
        </is>
      </c>
      <c r="AM13" s="22" t="inlineStr">
        <is>
          <t>Teste de Ataque</t>
        </is>
      </c>
    </row>
    <row r="14">
      <c r="P14" s="22" t="inlineStr">
        <is>
          <t>A Preservação</t>
        </is>
      </c>
      <c r="Y14" s="22" t="inlineStr">
        <is>
          <t>Silenciado</t>
        </is>
      </c>
      <c r="Z14" s="22" t="inlineStr">
        <is>
          <t>Mecânica</t>
        </is>
      </c>
      <c r="AM14" s="22" t="inlineStr">
        <is>
          <t>Um Teste de Resistência</t>
        </is>
      </c>
    </row>
    <row r="15">
      <c r="A15" s="14" t="inlineStr">
        <is>
          <t>Vantagens e traços automáticos por Raça — capítulo 05 (transcrito)</t>
        </is>
      </c>
      <c r="Y15" s="22" t="inlineStr">
        <is>
          <t>Vulnerável</t>
        </is>
      </c>
      <c r="Z15" s="22" t="inlineStr">
        <is>
          <t>Percepção</t>
        </is>
      </c>
      <c r="AM15" s="22" t="inlineStr">
        <is>
          <t>Uma Perícia</t>
        </is>
      </c>
    </row>
    <row r="16">
      <c r="A16" s="7" t="inlineStr">
        <is>
          <t>Raça</t>
        </is>
      </c>
      <c r="B16" s="7" t="inlineStr">
        <is>
          <t>Onde vale</t>
        </is>
      </c>
      <c r="Y16" s="22" t="inlineStr">
        <is>
          <t>Controlado</t>
        </is>
      </c>
      <c r="Z16" s="22" t="inlineStr">
        <is>
          <t>Sobrevivência</t>
        </is>
      </c>
    </row>
    <row r="17" ht="37" customHeight="1">
      <c r="A17" s="58" t="inlineStr">
        <is>
          <t>Xianzhouíta</t>
        </is>
      </c>
      <c r="B17" s="4" t="inlineStr">
        <is>
          <t>todos os 6 Testes de Resistência (inclusive Morrendo)</t>
        </is>
      </c>
      <c r="Y17" s="22" t="inlineStr">
        <is>
          <t>Corrupção</t>
        </is>
      </c>
      <c r="Z17" s="22" t="inlineStr">
        <is>
          <t>Intuição</t>
        </is>
      </c>
    </row>
    <row r="18" ht="26" customHeight="1">
      <c r="A18" s="59" t="inlineStr">
        <is>
          <t>Xianzhouíta</t>
        </is>
      </c>
      <c r="B18" s="9" t="inlineStr">
        <is>
          <t>não pode ser Executado</t>
        </is>
      </c>
      <c r="Y18" s="22" t="inlineStr">
        <is>
          <t>Surpreso</t>
        </is>
      </c>
      <c r="Z18" s="22" t="inlineStr">
        <is>
          <t>Investigação</t>
        </is>
      </c>
    </row>
    <row r="19" ht="48" customHeight="1">
      <c r="A19" s="58" t="inlineStr">
        <is>
          <t>Xianzhouíta</t>
        </is>
      </c>
      <c r="B19" s="4" t="inlineStr">
        <is>
          <t>1 pergunta verdadeira por cena sobre o que tem passado</t>
        </is>
      </c>
      <c r="Z19" s="22" t="inlineStr">
        <is>
          <t>Persuasão</t>
        </is>
      </c>
    </row>
    <row r="20" ht="48" customHeight="1">
      <c r="A20" s="59" t="inlineStr">
        <is>
          <t>Vidyadhara</t>
        </is>
      </c>
      <c r="B20" s="9" t="inlineStr">
        <is>
          <t>1 por Descanso Curto: recupera PV; respira debaixo d'água</t>
        </is>
      </c>
      <c r="Z20" s="22" t="inlineStr">
        <is>
          <t>Intimidação</t>
        </is>
      </c>
    </row>
    <row r="21" ht="60" customHeight="1">
      <c r="A21" s="58" t="inlineStr">
        <is>
          <t>Vulpes</t>
        </is>
      </c>
      <c r="B21" s="4" t="inlineStr">
        <is>
          <t>Persuasão, Intimidação, Enganação, Liderança e Força de Vontade</t>
        </is>
      </c>
      <c r="Z21" s="22" t="inlineStr">
        <is>
          <t>Enganação</t>
        </is>
      </c>
    </row>
    <row r="22" ht="37" customHeight="1">
      <c r="A22" s="59" t="inlineStr">
        <is>
          <t>Haloviano</t>
        </is>
      </c>
      <c r="B22" s="9" t="inlineStr">
        <is>
          <t>2 por dia: Ação Complementar deixa o alvo Controlado</t>
        </is>
      </c>
      <c r="Z22" s="22" t="inlineStr">
        <is>
          <t>Liderança</t>
        </is>
      </c>
    </row>
    <row r="23" ht="37" customHeight="1">
      <c r="A23" s="58" t="inlineStr">
        <is>
          <t>Avginiano</t>
        </is>
      </c>
      <c r="B23" s="4" t="inlineStr">
        <is>
          <t>Resistência Mental, Percepção Mental e Força de Vontade</t>
        </is>
      </c>
      <c r="Z23" s="22" t="inlineStr">
        <is>
          <t>Sintonia</t>
        </is>
      </c>
    </row>
    <row r="24" ht="37" customHeight="1">
      <c r="A24" s="59" t="inlineStr">
        <is>
          <t>Avginiano</t>
        </is>
      </c>
      <c r="B24" s="9" t="inlineStr">
        <is>
          <t>1 por combate: metade da duração ao falhar num Teste</t>
        </is>
      </c>
    </row>
    <row r="25" ht="37" customHeight="1">
      <c r="A25" s="58" t="inlineStr">
        <is>
          <t>Intellitron</t>
        </is>
      </c>
      <c r="B25" s="4" t="inlineStr">
        <is>
          <t>Tecnologia, Mecânica e teste de descobrir Fraqueza</t>
        </is>
      </c>
    </row>
    <row r="26" ht="37" customHeight="1">
      <c r="A26" s="59" t="inlineStr">
        <is>
          <t>Intellitron</t>
        </is>
      </c>
      <c r="B26" s="9" t="inlineStr">
        <is>
          <t>imune a doença natural e a veneno de origem biológica</t>
        </is>
      </c>
    </row>
    <row r="27" ht="26" customHeight="1">
      <c r="A27" s="58" t="inlineStr">
        <is>
          <t>Humano</t>
        </is>
      </c>
      <c r="B27" s="4" t="inlineStr">
        <is>
          <t>Esforço (máximo 1 ponto)</t>
        </is>
      </c>
    </row>
    <row r="28" ht="37" customHeight="1">
      <c r="A28" s="59" t="inlineStr">
        <is>
          <t>Humano</t>
        </is>
      </c>
      <c r="B28" s="9" t="inlineStr">
        <is>
          <t>1 Perícia escolhida a mais, fixada na criação</t>
        </is>
      </c>
    </row>
    <row r="29" ht="48" customHeight="1">
      <c r="A29" s="58" t="inlineStr">
        <is>
          <t>Vulpes</t>
        </is>
      </c>
      <c r="B29" s="4" t="inlineStr">
        <is>
          <t>1 por Descanso Longo: alguém daquele lugar lhe deve um favor</t>
        </is>
      </c>
    </row>
    <row r="30" ht="37" customHeight="1">
      <c r="A30" s="59" t="inlineStr">
        <is>
          <t>Haloviano</t>
        </is>
      </c>
      <c r="B30" s="9" t="inlineStr">
        <is>
          <t>não sofre dano de queda e desce planando</t>
        </is>
      </c>
    </row>
    <row r="31"/>
    <row r="32">
      <c r="A32" s="14" t="inlineStr">
        <is>
          <t>Bônus de Atributo — 04.2</t>
        </is>
      </c>
    </row>
    <row r="33">
      <c r="A33" s="7" t="inlineStr">
        <is>
          <t>Valor</t>
        </is>
      </c>
      <c r="B33" s="7" t="inlineStr">
        <is>
          <t>Bônus</t>
        </is>
      </c>
    </row>
    <row r="34">
      <c r="A34" s="58" t="n">
        <v>8</v>
      </c>
      <c r="B34" s="22" t="n">
        <v>-1</v>
      </c>
    </row>
    <row r="35">
      <c r="A35" s="59" t="n">
        <v>9</v>
      </c>
      <c r="B35" s="21" t="n">
        <v>-1</v>
      </c>
    </row>
    <row r="36">
      <c r="A36" s="58" t="n">
        <v>10</v>
      </c>
      <c r="B36" s="22" t="n">
        <v>0</v>
      </c>
    </row>
    <row r="37">
      <c r="A37" s="59" t="n">
        <v>11</v>
      </c>
      <c r="B37" s="21" t="n">
        <v>0</v>
      </c>
    </row>
    <row r="38">
      <c r="A38" s="58" t="n">
        <v>12</v>
      </c>
      <c r="B38" s="22" t="n">
        <v>1</v>
      </c>
    </row>
    <row r="39">
      <c r="A39" s="59" t="n">
        <v>13</v>
      </c>
      <c r="B39" s="21" t="n">
        <v>1</v>
      </c>
    </row>
    <row r="40">
      <c r="A40" s="58" t="n">
        <v>14</v>
      </c>
      <c r="B40" s="22" t="n">
        <v>2</v>
      </c>
    </row>
    <row r="41">
      <c r="A41" s="59" t="n">
        <v>15</v>
      </c>
      <c r="B41" s="21" t="n">
        <v>3</v>
      </c>
    </row>
    <row r="42">
      <c r="A42" s="58" t="n">
        <v>16</v>
      </c>
      <c r="B42" s="22" t="n">
        <v>3</v>
      </c>
    </row>
    <row r="43">
      <c r="A43" s="59" t="n">
        <v>17</v>
      </c>
      <c r="B43" s="21" t="n">
        <v>4</v>
      </c>
    </row>
    <row r="44">
      <c r="A44" s="58" t="n">
        <v>18</v>
      </c>
      <c r="B44" s="22" t="n">
        <v>4</v>
      </c>
    </row>
    <row r="45">
      <c r="A45" s="59" t="n">
        <v>19</v>
      </c>
      <c r="B45" s="21" t="n">
        <v>5</v>
      </c>
    </row>
    <row r="46">
      <c r="A46" s="58" t="n">
        <v>20</v>
      </c>
      <c r="B46" s="22" t="n">
        <v>5</v>
      </c>
    </row>
    <row r="47"/>
    <row r="48">
      <c r="A48" s="14" t="inlineStr">
        <is>
          <t>Compra de Pontos — 03 Passo 4 (Método B)</t>
        </is>
      </c>
    </row>
    <row r="49">
      <c r="A49" s="7" t="inlineStr">
        <is>
          <t>Valor</t>
        </is>
      </c>
      <c r="B49" s="7" t="inlineStr">
        <is>
          <t>Custo acumulado</t>
        </is>
      </c>
    </row>
    <row r="50">
      <c r="A50" s="58" t="n">
        <v>8</v>
      </c>
      <c r="B50" s="22" t="n">
        <v>0</v>
      </c>
    </row>
    <row r="51">
      <c r="A51" s="59" t="n">
        <v>9</v>
      </c>
      <c r="B51" s="21" t="n">
        <v>1</v>
      </c>
    </row>
    <row r="52">
      <c r="A52" s="58" t="n">
        <v>10</v>
      </c>
      <c r="B52" s="22" t="n">
        <v>2</v>
      </c>
    </row>
    <row r="53">
      <c r="A53" s="59" t="n">
        <v>11</v>
      </c>
      <c r="B53" s="21" t="n">
        <v>3</v>
      </c>
    </row>
    <row r="54">
      <c r="A54" s="58" t="n">
        <v>12</v>
      </c>
      <c r="B54" s="22" t="n">
        <v>4</v>
      </c>
    </row>
    <row r="55">
      <c r="A55" s="59" t="n">
        <v>13</v>
      </c>
      <c r="B55" s="21" t="n">
        <v>5</v>
      </c>
    </row>
    <row r="56">
      <c r="A56" s="58" t="n">
        <v>14</v>
      </c>
      <c r="B56" s="22" t="n">
        <v>7</v>
      </c>
    </row>
    <row r="57">
      <c r="A57" s="59" t="n">
        <v>15</v>
      </c>
      <c r="B57" s="21" t="n">
        <v>10</v>
      </c>
    </row>
    <row r="58"/>
    <row r="59">
      <c r="A59" s="14" t="inlineStr">
        <is>
          <t>Perícias — 04.4</t>
        </is>
      </c>
    </row>
    <row r="60">
      <c r="A60" s="7" t="inlineStr">
        <is>
          <t>Perícia</t>
        </is>
      </c>
      <c r="B60" s="7" t="inlineStr">
        <is>
          <t>Atributo</t>
        </is>
      </c>
      <c r="C60" s="7" t="inlineStr">
        <is>
          <t>O que resolve</t>
        </is>
      </c>
    </row>
    <row r="61" ht="48" customHeight="1">
      <c r="A61" s="58" t="inlineStr">
        <is>
          <t>Atletismo</t>
        </is>
      </c>
      <c r="B61" s="22" t="inlineStr">
        <is>
          <t>Poder</t>
        </is>
      </c>
      <c r="C61" s="4" t="inlineStr">
        <is>
          <t>Escalar, nadar, saltar, empurrar, quebrar objetos e feitos de força</t>
        </is>
      </c>
    </row>
    <row r="62" ht="48" customHeight="1">
      <c r="A62" s="59" t="inlineStr">
        <is>
          <t>Acrobacia</t>
        </is>
      </c>
      <c r="B62" s="21" t="inlineStr">
        <is>
          <t>Agilidade</t>
        </is>
      </c>
      <c r="C62" s="9" t="inlineStr">
        <is>
          <t>Equilíbrio, rolamentos, parkour e escapar de agarrões</t>
        </is>
      </c>
    </row>
    <row r="63">
      <c r="A63" s="58" t="inlineStr">
        <is>
          <t>Furtividade</t>
        </is>
      </c>
      <c r="B63" s="22" t="inlineStr">
        <is>
          <t>Agilidade</t>
        </is>
      </c>
      <c r="C63" s="22" t="inlineStr">
        <is>
          <t>Passar despercebido</t>
        </is>
      </c>
    </row>
    <row r="64" ht="48" customHeight="1">
      <c r="A64" s="59" t="inlineStr">
        <is>
          <t>Pilotagem</t>
        </is>
      </c>
      <c r="B64" s="21" t="inlineStr">
        <is>
          <t>Agilidade</t>
        </is>
      </c>
      <c r="C64" s="9" t="inlineStr">
        <is>
          <t>Conduzir naves, mechas, motos voadoras ou outros veículos</t>
        </is>
      </c>
    </row>
    <row r="65" ht="48" customHeight="1">
      <c r="A65" s="58" t="inlineStr">
        <is>
          <t>Resistência</t>
        </is>
      </c>
      <c r="B65" s="22" t="inlineStr">
        <is>
          <t>Vigor</t>
        </is>
      </c>
      <c r="C65" s="4" t="inlineStr">
        <is>
          <t>Suportar venenos, frio, calor, fadiga, fome e longas marchas</t>
        </is>
      </c>
    </row>
    <row r="66" ht="48" customHeight="1">
      <c r="A66" s="59" t="inlineStr">
        <is>
          <t>Tecnologia</t>
        </is>
      </c>
      <c r="B66" s="21" t="inlineStr">
        <is>
          <t>Sincronia</t>
        </is>
      </c>
      <c r="C66" s="9" t="inlineStr">
        <is>
          <t>Invadir sistemas, consertar máquinas, usar computadores e dispositivos</t>
        </is>
      </c>
    </row>
    <row r="67" ht="60" customHeight="1">
      <c r="A67" s="58" t="inlineStr">
        <is>
          <t>Pesquisa</t>
        </is>
      </c>
      <c r="B67" s="22" t="inlineStr">
        <is>
          <t>Sincronia</t>
        </is>
      </c>
      <c r="C67" s="4" t="inlineStr">
        <is>
          <t>Encontrar informações, consultar arquivos e lembrar conhecimentos</t>
        </is>
      </c>
    </row>
    <row r="68" ht="48" customHeight="1">
      <c r="A68" s="59" t="inlineStr">
        <is>
          <t>Ciência</t>
        </is>
      </c>
      <c r="B68" s="21" t="inlineStr">
        <is>
          <t>Sincronia</t>
        </is>
      </c>
      <c r="C68" s="9" t="inlineStr">
        <is>
          <t>Física, química, medicina, astronomia e biologia, entre outras</t>
        </is>
      </c>
    </row>
    <row r="69" ht="37" customHeight="1">
      <c r="A69" s="58" t="inlineStr">
        <is>
          <t>Mecânica</t>
        </is>
      </c>
      <c r="B69" s="22" t="inlineStr">
        <is>
          <t>Sincronia</t>
        </is>
      </c>
      <c r="C69" s="4" t="inlineStr">
        <is>
          <t>Construir, modificar ou reparar armas, robôs e veículos</t>
        </is>
      </c>
    </row>
    <row r="70" ht="37" customHeight="1">
      <c r="A70" s="59" t="inlineStr">
        <is>
          <t>Percepção</t>
        </is>
      </c>
      <c r="B70" s="21" t="inlineStr">
        <is>
          <t>Discernimento</t>
        </is>
      </c>
      <c r="C70" s="9" t="inlineStr">
        <is>
          <t>Notar armadilhas, inimigos escondidos e detalhes</t>
        </is>
      </c>
    </row>
    <row r="71" ht="48" customHeight="1">
      <c r="A71" s="58" t="inlineStr">
        <is>
          <t>Sobrevivência</t>
        </is>
      </c>
      <c r="B71" s="22" t="inlineStr">
        <is>
          <t>Discernimento</t>
        </is>
      </c>
      <c r="C71" s="4" t="inlineStr">
        <is>
          <t>Rastrear, encontrar recursos e orientar-se em ambientes hostis</t>
        </is>
      </c>
    </row>
    <row r="72" ht="26" customHeight="1">
      <c r="A72" s="59" t="inlineStr">
        <is>
          <t>Intuição</t>
        </is>
      </c>
      <c r="B72" s="21" t="inlineStr">
        <is>
          <t>Discernimento</t>
        </is>
      </c>
      <c r="C72" s="9" t="inlineStr">
        <is>
          <t>Perceber mentiras, intenções e emoções</t>
        </is>
      </c>
    </row>
    <row r="73" ht="37" customHeight="1">
      <c r="A73" s="58" t="inlineStr">
        <is>
          <t>Investigação</t>
        </is>
      </c>
      <c r="B73" s="22" t="inlineStr">
        <is>
          <t>Discernimento</t>
        </is>
      </c>
      <c r="C73" s="4" t="inlineStr">
        <is>
          <t>Reconstruir cenas, encontrar pistas e resolver mistérios</t>
        </is>
      </c>
    </row>
    <row r="74" ht="26" customHeight="1">
      <c r="A74" s="59" t="inlineStr">
        <is>
          <t>Persuasão</t>
        </is>
      </c>
      <c r="B74" s="21" t="inlineStr">
        <is>
          <t>Presença</t>
        </is>
      </c>
      <c r="C74" s="9" t="inlineStr">
        <is>
          <t>Convencer e negociar</t>
        </is>
      </c>
    </row>
    <row r="75" ht="26" customHeight="1">
      <c r="A75" s="58" t="inlineStr">
        <is>
          <t>Intimidação</t>
        </is>
      </c>
      <c r="B75" s="22" t="inlineStr">
        <is>
          <t>Presença</t>
        </is>
      </c>
      <c r="C75" s="4" t="inlineStr">
        <is>
          <t>Ameaçar e impor respeito</t>
        </is>
      </c>
    </row>
    <row r="76" ht="26" customHeight="1">
      <c r="A76" s="59" t="inlineStr">
        <is>
          <t>Enganação</t>
        </is>
      </c>
      <c r="B76" s="21" t="inlineStr">
        <is>
          <t>Presença</t>
        </is>
      </c>
      <c r="C76" s="9" t="inlineStr">
        <is>
          <t>Mentir, blefar e criar disfarces</t>
        </is>
      </c>
    </row>
    <row r="77" ht="37" customHeight="1">
      <c r="A77" s="58" t="inlineStr">
        <is>
          <t>Liderança</t>
        </is>
      </c>
      <c r="B77" s="22" t="inlineStr">
        <is>
          <t>Presença</t>
        </is>
      </c>
      <c r="C77" s="4" t="inlineStr">
        <is>
          <t>Coordenar aliados, motivar equipes e comandar grupos</t>
        </is>
      </c>
    </row>
    <row r="78" ht="82" customHeight="1">
      <c r="A78" s="59" t="inlineStr">
        <is>
          <t>Sintonia</t>
        </is>
      </c>
      <c r="B78" s="9" t="inlineStr">
        <is>
          <t>Discernimento ou Sincronia</t>
        </is>
      </c>
      <c r="C78" s="9" t="inlineStr">
        <is>
          <t>Usar ou compreender fenômenos ligados aos Caminhos, ao Stellaron, ao Fragmentum e a outras energias sobrenaturais</t>
        </is>
      </c>
    </row>
    <row r="79"/>
    <row r="80">
      <c r="A80" s="14" t="inlineStr">
        <is>
          <t>Testes de Resistência — 04.6</t>
        </is>
      </c>
    </row>
    <row r="81">
      <c r="A81" s="7" t="inlineStr">
        <is>
          <t>Teste de Resistência</t>
        </is>
      </c>
      <c r="B81" s="7" t="inlineStr">
        <is>
          <t>Atributo</t>
        </is>
      </c>
    </row>
    <row r="82">
      <c r="A82" s="58" t="inlineStr">
        <is>
          <t>Potência Física</t>
        </is>
      </c>
      <c r="B82" s="22" t="inlineStr">
        <is>
          <t>Poder</t>
        </is>
      </c>
    </row>
    <row r="83">
      <c r="A83" s="59" t="inlineStr">
        <is>
          <t>Reflexos</t>
        </is>
      </c>
      <c r="B83" s="21" t="inlineStr">
        <is>
          <t>Agilidade</t>
        </is>
      </c>
    </row>
    <row r="84">
      <c r="A84" s="58" t="inlineStr">
        <is>
          <t>Resistência Física</t>
        </is>
      </c>
      <c r="B84" s="22" t="inlineStr">
        <is>
          <t>Vigor</t>
        </is>
      </c>
    </row>
    <row r="85">
      <c r="A85" s="59" t="inlineStr">
        <is>
          <t>Resistência Mental</t>
        </is>
      </c>
      <c r="B85" s="21" t="inlineStr">
        <is>
          <t>Sincronia</t>
        </is>
      </c>
    </row>
    <row r="86">
      <c r="A86" s="58" t="inlineStr">
        <is>
          <t>Percepção Mental</t>
        </is>
      </c>
      <c r="B86" s="22" t="inlineStr">
        <is>
          <t>Discernimento</t>
        </is>
      </c>
    </row>
    <row r="87">
      <c r="A87" s="59" t="inlineStr">
        <is>
          <t>Força de Vontade</t>
        </is>
      </c>
      <c r="B87" s="21" t="inlineStr">
        <is>
          <t>Presença</t>
        </is>
      </c>
    </row>
    <row r="88"/>
    <row r="89">
      <c r="A89" s="14" t="inlineStr">
        <is>
          <t>Caminhos — 06.2 e 06.3 (recurso próprio: capítulos 07 a 15)</t>
        </is>
      </c>
    </row>
    <row r="90" ht="26" customHeight="1">
      <c r="A90" s="7" t="inlineStr">
        <is>
          <t>Caminho</t>
        </is>
      </c>
      <c r="B90" s="7" t="inlineStr">
        <is>
          <t>Aeon</t>
        </is>
      </c>
      <c r="C90" s="7" t="inlineStr">
        <is>
          <t>A ideia, em uma frase</t>
        </is>
      </c>
      <c r="D90" s="7" t="inlineStr">
        <is>
          <t>Atributo de Habilidade</t>
        </is>
      </c>
      <c r="E90" s="7" t="inlineStr">
        <is>
          <t>Opção 1</t>
        </is>
      </c>
      <c r="F90" s="7" t="inlineStr">
        <is>
          <t>Opção 2</t>
        </is>
      </c>
      <c r="G90" s="7" t="inlineStr">
        <is>
          <t>Perícia 1</t>
        </is>
      </c>
      <c r="H90" s="7" t="inlineStr">
        <is>
          <t>Perícia 2</t>
        </is>
      </c>
      <c r="I90" s="7" t="inlineStr">
        <is>
          <t>Perícia 3</t>
        </is>
      </c>
      <c r="J90" s="7" t="inlineStr">
        <is>
          <t>N</t>
        </is>
      </c>
      <c r="K90" s="7" t="inlineStr">
        <is>
          <t>Bônus de VEL</t>
        </is>
      </c>
      <c r="L90" s="7" t="inlineStr">
        <is>
          <t>Recurso próprio</t>
        </is>
      </c>
    </row>
    <row r="91" ht="71" customHeight="1">
      <c r="A91" s="58" t="inlineStr">
        <is>
          <t>A Destruição</t>
        </is>
      </c>
      <c r="B91" s="22" t="inlineStr">
        <is>
          <t>Nanook</t>
        </is>
      </c>
      <c r="C91" s="4" t="inlineStr">
        <is>
          <t>Tudo que foi construído pode cair, e cair abre espaço.</t>
        </is>
      </c>
      <c r="D91" s="22" t="inlineStr">
        <is>
          <t>Poder ou Vigor</t>
        </is>
      </c>
      <c r="E91" s="22" t="inlineStr">
        <is>
          <t>Poder</t>
        </is>
      </c>
      <c r="F91" s="22" t="inlineStr">
        <is>
          <t>Vigor</t>
        </is>
      </c>
      <c r="G91" s="22" t="inlineStr">
        <is>
          <t>Atletismo</t>
        </is>
      </c>
      <c r="H91" s="22" t="inlineStr">
        <is>
          <t>Sobrevivência</t>
        </is>
      </c>
      <c r="I91" s="22" t="inlineStr">
        <is>
          <t>Resistência</t>
        </is>
      </c>
      <c r="J91" s="22" t="n">
        <v>6</v>
      </c>
      <c r="K91" s="22" t="n">
        <v>1</v>
      </c>
      <c r="L91" s="4" t="inlineStr">
        <is>
          <t>Os seus PV, gastos como moeda: 2 × nível por ativação; 5 × nível por dado base do Avatar</t>
        </is>
      </c>
    </row>
    <row r="92" ht="60" customHeight="1">
      <c r="A92" s="59" t="inlineStr">
        <is>
          <t>A Inexistência</t>
        </is>
      </c>
      <c r="B92" s="21" t="inlineStr">
        <is>
          <t>Ix</t>
        </is>
      </c>
      <c r="C92" s="9" t="inlineStr">
        <is>
          <t>Nada precisava existir, e o que existe pode ser negado.</t>
        </is>
      </c>
      <c r="D92" s="9" t="inlineStr">
        <is>
          <t>Discernimento ou Sincronia</t>
        </is>
      </c>
      <c r="E92" s="21" t="inlineStr">
        <is>
          <t>Discernimento</t>
        </is>
      </c>
      <c r="F92" s="21" t="inlineStr">
        <is>
          <t>Sincronia</t>
        </is>
      </c>
      <c r="G92" s="21" t="inlineStr">
        <is>
          <t>Percepção</t>
        </is>
      </c>
      <c r="H92" s="21" t="inlineStr">
        <is>
          <t>Pesquisa</t>
        </is>
      </c>
      <c r="I92" s="21" t="inlineStr">
        <is>
          <t>Furtividade</t>
        </is>
      </c>
      <c r="J92" s="21" t="n">
        <v>4</v>
      </c>
      <c r="K92" s="21" t="n">
        <v>2</v>
      </c>
      <c r="L92" s="9" t="inlineStr">
        <is>
          <t>Nenhum além dos acúmulos das Bênçãos: Marca do Vazio (até 3) e Corrupção (até 5)</t>
        </is>
      </c>
    </row>
    <row r="93" ht="49" customHeight="1">
      <c r="A93" s="58" t="inlineStr">
        <is>
          <t>A Harmonia</t>
        </is>
      </c>
      <c r="B93" s="22" t="inlineStr">
        <is>
          <t>Xipe</t>
        </is>
      </c>
      <c r="C93" s="4" t="inlineStr">
        <is>
          <t>Nenhuma voz sozinha chega onde um coro chega.</t>
        </is>
      </c>
      <c r="D93" s="22" t="inlineStr">
        <is>
          <t>Presença</t>
        </is>
      </c>
      <c r="E93" s="22" t="inlineStr">
        <is>
          <t>Presença</t>
        </is>
      </c>
      <c r="F93" s="22" t="inlineStr"/>
      <c r="G93" s="22" t="inlineStr">
        <is>
          <t>Liderança</t>
        </is>
      </c>
      <c r="H93" s="22" t="inlineStr">
        <is>
          <t>Sintonia</t>
        </is>
      </c>
      <c r="I93" s="22" t="inlineStr">
        <is>
          <t>Persuasão</t>
        </is>
      </c>
      <c r="J93" s="22" t="n">
        <v>3</v>
      </c>
      <c r="K93" s="22" t="n">
        <v>2</v>
      </c>
      <c r="L93" s="4" t="inlineStr">
        <is>
          <t>Nenhum além dos acúmulos das Bênçãos: Eco da Vitória (até 3)</t>
        </is>
      </c>
    </row>
    <row r="94" ht="60" customHeight="1">
      <c r="A94" s="59" t="inlineStr">
        <is>
          <t>A Abundância</t>
        </is>
      </c>
      <c r="B94" s="21" t="inlineStr">
        <is>
          <t>Yaoshi</t>
        </is>
      </c>
      <c r="C94" s="9" t="inlineStr">
        <is>
          <t>Nenhuma vida deveria terminar enquanto houver energia para sustentá-la.</t>
        </is>
      </c>
      <c r="D94" s="9" t="inlineStr">
        <is>
          <t>Presença ou Sincronia</t>
        </is>
      </c>
      <c r="E94" s="21" t="inlineStr">
        <is>
          <t>Presença</t>
        </is>
      </c>
      <c r="F94" s="21" t="inlineStr">
        <is>
          <t>Sincronia</t>
        </is>
      </c>
      <c r="G94" s="21" t="inlineStr">
        <is>
          <t>Liderança</t>
        </is>
      </c>
      <c r="H94" s="21" t="inlineStr">
        <is>
          <t>Intuição</t>
        </is>
      </c>
      <c r="I94" s="21" t="inlineStr">
        <is>
          <t>Sobrevivência</t>
        </is>
      </c>
      <c r="J94" s="21" t="n">
        <v>5</v>
      </c>
      <c r="K94" s="21" t="n">
        <v>1</v>
      </c>
      <c r="L94" s="9" t="inlineStr">
        <is>
          <t>Nenhum além dos acúmulos das Bênçãos: Florescimento (até 5)</t>
        </is>
      </c>
    </row>
    <row r="95" ht="37" customHeight="1">
      <c r="A95" s="58" t="inlineStr">
        <is>
          <t>A Recordação</t>
        </is>
      </c>
      <c r="B95" s="22" t="inlineStr">
        <is>
          <t>Fuli</t>
        </is>
      </c>
      <c r="C95" s="4" t="inlineStr">
        <is>
          <t>Enquanto algo for lembrado, não está perdido.</t>
        </is>
      </c>
      <c r="D95" s="4" t="inlineStr">
        <is>
          <t>Sincronia ou Discernimento</t>
        </is>
      </c>
      <c r="E95" s="22" t="inlineStr">
        <is>
          <t>Sincronia</t>
        </is>
      </c>
      <c r="F95" s="22" t="inlineStr">
        <is>
          <t>Discernimento</t>
        </is>
      </c>
      <c r="G95" s="22" t="inlineStr">
        <is>
          <t>Intimidação</t>
        </is>
      </c>
      <c r="H95" s="22" t="inlineStr">
        <is>
          <t>Investigação</t>
        </is>
      </c>
      <c r="I95" s="22" t="inlineStr">
        <is>
          <t>Ciência</t>
        </is>
      </c>
      <c r="J95" s="22" t="n">
        <v>3</v>
      </c>
      <c r="K95" s="22" t="n">
        <v>1</v>
      </c>
      <c r="L95" s="4" t="inlineStr">
        <is>
          <t>Memoespírito (11.3 a 11.5)</t>
        </is>
      </c>
    </row>
    <row r="96" ht="37" customHeight="1">
      <c r="A96" s="59" t="inlineStr">
        <is>
          <t>A Erudição</t>
        </is>
      </c>
      <c r="B96" s="21" t="inlineStr">
        <is>
          <t>Nous</t>
        </is>
      </c>
      <c r="C96" s="9" t="inlineStr">
        <is>
          <t>Entender é a única forma honesta de poder.</t>
        </is>
      </c>
      <c r="D96" s="21" t="inlineStr">
        <is>
          <t>Sincronia</t>
        </is>
      </c>
      <c r="E96" s="21" t="inlineStr">
        <is>
          <t>Sincronia</t>
        </is>
      </c>
      <c r="F96" s="21" t="inlineStr"/>
      <c r="G96" s="21" t="inlineStr">
        <is>
          <t>Ciência</t>
        </is>
      </c>
      <c r="H96" s="21" t="inlineStr">
        <is>
          <t>Pesquisa</t>
        </is>
      </c>
      <c r="I96" s="21" t="inlineStr">
        <is>
          <t>Tecnologia</t>
        </is>
      </c>
      <c r="J96" s="21" t="n">
        <v>3</v>
      </c>
      <c r="K96" s="21" t="n">
        <v>1</v>
      </c>
      <c r="L96" s="9" t="inlineStr">
        <is>
          <t>Acúmulos de Cálculo (máximo 5)</t>
        </is>
      </c>
    </row>
    <row r="97" ht="48" customHeight="1">
      <c r="A97" s="58" t="inlineStr">
        <is>
          <t>A Euforia</t>
        </is>
      </c>
      <c r="B97" s="22" t="inlineStr">
        <is>
          <t>Aha</t>
        </is>
      </c>
      <c r="C97" s="4" t="inlineStr">
        <is>
          <t>O universo é uma piada boa, e levar a sério é perder a graça.</t>
        </is>
      </c>
      <c r="D97" s="4" t="inlineStr">
        <is>
          <t>Presença ou Discernimento</t>
        </is>
      </c>
      <c r="E97" s="22" t="inlineStr">
        <is>
          <t>Presença</t>
        </is>
      </c>
      <c r="F97" s="22" t="inlineStr">
        <is>
          <t>Discernimento</t>
        </is>
      </c>
      <c r="G97" s="22" t="inlineStr">
        <is>
          <t>Enganação</t>
        </is>
      </c>
      <c r="H97" s="22" t="inlineStr">
        <is>
          <t>Acrobacia</t>
        </is>
      </c>
      <c r="I97" s="22" t="inlineStr">
        <is>
          <t>Persuasão</t>
        </is>
      </c>
      <c r="J97" s="22" t="n">
        <v>3</v>
      </c>
      <c r="K97" s="22" t="n">
        <v>3</v>
      </c>
      <c r="L97" s="4" t="inlineStr">
        <is>
          <t>Tabela do Riso (1d6)</t>
        </is>
      </c>
    </row>
    <row r="98" ht="60" customHeight="1">
      <c r="A98" s="59" t="inlineStr">
        <is>
          <t>A Caça</t>
        </is>
      </c>
      <c r="B98" s="21" t="inlineStr">
        <is>
          <t>Lan</t>
        </is>
      </c>
      <c r="C98" s="9" t="inlineStr">
        <is>
          <t>Existe uma presa, existe um tiro, e o resto é ruído.</t>
        </is>
      </c>
      <c r="D98" s="21" t="inlineStr">
        <is>
          <t>Agilidade</t>
        </is>
      </c>
      <c r="E98" s="21" t="inlineStr">
        <is>
          <t>Agilidade</t>
        </is>
      </c>
      <c r="F98" s="21" t="inlineStr"/>
      <c r="G98" s="21" t="inlineStr">
        <is>
          <t>Furtividade</t>
        </is>
      </c>
      <c r="H98" s="21" t="inlineStr">
        <is>
          <t>Percepção</t>
        </is>
      </c>
      <c r="I98" s="21" t="inlineStr">
        <is>
          <t>Acrobacia</t>
        </is>
      </c>
      <c r="J98" s="21" t="n">
        <v>2</v>
      </c>
      <c r="K98" s="21" t="n">
        <v>4</v>
      </c>
      <c r="L98" s="9" t="inlineStr">
        <is>
          <t>Marcação de Presa (1 alvo) + faixa de crítico 19-20 com Olho de Lan</t>
        </is>
      </c>
    </row>
    <row r="99" ht="37" customHeight="1">
      <c r="A99" s="58" t="inlineStr">
        <is>
          <t>A Preservação</t>
        </is>
      </c>
      <c r="B99" s="22" t="inlineStr">
        <is>
          <t>Qlipoth</t>
        </is>
      </c>
      <c r="C99" s="4" t="inlineStr">
        <is>
          <t>Enquanto a muralha estiver de pé, o que está atrás dela vive.</t>
        </is>
      </c>
      <c r="D99" s="22" t="inlineStr">
        <is>
          <t>Vigor ou Poder</t>
        </is>
      </c>
      <c r="E99" s="22" t="inlineStr">
        <is>
          <t>Vigor</t>
        </is>
      </c>
      <c r="F99" s="22" t="inlineStr">
        <is>
          <t>Poder</t>
        </is>
      </c>
      <c r="G99" s="22" t="inlineStr">
        <is>
          <t>Resistência</t>
        </is>
      </c>
      <c r="H99" s="22" t="inlineStr">
        <is>
          <t>Atletismo</t>
        </is>
      </c>
      <c r="I99" s="22" t="inlineStr">
        <is>
          <t>Intuição</t>
        </is>
      </c>
      <c r="J99" s="22" t="n">
        <v>5</v>
      </c>
      <c r="K99" s="22" t="n">
        <v>0</v>
      </c>
      <c r="L99" s="4" t="inlineStr">
        <is>
          <t>Barreira (teto 3 × Eficiência)</t>
        </is>
      </c>
    </row>
    <row r="100"/>
    <row r="101">
      <c r="A101" s="14" t="inlineStr">
        <is>
          <t>PV com Bônus de Vigor +2 — 06.4</t>
        </is>
      </c>
    </row>
    <row r="102" ht="48" customHeight="1">
      <c r="A102" s="7" t="inlineStr">
        <is>
          <t>Nível</t>
        </is>
      </c>
      <c r="B102" s="7" t="inlineStr">
        <is>
          <t>N=6 Destruição</t>
        </is>
      </c>
      <c r="C102" s="7" t="inlineStr">
        <is>
          <t>N=5 Preservação / Abundância</t>
        </is>
      </c>
      <c r="D102" s="7" t="inlineStr">
        <is>
          <t>N=4 Inexistência</t>
        </is>
      </c>
      <c r="E102" s="7" t="inlineStr">
        <is>
          <t>N=3 Harmonia / Erudição / Euforia / Recordação</t>
        </is>
      </c>
      <c r="F102" s="7" t="inlineStr">
        <is>
          <t>N=2 Caça</t>
        </is>
      </c>
    </row>
    <row r="103">
      <c r="A103" s="58" t="n">
        <v>1</v>
      </c>
      <c r="B103" s="22" t="n">
        <v>61</v>
      </c>
      <c r="C103" s="22" t="n">
        <v>56</v>
      </c>
      <c r="D103" s="22" t="n">
        <v>51</v>
      </c>
      <c r="E103" s="22" t="n">
        <v>46</v>
      </c>
      <c r="F103" s="22" t="n">
        <v>41</v>
      </c>
    </row>
    <row r="104">
      <c r="A104" s="59" t="n">
        <v>2</v>
      </c>
      <c r="B104" s="21" t="n">
        <v>74</v>
      </c>
      <c r="C104" s="21" t="n">
        <v>68</v>
      </c>
      <c r="D104" s="21" t="n">
        <v>62</v>
      </c>
      <c r="E104" s="21" t="n">
        <v>56</v>
      </c>
      <c r="F104" s="21" t="n">
        <v>50</v>
      </c>
    </row>
    <row r="105">
      <c r="A105" s="58" t="n">
        <v>3</v>
      </c>
      <c r="B105" s="22" t="n">
        <v>87</v>
      </c>
      <c r="C105" s="22" t="n">
        <v>80</v>
      </c>
      <c r="D105" s="22" t="n">
        <v>73</v>
      </c>
      <c r="E105" s="22" t="n">
        <v>66</v>
      </c>
      <c r="F105" s="22" t="n">
        <v>59</v>
      </c>
    </row>
    <row r="106">
      <c r="A106" s="59" t="n">
        <v>4</v>
      </c>
      <c r="B106" s="21" t="n">
        <v>100</v>
      </c>
      <c r="C106" s="21" t="n">
        <v>92</v>
      </c>
      <c r="D106" s="21" t="n">
        <v>84</v>
      </c>
      <c r="E106" s="21" t="n">
        <v>76</v>
      </c>
      <c r="F106" s="21" t="n">
        <v>68</v>
      </c>
    </row>
    <row r="107">
      <c r="A107" s="58" t="n">
        <v>5</v>
      </c>
      <c r="B107" s="22" t="n">
        <v>113</v>
      </c>
      <c r="C107" s="22" t="n">
        <v>104</v>
      </c>
      <c r="D107" s="22" t="n">
        <v>95</v>
      </c>
      <c r="E107" s="22" t="n">
        <v>86</v>
      </c>
      <c r="F107" s="22" t="n">
        <v>77</v>
      </c>
    </row>
    <row r="108">
      <c r="A108" s="59" t="n">
        <v>6</v>
      </c>
      <c r="B108" s="21" t="n">
        <v>126</v>
      </c>
      <c r="C108" s="21" t="n">
        <v>116</v>
      </c>
      <c r="D108" s="21" t="n">
        <v>106</v>
      </c>
      <c r="E108" s="21" t="n">
        <v>96</v>
      </c>
      <c r="F108" s="21" t="n">
        <v>86</v>
      </c>
    </row>
    <row r="109">
      <c r="A109" s="58" t="n">
        <v>7</v>
      </c>
      <c r="B109" s="22" t="n">
        <v>139</v>
      </c>
      <c r="C109" s="22" t="n">
        <v>128</v>
      </c>
      <c r="D109" s="22" t="n">
        <v>117</v>
      </c>
      <c r="E109" s="22" t="n">
        <v>106</v>
      </c>
      <c r="F109" s="22" t="n">
        <v>95</v>
      </c>
    </row>
    <row r="110">
      <c r="A110" s="59" t="n">
        <v>8</v>
      </c>
      <c r="B110" s="21" t="n">
        <v>152</v>
      </c>
      <c r="C110" s="21" t="n">
        <v>140</v>
      </c>
      <c r="D110" s="21" t="n">
        <v>128</v>
      </c>
      <c r="E110" s="21" t="n">
        <v>116</v>
      </c>
      <c r="F110" s="21" t="n">
        <v>104</v>
      </c>
    </row>
    <row r="111">
      <c r="A111" s="58" t="n">
        <v>9</v>
      </c>
      <c r="B111" s="22" t="n">
        <v>165</v>
      </c>
      <c r="C111" s="22" t="n">
        <v>152</v>
      </c>
      <c r="D111" s="22" t="n">
        <v>139</v>
      </c>
      <c r="E111" s="22" t="n">
        <v>126</v>
      </c>
      <c r="F111" s="22" t="n">
        <v>113</v>
      </c>
    </row>
    <row r="112">
      <c r="A112" s="59" t="n">
        <v>10</v>
      </c>
      <c r="B112" s="21" t="n">
        <v>178</v>
      </c>
      <c r="C112" s="21" t="n">
        <v>164</v>
      </c>
      <c r="D112" s="21" t="n">
        <v>150</v>
      </c>
      <c r="E112" s="21" t="n">
        <v>136</v>
      </c>
      <c r="F112" s="21" t="n">
        <v>122</v>
      </c>
    </row>
    <row r="113">
      <c r="A113" s="58" t="n">
        <v>11</v>
      </c>
      <c r="B113" s="22" t="n">
        <v>191</v>
      </c>
      <c r="C113" s="22" t="n">
        <v>176</v>
      </c>
      <c r="D113" s="22" t="n">
        <v>161</v>
      </c>
      <c r="E113" s="22" t="n">
        <v>146</v>
      </c>
      <c r="F113" s="22" t="n">
        <v>131</v>
      </c>
    </row>
    <row r="114">
      <c r="A114" s="59" t="n">
        <v>12</v>
      </c>
      <c r="B114" s="21" t="n">
        <v>204</v>
      </c>
      <c r="C114" s="21" t="n">
        <v>188</v>
      </c>
      <c r="D114" s="21" t="n">
        <v>172</v>
      </c>
      <c r="E114" s="21" t="n">
        <v>156</v>
      </c>
      <c r="F114" s="21" t="n">
        <v>140</v>
      </c>
    </row>
    <row r="115">
      <c r="A115" s="58" t="n">
        <v>13</v>
      </c>
      <c r="B115" s="22" t="n">
        <v>217</v>
      </c>
      <c r="C115" s="22" t="n">
        <v>200</v>
      </c>
      <c r="D115" s="22" t="n">
        <v>183</v>
      </c>
      <c r="E115" s="22" t="n">
        <v>166</v>
      </c>
      <c r="F115" s="22" t="n">
        <v>149</v>
      </c>
    </row>
    <row r="116">
      <c r="A116" s="59" t="n">
        <v>14</v>
      </c>
      <c r="B116" s="21" t="n">
        <v>230</v>
      </c>
      <c r="C116" s="21" t="n">
        <v>212</v>
      </c>
      <c r="D116" s="21" t="n">
        <v>194</v>
      </c>
      <c r="E116" s="21" t="n">
        <v>176</v>
      </c>
      <c r="F116" s="21" t="n">
        <v>158</v>
      </c>
    </row>
    <row r="117">
      <c r="A117" s="58" t="n">
        <v>15</v>
      </c>
      <c r="B117" s="22" t="n">
        <v>243</v>
      </c>
      <c r="C117" s="22" t="n">
        <v>224</v>
      </c>
      <c r="D117" s="22" t="n">
        <v>205</v>
      </c>
      <c r="E117" s="22" t="n">
        <v>186</v>
      </c>
      <c r="F117" s="22" t="n">
        <v>167</v>
      </c>
    </row>
    <row r="118">
      <c r="A118" s="59" t="n">
        <v>16</v>
      </c>
      <c r="B118" s="21" t="n">
        <v>256</v>
      </c>
      <c r="C118" s="21" t="n">
        <v>236</v>
      </c>
      <c r="D118" s="21" t="n">
        <v>216</v>
      </c>
      <c r="E118" s="21" t="n">
        <v>196</v>
      </c>
      <c r="F118" s="21" t="n">
        <v>176</v>
      </c>
    </row>
    <row r="119">
      <c r="A119" s="58" t="n">
        <v>17</v>
      </c>
      <c r="B119" s="22" t="n">
        <v>269</v>
      </c>
      <c r="C119" s="22" t="n">
        <v>248</v>
      </c>
      <c r="D119" s="22" t="n">
        <v>227</v>
      </c>
      <c r="E119" s="22" t="n">
        <v>206</v>
      </c>
      <c r="F119" s="22" t="n">
        <v>185</v>
      </c>
    </row>
    <row r="120">
      <c r="A120" s="59" t="n">
        <v>18</v>
      </c>
      <c r="B120" s="21" t="n">
        <v>282</v>
      </c>
      <c r="C120" s="21" t="n">
        <v>260</v>
      </c>
      <c r="D120" s="21" t="n">
        <v>238</v>
      </c>
      <c r="E120" s="21" t="n">
        <v>216</v>
      </c>
      <c r="F120" s="21" t="n">
        <v>194</v>
      </c>
    </row>
    <row r="121">
      <c r="A121" s="58" t="n">
        <v>19</v>
      </c>
      <c r="B121" s="22" t="n">
        <v>295</v>
      </c>
      <c r="C121" s="22" t="n">
        <v>272</v>
      </c>
      <c r="D121" s="22" t="n">
        <v>249</v>
      </c>
      <c r="E121" s="22" t="n">
        <v>226</v>
      </c>
      <c r="F121" s="22" t="n">
        <v>203</v>
      </c>
    </row>
    <row r="122">
      <c r="A122" s="59" t="n">
        <v>20</v>
      </c>
      <c r="B122" s="21" t="n">
        <v>308</v>
      </c>
      <c r="C122" s="21" t="n">
        <v>284</v>
      </c>
      <c r="D122" s="21" t="n">
        <v>260</v>
      </c>
      <c r="E122" s="21" t="n">
        <v>236</v>
      </c>
      <c r="F122" s="21" t="n">
        <v>212</v>
      </c>
    </row>
    <row r="123"/>
    <row r="124">
      <c r="A124" s="14" t="inlineStr">
        <is>
          <t>Bênçãos — capítulos 07 a 15 (12 por Caminho)</t>
        </is>
      </c>
    </row>
    <row r="125">
      <c r="A125" s="7" t="inlineStr">
        <is>
          <t>Caminho</t>
        </is>
      </c>
      <c r="B125" s="7" t="inlineStr">
        <is>
          <t>Nº</t>
        </is>
      </c>
      <c r="C125" s="7" t="inlineStr">
        <is>
          <t>Bênção</t>
        </is>
      </c>
      <c r="D125" s="7" t="inlineStr">
        <is>
          <t>Tier</t>
        </is>
      </c>
      <c r="E125" s="7" t="inlineStr">
        <is>
          <t>Requisito (nível)</t>
        </is>
      </c>
      <c r="F125" s="7" t="inlineStr">
        <is>
          <t>Em uma linha</t>
        </is>
      </c>
      <c r="G125" s="7" t="inlineStr">
        <is>
          <t>Frequência</t>
        </is>
      </c>
      <c r="H125" s="7" t="inlineStr">
        <is>
          <t>Nova da v1.0</t>
        </is>
      </c>
    </row>
    <row r="126" ht="26" customHeight="1">
      <c r="A126" s="58" t="inlineStr">
        <is>
          <t>A Destruição</t>
        </is>
      </c>
      <c r="B126" s="22" t="n">
        <v>1</v>
      </c>
      <c r="C126" s="22" t="inlineStr">
        <is>
          <t>Pacto da Ruína</t>
        </is>
      </c>
      <c r="D126" s="22" t="inlineStr">
        <is>
          <t>I</t>
        </is>
      </c>
      <c r="E126" s="22" t="n">
        <v>1</v>
      </c>
      <c r="F126" s="4" t="inlineStr">
        <is>
          <t>Gaste 2 × nível PV por +Eficiência de dano; dobra abaixo da metade dos PV</t>
        </is>
      </c>
      <c r="G126" s="22" t="inlineStr">
        <is>
          <t>Uma vez por turno</t>
        </is>
      </c>
      <c r="H126" s="22" t="inlineStr">
        <is>
          <t>Não</t>
        </is>
      </c>
    </row>
    <row r="127" ht="37" customHeight="1">
      <c r="A127" s="59" t="inlineStr">
        <is>
          <t>A Destruição</t>
        </is>
      </c>
      <c r="B127" s="21" t="n">
        <v>2</v>
      </c>
      <c r="C127" s="21" t="inlineStr">
        <is>
          <t>Corpo Forjado na Dor</t>
        </is>
      </c>
      <c r="D127" s="21" t="inlineStr">
        <is>
          <t>I</t>
        </is>
      </c>
      <c r="E127" s="21" t="n">
        <v>1</v>
      </c>
      <c r="F127" s="9" t="inlineStr">
        <is>
          <t>Resistência a um Elemento abaixo da metade dos PV; 1 vez por combate, fica com 1 PV</t>
        </is>
      </c>
      <c r="G127" s="21" t="inlineStr">
        <is>
          <t>Uma vez por combate</t>
        </is>
      </c>
      <c r="H127" s="21" t="inlineStr">
        <is>
          <t>Não</t>
        </is>
      </c>
    </row>
    <row r="128" ht="37" customHeight="1">
      <c r="A128" s="58" t="inlineStr">
        <is>
          <t>A Destruição</t>
        </is>
      </c>
      <c r="B128" s="22" t="n">
        <v>3</v>
      </c>
      <c r="C128" s="4" t="inlineStr">
        <is>
          <t>Quebrador de Mundos</t>
        </is>
      </c>
      <c r="D128" s="22" t="inlineStr">
        <is>
          <t>I</t>
        </is>
      </c>
      <c r="E128" s="22" t="n">
        <v>1</v>
      </c>
      <c r="F128" s="4" t="inlineStr">
        <is>
          <t>Dados cheios contra Resistência, ignora 2 de RD, ignora Defesa contra quem tem Fraqueza</t>
        </is>
      </c>
      <c r="G128" s="22" t="inlineStr">
        <is>
          <t>Sem limite declarado</t>
        </is>
      </c>
      <c r="H128" s="22" t="inlineStr">
        <is>
          <t>Não</t>
        </is>
      </c>
    </row>
    <row r="129" ht="26" customHeight="1">
      <c r="A129" s="59" t="inlineStr">
        <is>
          <t>A Destruição</t>
        </is>
      </c>
      <c r="B129" s="21" t="n">
        <v>4</v>
      </c>
      <c r="C129" s="9" t="inlineStr">
        <is>
          <t>Sacrifício Desesperado</t>
        </is>
      </c>
      <c r="D129" s="21" t="inlineStr">
        <is>
          <t>I</t>
        </is>
      </c>
      <c r="E129" s="21" t="n">
        <v>1</v>
      </c>
      <c r="F129" s="9" t="inlineStr">
        <is>
          <t>Até 2 acúmulos de +1d6, pagos com 2 × nível PV cada</t>
        </is>
      </c>
      <c r="G129" s="21" t="inlineStr">
        <is>
          <t>Sem limite declarado</t>
        </is>
      </c>
      <c r="H129" s="21" t="inlineStr">
        <is>
          <t>Não</t>
        </is>
      </c>
    </row>
    <row r="130" ht="26" customHeight="1">
      <c r="A130" s="58" t="inlineStr">
        <is>
          <t>A Destruição</t>
        </is>
      </c>
      <c r="B130" s="22" t="n">
        <v>5</v>
      </c>
      <c r="C130" s="4" t="inlineStr">
        <is>
          <t>Instinto de Sobrevivência</t>
        </is>
      </c>
      <c r="D130" s="22" t="inlineStr">
        <is>
          <t>I</t>
        </is>
      </c>
      <c r="E130" s="22" t="n">
        <v>1</v>
      </c>
      <c r="F130" s="4" t="inlineStr">
        <is>
          <t>Com um terço dos PV ou menos: +2 em ataques e +1 Distância</t>
        </is>
      </c>
      <c r="G130" s="22" t="inlineStr">
        <is>
          <t>Sem limite declarado</t>
        </is>
      </c>
      <c r="H130" s="22" t="inlineStr">
        <is>
          <t>Não</t>
        </is>
      </c>
    </row>
    <row r="131" ht="26" customHeight="1">
      <c r="A131" s="59" t="inlineStr">
        <is>
          <t>A Destruição</t>
        </is>
      </c>
      <c r="B131" s="21" t="n">
        <v>6</v>
      </c>
      <c r="C131" s="21" t="inlineStr">
        <is>
          <t>Impacto Devastador</t>
        </is>
      </c>
      <c r="D131" s="21" t="inlineStr">
        <is>
          <t>I</t>
        </is>
      </c>
      <c r="E131" s="21" t="n">
        <v>1</v>
      </c>
      <c r="F131" s="9" t="inlineStr">
        <is>
          <t>Crítico ou abate concede Ação Extra (teto de 1 por Ciclo)</t>
        </is>
      </c>
      <c r="G131" s="21" t="inlineStr">
        <is>
          <t>Sem limite declarado</t>
        </is>
      </c>
      <c r="H131" s="21" t="inlineStr">
        <is>
          <t>Não</t>
        </is>
      </c>
    </row>
    <row r="132" ht="26" customHeight="1">
      <c r="A132" s="58" t="inlineStr">
        <is>
          <t>A Destruição</t>
        </is>
      </c>
      <c r="B132" s="22" t="n">
        <v>7</v>
      </c>
      <c r="C132" s="4" t="inlineStr">
        <is>
          <t>Cicatriz da Destruição</t>
        </is>
      </c>
      <c r="D132" s="22" t="inlineStr">
        <is>
          <t>II</t>
        </is>
      </c>
      <c r="E132" s="22" t="n">
        <v>9</v>
      </c>
      <c r="F132" s="4" t="inlineStr">
        <is>
          <t>Marcas da Ruína: +1 de dano e +1 em dois Testes, até 5, dentro do teto</t>
        </is>
      </c>
      <c r="G132" s="22" t="inlineStr">
        <is>
          <t>Sem limite declarado</t>
        </is>
      </c>
      <c r="H132" s="22" t="inlineStr">
        <is>
          <t>Não</t>
        </is>
      </c>
    </row>
    <row r="133" ht="37" customHeight="1">
      <c r="A133" s="59" t="inlineStr">
        <is>
          <t>A Destruição</t>
        </is>
      </c>
      <c r="B133" s="21" t="n">
        <v>8</v>
      </c>
      <c r="C133" s="9" t="inlineStr">
        <is>
          <t>Aniquilador de Resistências</t>
        </is>
      </c>
      <c r="D133" s="21" t="inlineStr">
        <is>
          <t>II</t>
        </is>
      </c>
      <c r="E133" s="21" t="n">
        <v>9</v>
      </c>
      <c r="F133" s="9" t="inlineStr">
        <is>
          <t>Dois acertos seguidos forçam Teste de Resistência Física; dobra a Redução de Tenacidade</t>
        </is>
      </c>
      <c r="G133" s="21" t="inlineStr">
        <is>
          <t>Sem limite declarado</t>
        </is>
      </c>
      <c r="H133" s="21" t="inlineStr">
        <is>
          <t>Não</t>
        </is>
      </c>
    </row>
    <row r="134" ht="26" customHeight="1">
      <c r="A134" s="58" t="inlineStr">
        <is>
          <t>A Destruição</t>
        </is>
      </c>
      <c r="B134" s="22" t="n">
        <v>9</v>
      </c>
      <c r="C134" s="4" t="inlineStr">
        <is>
          <t>Último Fragmento de Vida</t>
        </is>
      </c>
      <c r="D134" s="22" t="inlineStr">
        <is>
          <t>II</t>
        </is>
      </c>
      <c r="E134" s="22" t="n">
        <v>9</v>
      </c>
      <c r="F134" s="4" t="inlineStr">
        <is>
          <t>A 0 PV, 1 turno de pé com Vantagem, +1d6 e ignorando Resistência</t>
        </is>
      </c>
      <c r="G134" s="22" t="inlineStr">
        <is>
          <t>Uma vez por Descanso Longo</t>
        </is>
      </c>
      <c r="H134" s="22" t="inlineStr">
        <is>
          <t>Não</t>
        </is>
      </c>
    </row>
    <row r="135" ht="26" customHeight="1">
      <c r="A135" s="59" t="inlineStr">
        <is>
          <t>A Destruição</t>
        </is>
      </c>
      <c r="B135" s="21" t="n">
        <v>10</v>
      </c>
      <c r="C135" s="21" t="inlineStr">
        <is>
          <t>Juramento de Cinzas</t>
        </is>
      </c>
      <c r="D135" s="21" t="inlineStr">
        <is>
          <t>II</t>
        </is>
      </c>
      <c r="E135" s="21" t="n">
        <v>9</v>
      </c>
      <c r="F135" s="9" t="inlineStr">
        <is>
          <t>2 × nível PV por +1 de Tenacidade por acerto e +2 RD</t>
        </is>
      </c>
      <c r="G135" s="21" t="inlineStr">
        <is>
          <t>Uma vez por Ciclo</t>
        </is>
      </c>
      <c r="H135" s="21" t="inlineStr">
        <is>
          <t>Sim</t>
        </is>
      </c>
    </row>
    <row r="136" ht="26" customHeight="1">
      <c r="A136" s="58" t="inlineStr">
        <is>
          <t>A Destruição</t>
        </is>
      </c>
      <c r="B136" s="22" t="n">
        <v>11</v>
      </c>
      <c r="C136" s="22" t="inlineStr">
        <is>
          <t>Avatar da Destruição</t>
        </is>
      </c>
      <c r="D136" s="22" t="inlineStr">
        <is>
          <t>III</t>
        </is>
      </c>
      <c r="E136" s="22" t="n">
        <v>17</v>
      </c>
      <c r="F136" s="4" t="inlineStr">
        <is>
          <t>5 × nível PV por dado (máx. +2 por Ciclo), área ferido, dobro de Tenacidade</t>
        </is>
      </c>
      <c r="G136" s="22" t="inlineStr">
        <is>
          <t>Uma vez por combate</t>
        </is>
      </c>
      <c r="H136" s="22" t="inlineStr">
        <is>
          <t>Não</t>
        </is>
      </c>
    </row>
    <row r="137" ht="26" customHeight="1">
      <c r="A137" s="59" t="inlineStr">
        <is>
          <t>A Destruição</t>
        </is>
      </c>
      <c r="B137" s="21" t="n">
        <v>12</v>
      </c>
      <c r="C137" s="21" t="inlineStr">
        <is>
          <t>Fim de Toda Muralha</t>
        </is>
      </c>
      <c r="D137" s="21" t="inlineStr">
        <is>
          <t>III</t>
        </is>
      </c>
      <c r="E137" s="21" t="n">
        <v>17</v>
      </c>
      <c r="F137" s="9" t="inlineStr">
        <is>
          <t>1 vez por combate: Ataque Básico em 3 alvos, dados cheios por 5 × nível PV</t>
        </is>
      </c>
      <c r="G137" s="21" t="inlineStr">
        <is>
          <t>Uma vez por combate</t>
        </is>
      </c>
      <c r="H137" s="21" t="inlineStr">
        <is>
          <t>Sim</t>
        </is>
      </c>
    </row>
    <row r="138" ht="37" customHeight="1">
      <c r="A138" s="58" t="inlineStr">
        <is>
          <t>A Inexistência</t>
        </is>
      </c>
      <c r="B138" s="22" t="n">
        <v>1</v>
      </c>
      <c r="C138" s="22" t="inlineStr">
        <is>
          <t>Marca do Vazio</t>
        </is>
      </c>
      <c r="D138" s="22" t="inlineStr">
        <is>
          <t>I</t>
        </is>
      </c>
      <c r="E138" s="22" t="n">
        <v>1</v>
      </c>
      <c r="F138" s="4" t="inlineStr">
        <is>
          <t>Marcado por 3 turnos: +1 no seu ataque, -1 em Resistência, Lentidão e 1d6 + Eficiência por turno</t>
        </is>
      </c>
      <c r="G138" s="22" t="inlineStr">
        <is>
          <t>Uma vez por turno</t>
        </is>
      </c>
      <c r="H138" s="22" t="inlineStr">
        <is>
          <t>Não</t>
        </is>
      </c>
    </row>
    <row r="139" ht="26" customHeight="1">
      <c r="A139" s="59" t="inlineStr">
        <is>
          <t>A Inexistência</t>
        </is>
      </c>
      <c r="B139" s="21" t="n">
        <v>2</v>
      </c>
      <c r="C139" s="9" t="inlineStr">
        <is>
          <t>Corrupção Progressiva</t>
        </is>
      </c>
      <c r="D139" s="21" t="inlineStr">
        <is>
          <t>I</t>
        </is>
      </c>
      <c r="E139" s="21" t="n">
        <v>1</v>
      </c>
      <c r="F139" s="9" t="inlineStr">
        <is>
          <t>Acúmulos de Corrupção até 5; no quinto, Ruptura com dados e total dobrados</t>
        </is>
      </c>
      <c r="G139" s="21" t="inlineStr">
        <is>
          <t>Uma vez por combate por alvo</t>
        </is>
      </c>
      <c r="H139" s="21" t="inlineStr">
        <is>
          <t>Não</t>
        </is>
      </c>
    </row>
    <row r="140" ht="37" customHeight="1">
      <c r="A140" s="58" t="inlineStr">
        <is>
          <t>A Inexistência</t>
        </is>
      </c>
      <c r="B140" s="22" t="n">
        <v>3</v>
      </c>
      <c r="C140" s="22" t="inlineStr">
        <is>
          <t>Olhar da Ausência</t>
        </is>
      </c>
      <c r="D140" s="22" t="inlineStr">
        <is>
          <t>I</t>
        </is>
      </c>
      <c r="E140" s="22" t="n">
        <v>1</v>
      </c>
      <c r="F140" s="4" t="inlineStr">
        <is>
          <t>Um alvo por vez: -2 de Defesa, Desvantagem no primeiro ataque, metade da cura</t>
        </is>
      </c>
      <c r="G140" s="22" t="inlineStr">
        <is>
          <t>Sem limite declarado</t>
        </is>
      </c>
      <c r="H140" s="22" t="inlineStr">
        <is>
          <t>Não</t>
        </is>
      </c>
    </row>
    <row r="141" ht="26" customHeight="1">
      <c r="A141" s="59" t="inlineStr">
        <is>
          <t>A Inexistência</t>
        </is>
      </c>
      <c r="B141" s="21" t="n">
        <v>4</v>
      </c>
      <c r="C141" s="21" t="inlineStr">
        <is>
          <t>Veneno do Nada</t>
        </is>
      </c>
      <c r="D141" s="21" t="inlineStr">
        <is>
          <t>I</t>
        </is>
      </c>
      <c r="E141" s="21" t="n">
        <v>1</v>
      </c>
      <c r="F141" s="9" t="inlineStr">
        <is>
          <t>Dano Contínuo de qualquer Elemento, crescendo até +3</t>
        </is>
      </c>
      <c r="G141" s="21" t="inlineStr">
        <is>
          <t>Sem limite declarado</t>
        </is>
      </c>
      <c r="H141" s="21" t="inlineStr">
        <is>
          <t>Não</t>
        </is>
      </c>
    </row>
    <row r="142" ht="26" customHeight="1">
      <c r="A142" s="58" t="inlineStr">
        <is>
          <t>A Inexistência</t>
        </is>
      </c>
      <c r="B142" s="22" t="n">
        <v>5</v>
      </c>
      <c r="C142" s="4" t="inlineStr">
        <is>
          <t>Silêncio da Existência</t>
        </is>
      </c>
      <c r="D142" s="22" t="inlineStr">
        <is>
          <t>I</t>
        </is>
      </c>
      <c r="E142" s="22" t="n">
        <v>1</v>
      </c>
      <c r="F142" s="4" t="inlineStr">
        <is>
          <t>-1 em ataques acumulando até o teto da faixa, e Silenciado</t>
        </is>
      </c>
      <c r="G142" s="22" t="inlineStr">
        <is>
          <t>Sem limite declarado</t>
        </is>
      </c>
      <c r="H142" s="22" t="inlineStr">
        <is>
          <t>Não</t>
        </is>
      </c>
    </row>
    <row r="143" ht="26" customHeight="1">
      <c r="A143" s="59" t="inlineStr">
        <is>
          <t>A Inexistência</t>
        </is>
      </c>
      <c r="B143" s="21" t="n">
        <v>6</v>
      </c>
      <c r="C143" s="21" t="inlineStr">
        <is>
          <t>Mestre das Aflições</t>
        </is>
      </c>
      <c r="D143" s="21" t="inlineStr">
        <is>
          <t>I</t>
        </is>
      </c>
      <c r="E143" s="21" t="n">
        <v>1</v>
      </c>
      <c r="F143" s="9" t="inlineStr">
        <is>
          <t>Efeito novo sobre efeito antigo: +1 turno e +1 dado; transfere Dano Contínuo</t>
        </is>
      </c>
      <c r="G143" s="21" t="inlineStr">
        <is>
          <t>Uma vez por Ciclo</t>
        </is>
      </c>
      <c r="H143" s="21" t="inlineStr">
        <is>
          <t>Não</t>
        </is>
      </c>
    </row>
    <row r="144" ht="26" customHeight="1">
      <c r="A144" s="58" t="inlineStr">
        <is>
          <t>A Inexistência</t>
        </is>
      </c>
      <c r="B144" s="22" t="n">
        <v>7</v>
      </c>
      <c r="C144" s="22" t="inlineStr">
        <is>
          <t>Erosão Mental</t>
        </is>
      </c>
      <c r="D144" s="22" t="inlineStr">
        <is>
          <t>II</t>
        </is>
      </c>
      <c r="E144" s="22" t="n">
        <v>9</v>
      </c>
      <c r="F144" s="4" t="inlineStr">
        <is>
          <t>Teste de Força de Vontade no tique: sem Reação, -1 em ataques e Vulnerável</t>
        </is>
      </c>
      <c r="G144" s="22" t="inlineStr">
        <is>
          <t>Uma vez por turno</t>
        </is>
      </c>
      <c r="H144" s="22" t="inlineStr">
        <is>
          <t>Não</t>
        </is>
      </c>
    </row>
    <row r="145" ht="26" customHeight="1">
      <c r="A145" s="59" t="inlineStr">
        <is>
          <t>A Inexistência</t>
        </is>
      </c>
      <c r="B145" s="21" t="n">
        <v>8</v>
      </c>
      <c r="C145" s="9" t="inlineStr">
        <is>
          <t>Névoa da Inexistência</t>
        </is>
      </c>
      <c r="D145" s="21" t="inlineStr">
        <is>
          <t>II</t>
        </is>
      </c>
      <c r="E145" s="21" t="n">
        <v>9</v>
      </c>
      <c r="F145" s="9" t="inlineStr">
        <is>
          <t>Zona em 3 inimigos: Dano Contínuo, -2 de Defesa, metade da cura</t>
        </is>
      </c>
      <c r="G145" s="21" t="inlineStr">
        <is>
          <t>Uma vez por turno</t>
        </is>
      </c>
      <c r="H145" s="21" t="inlineStr">
        <is>
          <t>Não</t>
        </is>
      </c>
    </row>
    <row r="146" ht="37" customHeight="1">
      <c r="A146" s="58" t="inlineStr">
        <is>
          <t>A Inexistência</t>
        </is>
      </c>
      <c r="B146" s="22" t="n">
        <v>9</v>
      </c>
      <c r="C146" s="22" t="inlineStr">
        <is>
          <t>Colapso das Defesas</t>
        </is>
      </c>
      <c r="D146" s="22" t="inlineStr">
        <is>
          <t>II</t>
        </is>
      </c>
      <c r="E146" s="22" t="n">
        <v>9</v>
      </c>
      <c r="F146" s="4" t="inlineStr">
        <is>
          <t>Com 3 efeitos seus: ignora Defesa, +1 dado no Dano Contínuo, Desvantagem em Resistência</t>
        </is>
      </c>
      <c r="G146" s="22" t="inlineStr">
        <is>
          <t>Sem limite declarado</t>
        </is>
      </c>
      <c r="H146" s="22" t="inlineStr">
        <is>
          <t>Não</t>
        </is>
      </c>
    </row>
    <row r="147" ht="26" customHeight="1">
      <c r="A147" s="59" t="inlineStr">
        <is>
          <t>A Inexistência</t>
        </is>
      </c>
      <c r="B147" s="21" t="n">
        <v>10</v>
      </c>
      <c r="C147" s="9" t="inlineStr">
        <is>
          <t>Implante de Fraqueza</t>
        </is>
      </c>
      <c r="D147" s="21" t="inlineStr">
        <is>
          <t>II</t>
        </is>
      </c>
      <c r="E147" s="21" t="n">
        <v>9</v>
      </c>
      <c r="F147" s="9" t="inlineStr">
        <is>
          <t>Ação Complementar + 1 PH: o alvo ganha uma Fraqueza nova por 1 Ciclo</t>
        </is>
      </c>
      <c r="G147" s="21" t="inlineStr">
        <is>
          <t>Uma vez por combate</t>
        </is>
      </c>
      <c r="H147" s="21" t="inlineStr">
        <is>
          <t>Sim</t>
        </is>
      </c>
    </row>
    <row r="148" ht="26" customHeight="1">
      <c r="A148" s="58" t="inlineStr">
        <is>
          <t>A Inexistência</t>
        </is>
      </c>
      <c r="B148" s="22" t="n">
        <v>11</v>
      </c>
      <c r="C148" s="22" t="inlineStr">
        <is>
          <t>Avatar do Vazio</t>
        </is>
      </c>
      <c r="D148" s="22" t="inlineStr">
        <is>
          <t>III</t>
        </is>
      </c>
      <c r="E148" s="22" t="n">
        <v>17</v>
      </c>
      <c r="F148" s="4" t="inlineStr">
        <is>
          <t>Efeitos quase irremovíveis, contágio, -1 dado inimigo, Ruptura de 5 × nível</t>
        </is>
      </c>
      <c r="G148" s="22" t="inlineStr">
        <is>
          <t>Uma vez por combate</t>
        </is>
      </c>
      <c r="H148" s="22" t="inlineStr">
        <is>
          <t>Não</t>
        </is>
      </c>
    </row>
    <row r="149" ht="26" customHeight="1">
      <c r="A149" s="59" t="inlineStr">
        <is>
          <t>A Inexistência</t>
        </is>
      </c>
      <c r="B149" s="21" t="n">
        <v>12</v>
      </c>
      <c r="C149" s="21" t="inlineStr">
        <is>
          <t>Sentença do Vazio</t>
        </is>
      </c>
      <c r="D149" s="21" t="inlineStr">
        <is>
          <t>III</t>
        </is>
      </c>
      <c r="E149" s="21" t="n">
        <v>17</v>
      </c>
      <c r="F149" s="9" t="inlineStr">
        <is>
          <t>Com 5 de Corrupção: tique extra e Atraso de 3 casas (2 com Firmeza)</t>
        </is>
      </c>
      <c r="G149" s="21" t="inlineStr">
        <is>
          <t>Uma vez por Ciclo</t>
        </is>
      </c>
      <c r="H149" s="21" t="inlineStr">
        <is>
          <t>Sim</t>
        </is>
      </c>
    </row>
    <row r="150" ht="26" customHeight="1">
      <c r="A150" s="58" t="inlineStr">
        <is>
          <t>A Harmonia</t>
        </is>
      </c>
      <c r="B150" s="22" t="n">
        <v>1</v>
      </c>
      <c r="C150" s="22" t="inlineStr">
        <is>
          <t>Melodia da União</t>
        </is>
      </c>
      <c r="D150" s="22" t="inlineStr">
        <is>
          <t>I</t>
        </is>
      </c>
      <c r="E150" s="22" t="n">
        <v>1</v>
      </c>
      <c r="F150" s="4" t="inlineStr">
        <is>
          <t>3 aliados ganham +1 em ataque, +1 em Resistência e +1 Distância</t>
        </is>
      </c>
      <c r="G150" s="22" t="inlineStr">
        <is>
          <t>Sem limite declarado</t>
        </is>
      </c>
      <c r="H150" s="22" t="inlineStr">
        <is>
          <t>Não</t>
        </is>
      </c>
    </row>
    <row r="151" ht="26" customHeight="1">
      <c r="A151" s="59" t="inlineStr">
        <is>
          <t>A Harmonia</t>
        </is>
      </c>
      <c r="B151" s="21" t="n">
        <v>2</v>
      </c>
      <c r="C151" s="21" t="inlineStr">
        <is>
          <t>Harmonia Interior</t>
        </is>
      </c>
      <c r="D151" s="21" t="inlineStr">
        <is>
          <t>I</t>
        </is>
      </c>
      <c r="E151" s="21" t="n">
        <v>1</v>
      </c>
      <c r="F151" s="9" t="inlineStr">
        <is>
          <t>+2 em um tipo de rolagem, Vantagem mental, metade do que você concede</t>
        </is>
      </c>
      <c r="G151" s="21" t="inlineStr">
        <is>
          <t>Sem limite declarado</t>
        </is>
      </c>
      <c r="H151" s="21" t="inlineStr">
        <is>
          <t>Não</t>
        </is>
      </c>
    </row>
    <row r="152" ht="26" customHeight="1">
      <c r="A152" s="58" t="inlineStr">
        <is>
          <t>A Harmonia</t>
        </is>
      </c>
      <c r="B152" s="22" t="n">
        <v>3</v>
      </c>
      <c r="C152" s="22" t="inlineStr">
        <is>
          <t>Cântico Inspirador</t>
        </is>
      </c>
      <c r="D152" s="22" t="inlineStr">
        <is>
          <t>I</t>
        </is>
      </c>
      <c r="E152" s="22" t="n">
        <v>1</v>
      </c>
      <c r="F152" s="4" t="inlineStr">
        <is>
          <t>Ação Complementar: Vantagem, dano extra e 2 × Eficiência de PV temporários</t>
        </is>
      </c>
      <c r="G152" s="22" t="inlineStr">
        <is>
          <t>Sem limite declarado</t>
        </is>
      </c>
      <c r="H152" s="22" t="inlineStr">
        <is>
          <t>Não</t>
        </is>
      </c>
    </row>
    <row r="153" ht="26" customHeight="1">
      <c r="A153" s="59" t="inlineStr">
        <is>
          <t>A Harmonia</t>
        </is>
      </c>
      <c r="B153" s="21" t="n">
        <v>4</v>
      </c>
      <c r="C153" s="21" t="inlineStr">
        <is>
          <t>Ressonância Perfeita</t>
        </is>
      </c>
      <c r="D153" s="21" t="inlineStr">
        <is>
          <t>I</t>
        </is>
      </c>
      <c r="E153" s="21" t="n">
        <v>1</v>
      </c>
      <c r="F153" s="9" t="inlineStr">
        <is>
          <t>Bônus seu respinga metade em outro aliado; crítico vira Vantagem</t>
        </is>
      </c>
      <c r="G153" s="21" t="inlineStr">
        <is>
          <t>Uma vez por Ciclo</t>
        </is>
      </c>
      <c r="H153" s="21" t="inlineStr">
        <is>
          <t>Não</t>
        </is>
      </c>
    </row>
    <row r="154" ht="26" customHeight="1">
      <c r="A154" s="58" t="inlineStr">
        <is>
          <t>A Harmonia</t>
        </is>
      </c>
      <c r="B154" s="22" t="n">
        <v>5</v>
      </c>
      <c r="C154" s="22" t="inlineStr">
        <is>
          <t>Sinfonia de Poder</t>
        </is>
      </c>
      <c r="D154" s="22" t="inlineStr">
        <is>
          <t>I</t>
        </is>
      </c>
      <c r="E154" s="22" t="n">
        <v>1</v>
      </c>
      <c r="F154" s="4" t="inlineStr">
        <is>
          <t>Com 2+ aliados perto: +1 de dano e +1 de Defesa para todos; +2 com 4</t>
        </is>
      </c>
      <c r="G154" s="22" t="inlineStr">
        <is>
          <t>Sem limite declarado</t>
        </is>
      </c>
      <c r="H154" s="22" t="inlineStr">
        <is>
          <t>Não</t>
        </is>
      </c>
    </row>
    <row r="155" ht="26" customHeight="1">
      <c r="A155" s="59" t="inlineStr">
        <is>
          <t>A Harmonia</t>
        </is>
      </c>
      <c r="B155" s="21" t="n">
        <v>6</v>
      </c>
      <c r="C155" s="9" t="inlineStr">
        <is>
          <t>Bênção da Harmonia (Reação)</t>
        </is>
      </c>
      <c r="D155" s="21" t="inlineStr">
        <is>
          <t>I</t>
        </is>
      </c>
      <c r="E155" s="21" t="n">
        <v>1</v>
      </c>
      <c r="F155" s="9" t="inlineStr">
        <is>
          <t>Absorve metade do golpe mortal de um aliado e dá +Eficiência de Defesa</t>
        </is>
      </c>
      <c r="G155" s="21" t="inlineStr">
        <is>
          <t>Uma vez por Descanso Longo</t>
        </is>
      </c>
      <c r="H155" s="21" t="inlineStr">
        <is>
          <t>Não</t>
        </is>
      </c>
    </row>
    <row r="156" ht="26" customHeight="1">
      <c r="A156" s="58" t="inlineStr">
        <is>
          <t>A Harmonia</t>
        </is>
      </c>
      <c r="B156" s="22" t="n">
        <v>7</v>
      </c>
      <c r="C156" s="22" t="inlineStr">
        <is>
          <t>Ritmo Acelerado</t>
        </is>
      </c>
      <c r="D156" s="22" t="inlineStr">
        <is>
          <t>II</t>
        </is>
      </c>
      <c r="E156" s="22" t="n">
        <v>9</v>
      </c>
      <c r="F156" s="4" t="inlineStr">
        <is>
          <t>Concede Ação Extra a um aliado, com -1 dado no ataque seguinte dele</t>
        </is>
      </c>
      <c r="G156" s="22" t="inlineStr">
        <is>
          <t>Sem limite declarado</t>
        </is>
      </c>
      <c r="H156" s="22" t="inlineStr">
        <is>
          <t>Não</t>
        </is>
      </c>
    </row>
    <row r="157" ht="26" customHeight="1">
      <c r="A157" s="59" t="inlineStr">
        <is>
          <t>A Harmonia</t>
        </is>
      </c>
      <c r="B157" s="21" t="n">
        <v>8</v>
      </c>
      <c r="C157" s="21" t="inlineStr">
        <is>
          <t>Eco da Vitória</t>
        </is>
      </c>
      <c r="D157" s="21" t="inlineStr">
        <is>
          <t>II</t>
        </is>
      </c>
      <c r="E157" s="21" t="n">
        <v>9</v>
      </c>
      <c r="F157" s="9" t="inlineStr">
        <is>
          <t>Abate, crítico ou Quebra dão +1 de dano e +1 de ataque ao grupo, até 3 vezes</t>
        </is>
      </c>
      <c r="G157" s="21" t="inlineStr">
        <is>
          <t>Sem limite declarado</t>
        </is>
      </c>
      <c r="H157" s="21" t="inlineStr">
        <is>
          <t>Não</t>
        </is>
      </c>
    </row>
    <row r="158" ht="26" customHeight="1">
      <c r="A158" s="58" t="inlineStr">
        <is>
          <t>A Harmonia</t>
        </is>
      </c>
      <c r="B158" s="22" t="n">
        <v>9</v>
      </c>
      <c r="C158" s="4" t="inlineStr">
        <is>
          <t>Campo da Harmonia Universal</t>
        </is>
      </c>
      <c r="D158" s="22" t="inlineStr">
        <is>
          <t>II</t>
        </is>
      </c>
      <c r="E158" s="22" t="n">
        <v>9</v>
      </c>
      <c r="F158" s="4" t="inlineStr">
        <is>
          <t>Zona de 3 turnos: cura, RD = Eficiência, +1 Distância e +2 em ataques</t>
        </is>
      </c>
      <c r="G158" s="22" t="inlineStr">
        <is>
          <t>Sem limite declarado</t>
        </is>
      </c>
      <c r="H158" s="22" t="inlineStr">
        <is>
          <t>Não</t>
        </is>
      </c>
    </row>
    <row r="159" ht="26" customHeight="1">
      <c r="A159" s="59" t="inlineStr">
        <is>
          <t>A Harmonia</t>
        </is>
      </c>
      <c r="B159" s="21" t="n">
        <v>10</v>
      </c>
      <c r="C159" s="21" t="inlineStr">
        <is>
          <t>Dueto Inevitável</t>
        </is>
      </c>
      <c r="D159" s="21" t="inlineStr">
        <is>
          <t>II</t>
        </is>
      </c>
      <c r="E159" s="21" t="n">
        <v>9</v>
      </c>
      <c r="F159" s="9" t="inlineStr">
        <is>
          <t>Par escolhido: +1 no primeiro ataque e Avançar 1 casa por Ciclo</t>
        </is>
      </c>
      <c r="G159" s="21" t="inlineStr">
        <is>
          <t>Uma vez por Ciclo</t>
        </is>
      </c>
      <c r="H159" s="21" t="inlineStr">
        <is>
          <t>Sim</t>
        </is>
      </c>
    </row>
    <row r="160" ht="26" customHeight="1">
      <c r="A160" s="58" t="inlineStr">
        <is>
          <t>A Harmonia</t>
        </is>
      </c>
      <c r="B160" s="22" t="n">
        <v>11</v>
      </c>
      <c r="C160" s="22" t="inlineStr">
        <is>
          <t>Avatar da Harmonia</t>
        </is>
      </c>
      <c r="D160" s="22" t="inlineStr">
        <is>
          <t>III</t>
        </is>
      </c>
      <c r="E160" s="22" t="n">
        <v>17</v>
      </c>
      <c r="F160" s="4" t="inlineStr">
        <is>
          <t>Bônus alcançam todos e são dobrados até o teto; salva um aliado a 0 PV</t>
        </is>
      </c>
      <c r="G160" s="22" t="inlineStr">
        <is>
          <t>Uma vez por combate</t>
        </is>
      </c>
      <c r="H160" s="22" t="inlineStr">
        <is>
          <t>Não</t>
        </is>
      </c>
    </row>
    <row r="161" ht="26" customHeight="1">
      <c r="A161" s="59" t="inlineStr">
        <is>
          <t>A Harmonia</t>
        </is>
      </c>
      <c r="B161" s="21" t="n">
        <v>12</v>
      </c>
      <c r="C161" s="21" t="inlineStr">
        <is>
          <t>Coral das Mil Vozes</t>
        </is>
      </c>
      <c r="D161" s="21" t="inlineStr">
        <is>
          <t>III</t>
        </is>
      </c>
      <c r="E161" s="21" t="n">
        <v>17</v>
      </c>
      <c r="F161" s="9" t="inlineStr">
        <is>
          <t>1 vez por combate: cada aliado escolhe Avançar 2, PV temporários ou +1 dado</t>
        </is>
      </c>
      <c r="G161" s="21" t="inlineStr">
        <is>
          <t>Uma vez por combate</t>
        </is>
      </c>
      <c r="H161" s="21" t="inlineStr">
        <is>
          <t>Sim</t>
        </is>
      </c>
    </row>
    <row r="162" ht="26" customHeight="1">
      <c r="A162" s="58" t="inlineStr">
        <is>
          <t>A Abundância</t>
        </is>
      </c>
      <c r="B162" s="22" t="n">
        <v>1</v>
      </c>
      <c r="C162" s="22" t="inlineStr">
        <is>
          <t>Fonte da Vida Eterna</t>
        </is>
      </c>
      <c r="D162" s="22" t="inlineStr">
        <is>
          <t>I</t>
        </is>
      </c>
      <c r="E162" s="22" t="n">
        <v>1</v>
      </c>
      <c r="F162" s="4" t="inlineStr">
        <is>
          <t>Cura também dá 1 × Eficiência de PV temporários; você recupera Eficiência</t>
        </is>
      </c>
      <c r="G162" s="22" t="inlineStr">
        <is>
          <t>Sem limite declarado</t>
        </is>
      </c>
      <c r="H162" s="22" t="inlineStr">
        <is>
          <t>Não</t>
        </is>
      </c>
    </row>
    <row r="163" ht="26" customHeight="1">
      <c r="A163" s="59" t="inlineStr">
        <is>
          <t>A Abundância</t>
        </is>
      </c>
      <c r="B163" s="21" t="n">
        <v>2</v>
      </c>
      <c r="C163" s="9" t="inlineStr">
        <is>
          <t>Regeneração Celestial</t>
        </is>
      </c>
      <c r="D163" s="21" t="inlineStr">
        <is>
          <t>I</t>
        </is>
      </c>
      <c r="E163" s="21" t="n">
        <v>1</v>
      </c>
      <c r="F163" s="9" t="inlineStr">
        <is>
          <t>1d8 por turno, 2d8 abaixo da metade dos PV, Vantagem contra veneno</t>
        </is>
      </c>
      <c r="G163" s="21" t="inlineStr">
        <is>
          <t>Sem limite declarado</t>
        </is>
      </c>
      <c r="H163" s="21" t="inlineStr">
        <is>
          <t>Não</t>
        </is>
      </c>
    </row>
    <row r="164" ht="26" customHeight="1">
      <c r="A164" s="58" t="inlineStr">
        <is>
          <t>A Abundância</t>
        </is>
      </c>
      <c r="B164" s="22" t="n">
        <v>3</v>
      </c>
      <c r="C164" s="22" t="inlineStr">
        <is>
          <t>Bênção Revitalizante</t>
        </is>
      </c>
      <c r="D164" s="22" t="inlineStr">
        <is>
          <t>I</t>
        </is>
      </c>
      <c r="E164" s="22" t="n">
        <v>1</v>
      </c>
      <c r="F164" s="4" t="inlineStr">
        <is>
          <t>5 × nível de cura, remove 1 condição, RD = Eficiência, tira de Morrendo</t>
        </is>
      </c>
      <c r="G164" s="22" t="inlineStr">
        <is>
          <t>Sem limite declarado</t>
        </is>
      </c>
      <c r="H164" s="22" t="inlineStr">
        <is>
          <t>Não</t>
        </is>
      </c>
    </row>
    <row r="165" ht="26" customHeight="1">
      <c r="A165" s="59" t="inlineStr">
        <is>
          <t>A Abundância</t>
        </is>
      </c>
      <c r="B165" s="21" t="n">
        <v>4</v>
      </c>
      <c r="C165" s="9" t="inlineStr">
        <is>
          <t>Vitalidade Compartilhada</t>
        </is>
      </c>
      <c r="D165" s="21" t="inlineStr">
        <is>
          <t>I</t>
        </is>
      </c>
      <c r="E165" s="21" t="n">
        <v>1</v>
      </c>
      <c r="F165" s="9" t="inlineStr">
        <is>
          <t>Reação: absorve metade do dano do aliado e cura metade do absorvido</t>
        </is>
      </c>
      <c r="G165" s="21" t="inlineStr">
        <is>
          <t>Uma vez por turno</t>
        </is>
      </c>
      <c r="H165" s="21" t="inlineStr">
        <is>
          <t>Não</t>
        </is>
      </c>
    </row>
    <row r="166" ht="37" customHeight="1">
      <c r="A166" s="58" t="inlineStr">
        <is>
          <t>A Abundância</t>
        </is>
      </c>
      <c r="B166" s="22" t="n">
        <v>5</v>
      </c>
      <c r="C166" s="4" t="inlineStr">
        <is>
          <t>Florescimento da Alma</t>
        </is>
      </c>
      <c r="D166" s="22" t="inlineStr">
        <is>
          <t>I</t>
        </is>
      </c>
      <c r="E166" s="22" t="n">
        <v>1</v>
      </c>
      <c r="F166" s="4" t="inlineStr">
        <is>
          <t>Acúmulos de Florescimento: +1 em Resistência e Defesa, até 5, e 1d4 por turno</t>
        </is>
      </c>
      <c r="G166" s="22" t="inlineStr">
        <is>
          <t>Sem limite declarado</t>
        </is>
      </c>
      <c r="H166" s="22" t="inlineStr">
        <is>
          <t>Não</t>
        </is>
      </c>
    </row>
    <row r="167" ht="26" customHeight="1">
      <c r="A167" s="59" t="inlineStr">
        <is>
          <t>A Abundância</t>
        </is>
      </c>
      <c r="B167" s="21" t="n">
        <v>6</v>
      </c>
      <c r="C167" s="21" t="inlineStr">
        <is>
          <t>Excesso de Vida</t>
        </is>
      </c>
      <c r="D167" s="21" t="inlineStr">
        <is>
          <t>I</t>
        </is>
      </c>
      <c r="E167" s="21" t="n">
        <v>1</v>
      </c>
      <c r="F167" s="9" t="inlineStr">
        <is>
          <t>Cura excedente vira PV temporários; +2 RD, +1 dado de cura, +Eficiência de dano</t>
        </is>
      </c>
      <c r="G167" s="21" t="inlineStr">
        <is>
          <t>Sem limite declarado</t>
        </is>
      </c>
      <c r="H167" s="21" t="inlineStr">
        <is>
          <t>Não</t>
        </is>
      </c>
    </row>
    <row r="168" ht="26" customHeight="1">
      <c r="A168" s="58" t="inlineStr">
        <is>
          <t>A Abundância</t>
        </is>
      </c>
      <c r="B168" s="22" t="n">
        <v>7</v>
      </c>
      <c r="C168" s="22" t="inlineStr">
        <is>
          <t>Corpo Imortal</t>
        </is>
      </c>
      <c r="D168" s="22" t="inlineStr">
        <is>
          <t>II</t>
        </is>
      </c>
      <c r="E168" s="22" t="n">
        <v>9</v>
      </c>
      <c r="F168" s="4" t="inlineStr">
        <is>
          <t>+2 × nível de PV máximo, RD = Eficiência, +2 RD quando muito ferido</t>
        </is>
      </c>
      <c r="G168" s="22" t="inlineStr">
        <is>
          <t>Sem limite declarado</t>
        </is>
      </c>
      <c r="H168" s="22" t="inlineStr">
        <is>
          <t>Não</t>
        </is>
      </c>
    </row>
    <row r="169" ht="26" customHeight="1">
      <c r="A169" s="59" t="inlineStr">
        <is>
          <t>A Abundância</t>
        </is>
      </c>
      <c r="B169" s="21" t="n">
        <v>8</v>
      </c>
      <c r="C169" s="9" t="inlineStr">
        <is>
          <t>Raízes da Abundância</t>
        </is>
      </c>
      <c r="D169" s="21" t="inlineStr">
        <is>
          <t>II</t>
        </is>
      </c>
      <c r="E169" s="21" t="n">
        <v>9</v>
      </c>
      <c r="F169" s="9" t="inlineStr">
        <is>
          <t>Zona de 3 turnos: cura 1d6 + Eficiência, Vantagem e RD = Eficiência</t>
        </is>
      </c>
      <c r="G169" s="21" t="inlineStr">
        <is>
          <t>Sem limite declarado</t>
        </is>
      </c>
      <c r="H169" s="21" t="inlineStr">
        <is>
          <t>Não</t>
        </is>
      </c>
    </row>
    <row r="170" ht="26" customHeight="1">
      <c r="A170" s="58" t="inlineStr">
        <is>
          <t>A Abundância</t>
        </is>
      </c>
      <c r="B170" s="22" t="n">
        <v>9</v>
      </c>
      <c r="C170" s="4" t="inlineStr">
        <is>
          <t>Renascimento Natural</t>
        </is>
      </c>
      <c r="D170" s="22" t="inlineStr">
        <is>
          <t>II</t>
        </is>
      </c>
      <c r="E170" s="22" t="n">
        <v>9</v>
      </c>
      <c r="F170" s="4" t="inlineStr">
        <is>
          <t>Aliado a 0 PV fica com 1 PV e recupera 5 × nível</t>
        </is>
      </c>
      <c r="G170" s="22" t="inlineStr">
        <is>
          <t>Uma vez por Descanso Longo</t>
        </is>
      </c>
      <c r="H170" s="22" t="inlineStr">
        <is>
          <t>Não</t>
        </is>
      </c>
    </row>
    <row r="171" ht="26" customHeight="1">
      <c r="A171" s="59" t="inlineStr">
        <is>
          <t>A Abundância</t>
        </is>
      </c>
      <c r="B171" s="21" t="n">
        <v>10</v>
      </c>
      <c r="C171" s="21" t="inlineStr">
        <is>
          <t>Jardim de Yaoshi</t>
        </is>
      </c>
      <c r="D171" s="21" t="inlineStr">
        <is>
          <t>II</t>
        </is>
      </c>
      <c r="E171" s="21" t="n">
        <v>9</v>
      </c>
      <c r="F171" s="9" t="inlineStr">
        <is>
          <t>A primeira cura do turno pega um segundo aliado pela metade</t>
        </is>
      </c>
      <c r="G171" s="21" t="inlineStr">
        <is>
          <t>Sem limite declarado</t>
        </is>
      </c>
      <c r="H171" s="21" t="inlineStr">
        <is>
          <t>Sim</t>
        </is>
      </c>
    </row>
    <row r="172" ht="26" customHeight="1">
      <c r="A172" s="58" t="inlineStr">
        <is>
          <t>A Abundância</t>
        </is>
      </c>
      <c r="B172" s="22" t="n">
        <v>11</v>
      </c>
      <c r="C172" s="4" t="inlineStr">
        <is>
          <t>Avatar da Abundância</t>
        </is>
      </c>
      <c r="D172" s="22" t="inlineStr">
        <is>
          <t>III</t>
        </is>
      </c>
      <c r="E172" s="22" t="n">
        <v>17</v>
      </c>
      <c r="F172" s="4" t="inlineStr">
        <is>
          <t>Toda cura pega +1 alvo; explosão de cura e limpeza quando alguém cai</t>
        </is>
      </c>
      <c r="G172" s="22" t="inlineStr">
        <is>
          <t>Uma vez por combate</t>
        </is>
      </c>
      <c r="H172" s="22" t="inlineStr">
        <is>
          <t>Não</t>
        </is>
      </c>
    </row>
    <row r="173" ht="26" customHeight="1">
      <c r="A173" s="59" t="inlineStr">
        <is>
          <t>A Abundância</t>
        </is>
      </c>
      <c r="B173" s="21" t="n">
        <v>12</v>
      </c>
      <c r="C173" s="21" t="inlineStr">
        <is>
          <t>Ciclo Interminável</t>
        </is>
      </c>
      <c r="D173" s="21" t="inlineStr">
        <is>
          <t>III</t>
        </is>
      </c>
      <c r="E173" s="21" t="n">
        <v>17</v>
      </c>
      <c r="F173" s="9" t="inlineStr">
        <is>
          <t>Cura excedente vira PV temporários no aliado; Reação remove condição</t>
        </is>
      </c>
      <c r="G173" s="21" t="inlineStr">
        <is>
          <t>Uma vez por Ciclo</t>
        </is>
      </c>
      <c r="H173" s="21" t="inlineStr">
        <is>
          <t>Sim</t>
        </is>
      </c>
    </row>
    <row r="174" ht="37" customHeight="1">
      <c r="A174" s="58" t="inlineStr">
        <is>
          <t>A Recordação</t>
        </is>
      </c>
      <c r="B174" s="22" t="n">
        <v>1</v>
      </c>
      <c r="C174" s="22" t="inlineStr">
        <is>
          <t>Ecos do Passado</t>
        </is>
      </c>
      <c r="D174" s="22" t="inlineStr">
        <is>
          <t>I</t>
        </is>
      </c>
      <c r="E174" s="22" t="n">
        <v>1</v>
      </c>
      <c r="F174" s="4" t="inlineStr">
        <is>
          <t>+4 × nível de PV ao Memoespírito, seu atributo no dano dele, Vantagem em Resistência</t>
        </is>
      </c>
      <c r="G174" s="22" t="inlineStr">
        <is>
          <t>Sem limite declarado</t>
        </is>
      </c>
      <c r="H174" s="22" t="inlineStr">
        <is>
          <t>Não</t>
        </is>
      </c>
    </row>
    <row r="175" ht="37" customHeight="1">
      <c r="A175" s="59" t="inlineStr">
        <is>
          <t>A Recordação</t>
        </is>
      </c>
      <c r="B175" s="21" t="n">
        <v>2</v>
      </c>
      <c r="C175" s="21" t="inlineStr">
        <is>
          <t>Laço Inquebrável</t>
        </is>
      </c>
      <c r="D175" s="21" t="inlineStr">
        <is>
          <t>I</t>
        </is>
      </c>
      <c r="E175" s="21" t="n">
        <v>1</v>
      </c>
      <c r="F175" s="9" t="inlineStr">
        <is>
          <t>Passa metade do seu dano a ele; Vantagem quando ele é ferido; Vantagem mental</t>
        </is>
      </c>
      <c r="G175" s="21" t="inlineStr">
        <is>
          <t>Sem limite declarado</t>
        </is>
      </c>
      <c r="H175" s="21" t="inlineStr">
        <is>
          <t>Não</t>
        </is>
      </c>
    </row>
    <row r="176" ht="26" customHeight="1">
      <c r="A176" s="58" t="inlineStr">
        <is>
          <t>A Recordação</t>
        </is>
      </c>
      <c r="B176" s="22" t="n">
        <v>3</v>
      </c>
      <c r="C176" s="4" t="inlineStr">
        <is>
          <t>Memória Devastadora</t>
        </is>
      </c>
      <c r="D176" s="22" t="inlineStr">
        <is>
          <t>I</t>
        </is>
      </c>
      <c r="E176" s="22" t="n">
        <v>1</v>
      </c>
      <c r="F176" s="4" t="inlineStr">
        <is>
          <t>Fragmentos de Memória até 5; no quinto, ataque em 3 alvos</t>
        </is>
      </c>
      <c r="G176" s="22" t="inlineStr">
        <is>
          <t>Uma vez por turno</t>
        </is>
      </c>
      <c r="H176" s="22" t="inlineStr">
        <is>
          <t>Não</t>
        </is>
      </c>
    </row>
    <row r="177" ht="26" customHeight="1">
      <c r="A177" s="59" t="inlineStr">
        <is>
          <t>A Recordação</t>
        </is>
      </c>
      <c r="B177" s="21" t="n">
        <v>4</v>
      </c>
      <c r="C177" s="9" t="inlineStr">
        <is>
          <t>Sincronia de Memórias</t>
        </is>
      </c>
      <c r="D177" s="21" t="inlineStr">
        <is>
          <t>I</t>
        </is>
      </c>
      <c r="E177" s="21" t="n">
        <v>1</v>
      </c>
      <c r="F177" s="9" t="inlineStr">
        <is>
          <t>Ele ataca de Reação quando você acerta; dois acertos dão +2 dados e +1</t>
        </is>
      </c>
      <c r="G177" s="21" t="inlineStr">
        <is>
          <t>Sem limite declarado</t>
        </is>
      </c>
      <c r="H177" s="21" t="inlineStr">
        <is>
          <t>Não</t>
        </is>
      </c>
    </row>
    <row r="178" ht="26" customHeight="1">
      <c r="A178" s="58" t="inlineStr">
        <is>
          <t>A Recordação</t>
        </is>
      </c>
      <c r="B178" s="22" t="n">
        <v>5</v>
      </c>
      <c r="C178" s="4" t="inlineStr">
        <is>
          <t>Fragmentos do Eu Perdido</t>
        </is>
      </c>
      <c r="D178" s="22" t="inlineStr">
        <is>
          <t>I</t>
        </is>
      </c>
      <c r="E178" s="22" t="n">
        <v>1</v>
      </c>
      <c r="F178" s="4" t="inlineStr">
        <is>
          <t>Fúria (+1d8 nos dois), Guarda (+Eficiência de Defesa e RD) ou Sabedoria (+Eficácia)</t>
        </is>
      </c>
      <c r="G178" s="22" t="inlineStr">
        <is>
          <t>Duas vezes por dia</t>
        </is>
      </c>
      <c r="H178" s="22" t="inlineStr">
        <is>
          <t>Não</t>
        </is>
      </c>
    </row>
    <row r="179" ht="26" customHeight="1">
      <c r="A179" s="59" t="inlineStr">
        <is>
          <t>A Recordação</t>
        </is>
      </c>
      <c r="B179" s="21" t="n">
        <v>6</v>
      </c>
      <c r="C179" s="9" t="inlineStr">
        <is>
          <t>Memória Compartilhada</t>
        </is>
      </c>
      <c r="D179" s="21" t="inlineStr">
        <is>
          <t>I</t>
        </is>
      </c>
      <c r="E179" s="21" t="n">
        <v>1</v>
      </c>
      <c r="F179" s="9" t="inlineStr">
        <is>
          <t>Com ele em campo: +1 em ataques, +1d6 de dano, +1 Distância</t>
        </is>
      </c>
      <c r="G179" s="21" t="inlineStr">
        <is>
          <t>Sem limite declarado</t>
        </is>
      </c>
      <c r="H179" s="21" t="inlineStr">
        <is>
          <t>Não</t>
        </is>
      </c>
    </row>
    <row r="180" ht="26" customHeight="1">
      <c r="A180" s="58" t="inlineStr">
        <is>
          <t>A Recordação</t>
        </is>
      </c>
      <c r="B180" s="22" t="n">
        <v>7</v>
      </c>
      <c r="C180" s="4" t="inlineStr">
        <is>
          <t>Persistência da Memória</t>
        </is>
      </c>
      <c r="D180" s="22" t="inlineStr">
        <is>
          <t>II</t>
        </is>
      </c>
      <c r="E180" s="22" t="n">
        <v>9</v>
      </c>
      <c r="F180" s="4" t="inlineStr">
        <is>
          <t>A 0 PV ele fica mais um turno, com +2 dados e imune a controle</t>
        </is>
      </c>
      <c r="G180" s="22" t="inlineStr">
        <is>
          <t>Sem limite declarado</t>
        </is>
      </c>
      <c r="H180" s="22" t="inlineStr">
        <is>
          <t>Não</t>
        </is>
      </c>
    </row>
    <row r="181" ht="26" customHeight="1">
      <c r="A181" s="59" t="inlineStr">
        <is>
          <t>A Recordação</t>
        </is>
      </c>
      <c r="B181" s="21" t="n">
        <v>8</v>
      </c>
      <c r="C181" s="21" t="inlineStr">
        <is>
          <t>Ataque Espiritual</t>
        </is>
      </c>
      <c r="D181" s="21" t="inlineStr">
        <is>
          <t>II</t>
        </is>
      </c>
      <c r="E181" s="21" t="n">
        <v>9</v>
      </c>
      <c r="F181" s="9" t="inlineStr">
        <is>
          <t>Ignora Defesa, alcança incorpóreos e aplica Lembranças Passadas</t>
        </is>
      </c>
      <c r="G181" s="21" t="inlineStr">
        <is>
          <t>Uma vez por turno</t>
        </is>
      </c>
      <c r="H181" s="21" t="inlineStr">
        <is>
          <t>Não</t>
        </is>
      </c>
    </row>
    <row r="182" ht="26" customHeight="1">
      <c r="A182" s="58" t="inlineStr">
        <is>
          <t>A Recordação</t>
        </is>
      </c>
      <c r="B182" s="22" t="n">
        <v>9</v>
      </c>
      <c r="C182" s="22" t="inlineStr">
        <is>
          <t>Recordação Absoluta</t>
        </is>
      </c>
      <c r="D182" s="22" t="inlineStr">
        <is>
          <t>II</t>
        </is>
      </c>
      <c r="E182" s="22" t="n">
        <v>9</v>
      </c>
      <c r="F182" s="4" t="inlineStr">
        <is>
          <t>3 turnos de +1 dado, +1 Distância e Vulnerável; depois, 1 turno enfraquecido</t>
        </is>
      </c>
      <c r="G182" s="22" t="inlineStr">
        <is>
          <t>Sem limite declarado</t>
        </is>
      </c>
      <c r="H182" s="22" t="inlineStr">
        <is>
          <t>Não</t>
        </is>
      </c>
    </row>
    <row r="183" ht="26" customHeight="1">
      <c r="A183" s="59" t="inlineStr">
        <is>
          <t>A Recordação</t>
        </is>
      </c>
      <c r="B183" s="21" t="n">
        <v>10</v>
      </c>
      <c r="C183" s="9" t="inlineStr">
        <is>
          <t>Elo de Duas Memórias</t>
        </is>
      </c>
      <c r="D183" s="21" t="inlineStr">
        <is>
          <t>II</t>
        </is>
      </c>
      <c r="E183" s="21" t="n">
        <v>9</v>
      </c>
      <c r="F183" s="9" t="inlineStr">
        <is>
          <t>Atraso em um vira Avanço no outro; 1 invocação sem PH por combate</t>
        </is>
      </c>
      <c r="G183" s="21" t="inlineStr">
        <is>
          <t>Uma vez por combate</t>
        </is>
      </c>
      <c r="H183" s="21" t="inlineStr">
        <is>
          <t>Sim</t>
        </is>
      </c>
    </row>
    <row r="184" ht="37" customHeight="1">
      <c r="A184" s="58" t="inlineStr">
        <is>
          <t>A Recordação</t>
        </is>
      </c>
      <c r="B184" s="22" t="n">
        <v>11</v>
      </c>
      <c r="C184" s="4" t="inlineStr">
        <is>
          <t>Avatar da Recordação</t>
        </is>
      </c>
      <c r="D184" s="22" t="inlineStr">
        <is>
          <t>III</t>
        </is>
      </c>
      <c r="E184" s="22" t="n">
        <v>17</v>
      </c>
      <c r="F184" s="4" t="inlineStr">
        <is>
          <t>Forma Manifestada (+2 dados, +1 Distância) ou Sincronizada (PV, Defesa, dado, Ação Extra)</t>
        </is>
      </c>
      <c r="G184" s="22" t="inlineStr">
        <is>
          <t>Uma vez por combate</t>
        </is>
      </c>
      <c r="H184" s="22" t="inlineStr">
        <is>
          <t>Não</t>
        </is>
      </c>
    </row>
    <row r="185" ht="26" customHeight="1">
      <c r="A185" s="59" t="inlineStr">
        <is>
          <t>A Recordação</t>
        </is>
      </c>
      <c r="B185" s="21" t="n">
        <v>12</v>
      </c>
      <c r="C185" s="9" t="inlineStr">
        <is>
          <t>Eternidade Recordada</t>
        </is>
      </c>
      <c r="D185" s="21" t="inlineStr">
        <is>
          <t>III</t>
        </is>
      </c>
      <c r="E185" s="21" t="n">
        <v>17</v>
      </c>
      <c r="F185" s="9" t="inlineStr">
        <is>
          <t>Reinvocação imediata com 4 × nível de PV; +1 de Redução de Tenacidade</t>
        </is>
      </c>
      <c r="G185" s="21" t="inlineStr">
        <is>
          <t>Uma vez por combate</t>
        </is>
      </c>
      <c r="H185" s="21" t="inlineStr">
        <is>
          <t>Sim</t>
        </is>
      </c>
    </row>
    <row r="186" ht="26" customHeight="1">
      <c r="A186" s="58" t="inlineStr">
        <is>
          <t>A Erudição</t>
        </is>
      </c>
      <c r="B186" s="22" t="n">
        <v>1</v>
      </c>
      <c r="C186" s="4" t="inlineStr">
        <is>
          <t>Teorema da Dispersão</t>
        </is>
      </c>
      <c r="D186" s="22" t="inlineStr">
        <is>
          <t>I</t>
        </is>
      </c>
      <c r="E186" s="22" t="n">
        <v>1</v>
      </c>
      <c r="F186" s="4" t="inlineStr">
        <is>
          <t>Ataque de alvo único pega um segundo inimigo com metade dos dados</t>
        </is>
      </c>
      <c r="G186" s="22" t="inlineStr">
        <is>
          <t>Sem limite declarado</t>
        </is>
      </c>
      <c r="H186" s="22" t="inlineStr">
        <is>
          <t>Não</t>
        </is>
      </c>
    </row>
    <row r="187" ht="26" customHeight="1">
      <c r="A187" s="59" t="inlineStr">
        <is>
          <t>A Erudição</t>
        </is>
      </c>
      <c r="B187" s="21" t="n">
        <v>2</v>
      </c>
      <c r="C187" s="21" t="inlineStr">
        <is>
          <t>Leitura Rápida</t>
        </is>
      </c>
      <c r="D187" s="21" t="inlineStr">
        <is>
          <t>I</t>
        </is>
      </c>
      <c r="E187" s="21" t="n">
        <v>1</v>
      </c>
      <c r="F187" s="9" t="inlineStr">
        <is>
          <t>Descobrir Fraqueza sem gastar ação, 1 vez por Ciclo, e +1 para o aliado</t>
        </is>
      </c>
      <c r="G187" s="21" t="inlineStr">
        <is>
          <t>Uma vez por Ciclo</t>
        </is>
      </c>
      <c r="H187" s="21" t="inlineStr">
        <is>
          <t>Não</t>
        </is>
      </c>
    </row>
    <row r="188" ht="26" customHeight="1">
      <c r="A188" s="58" t="inlineStr">
        <is>
          <t>A Erudição</t>
        </is>
      </c>
      <c r="B188" s="22" t="n">
        <v>3</v>
      </c>
      <c r="C188" s="4" t="inlineStr">
        <is>
          <t>Equação Compartilhada</t>
        </is>
      </c>
      <c r="D188" s="22" t="inlineStr">
        <is>
          <t>I</t>
        </is>
      </c>
      <c r="E188" s="22" t="n">
        <v>1</v>
      </c>
      <c r="F188" s="22" t="inlineStr">
        <is>
          <t>Atingir 2+ inimigos dá 1 acúmulo extra</t>
        </is>
      </c>
      <c r="G188" s="22" t="inlineStr">
        <is>
          <t>Sem limite declarado</t>
        </is>
      </c>
      <c r="H188" s="22" t="inlineStr">
        <is>
          <t>Não</t>
        </is>
      </c>
    </row>
    <row r="189" ht="26" customHeight="1">
      <c r="A189" s="59" t="inlineStr">
        <is>
          <t>A Erudição</t>
        </is>
      </c>
      <c r="B189" s="21" t="n">
        <v>4</v>
      </c>
      <c r="C189" s="21" t="inlineStr">
        <is>
          <t>Vetor Corrigido</t>
        </is>
      </c>
      <c r="D189" s="21" t="inlineStr">
        <is>
          <t>I</t>
        </is>
      </c>
      <c r="E189" s="21" t="n">
        <v>1</v>
      </c>
      <c r="F189" s="9" t="inlineStr">
        <is>
          <t>1 acúmulo rerrola um dado de dano, 1 vez por turno</t>
        </is>
      </c>
      <c r="G189" s="21" t="inlineStr">
        <is>
          <t>Uma vez por turno</t>
        </is>
      </c>
      <c r="H189" s="21" t="inlineStr">
        <is>
          <t>Não</t>
        </is>
      </c>
    </row>
    <row r="190" ht="26" customHeight="1">
      <c r="A190" s="58" t="inlineStr">
        <is>
          <t>A Erudição</t>
        </is>
      </c>
      <c r="B190" s="22" t="n">
        <v>5</v>
      </c>
      <c r="C190" s="22" t="inlineStr">
        <is>
          <t>Memória de Trabalho</t>
        </is>
      </c>
      <c r="D190" s="22" t="inlineStr">
        <is>
          <t>I</t>
        </is>
      </c>
      <c r="E190" s="22" t="n">
        <v>1</v>
      </c>
      <c r="F190" s="4" t="inlineStr">
        <is>
          <t>Alvos de área não precisam estar agrupados</t>
        </is>
      </c>
      <c r="G190" s="22" t="inlineStr">
        <is>
          <t>Sem limite declarado</t>
        </is>
      </c>
      <c r="H190" s="22" t="inlineStr">
        <is>
          <t>Não</t>
        </is>
      </c>
    </row>
    <row r="191" ht="26" customHeight="1">
      <c r="A191" s="59" t="inlineStr">
        <is>
          <t>A Erudição</t>
        </is>
      </c>
      <c r="B191" s="21" t="n">
        <v>6</v>
      </c>
      <c r="C191" s="21" t="inlineStr">
        <is>
          <t>Princípio de Nous</t>
        </is>
      </c>
      <c r="D191" s="21" t="inlineStr">
        <is>
          <t>I</t>
        </is>
      </c>
      <c r="E191" s="21" t="n">
        <v>1</v>
      </c>
      <c r="F191" s="9" t="inlineStr">
        <is>
          <t>Eficácia grátis em Ciência, Pesquisa ou Tecnologia; 1 informação por sessão</t>
        </is>
      </c>
      <c r="G191" s="21" t="inlineStr">
        <is>
          <t>Uma vez por sessão</t>
        </is>
      </c>
      <c r="H191" s="21" t="inlineStr">
        <is>
          <t>Não</t>
        </is>
      </c>
    </row>
    <row r="192" ht="26" customHeight="1">
      <c r="A192" s="58" t="inlineStr">
        <is>
          <t>A Erudição</t>
        </is>
      </c>
      <c r="B192" s="22" t="n">
        <v>7</v>
      </c>
      <c r="C192" s="22" t="inlineStr">
        <is>
          <t>Cadeia de Inferência</t>
        </is>
      </c>
      <c r="D192" s="22" t="inlineStr">
        <is>
          <t>II</t>
        </is>
      </c>
      <c r="E192" s="22" t="n">
        <v>9</v>
      </c>
      <c r="F192" s="4" t="inlineStr">
        <is>
          <t>Atingir 3+ inimigos deixa todos Vulnerável para o grupo</t>
        </is>
      </c>
      <c r="G192" s="22" t="inlineStr">
        <is>
          <t>Sem limite declarado</t>
        </is>
      </c>
      <c r="H192" s="22" t="inlineStr">
        <is>
          <t>Não</t>
        </is>
      </c>
    </row>
    <row r="193" ht="26" customHeight="1">
      <c r="A193" s="59" t="inlineStr">
        <is>
          <t>A Erudição</t>
        </is>
      </c>
      <c r="B193" s="21" t="n">
        <v>8</v>
      </c>
      <c r="C193" s="21" t="inlineStr">
        <is>
          <t>Cálculo Preditivo</t>
        </is>
      </c>
      <c r="D193" s="21" t="inlineStr">
        <is>
          <t>II</t>
        </is>
      </c>
      <c r="E193" s="21" t="n">
        <v>9</v>
      </c>
      <c r="F193" s="9" t="inlineStr">
        <is>
          <t>Você vê a Fila inteira e Avança 1 casa antes do Ciclo 1</t>
        </is>
      </c>
      <c r="G193" s="21" t="inlineStr">
        <is>
          <t>Sem limite declarado</t>
        </is>
      </c>
      <c r="H193" s="21" t="inlineStr">
        <is>
          <t>Não</t>
        </is>
      </c>
    </row>
    <row r="194" ht="26" customHeight="1">
      <c r="A194" s="58" t="inlineStr">
        <is>
          <t>A Erudição</t>
        </is>
      </c>
      <c r="B194" s="22" t="n">
        <v>9</v>
      </c>
      <c r="C194" s="22" t="inlineStr">
        <is>
          <t>Teto Rompido</t>
        </is>
      </c>
      <c r="D194" s="22" t="inlineStr">
        <is>
          <t>II</t>
        </is>
      </c>
      <c r="E194" s="22" t="n">
        <v>9</v>
      </c>
      <c r="F194" s="4" t="inlineStr">
        <is>
          <t>Máximo de 7 acúmulos; 2 acúmulos compram 2 alvos no Nível 4+</t>
        </is>
      </c>
      <c r="G194" s="22" t="inlineStr">
        <is>
          <t>Sem limite declarado</t>
        </is>
      </c>
      <c r="H194" s="22" t="inlineStr">
        <is>
          <t>Não</t>
        </is>
      </c>
    </row>
    <row r="195" ht="26" customHeight="1">
      <c r="A195" s="59" t="inlineStr">
        <is>
          <t>A Erudição</t>
        </is>
      </c>
      <c r="B195" s="21" t="n">
        <v>10</v>
      </c>
      <c r="C195" s="21" t="inlineStr">
        <is>
          <t>Dissertação Armada</t>
        </is>
      </c>
      <c r="D195" s="21" t="inlineStr">
        <is>
          <t>II</t>
        </is>
      </c>
      <c r="E195" s="21" t="n">
        <v>9</v>
      </c>
      <c r="F195" s="9" t="inlineStr">
        <is>
          <t>1 vez por combate: +1 alvo em área, de graça</t>
        </is>
      </c>
      <c r="G195" s="21" t="inlineStr">
        <is>
          <t>Uma vez por combate</t>
        </is>
      </c>
      <c r="H195" s="21" t="inlineStr">
        <is>
          <t>Não</t>
        </is>
      </c>
    </row>
    <row r="196" ht="26" customHeight="1">
      <c r="A196" s="58" t="inlineStr">
        <is>
          <t>A Erudição</t>
        </is>
      </c>
      <c r="B196" s="22" t="n">
        <v>11</v>
      </c>
      <c r="C196" s="22" t="inlineStr">
        <is>
          <t>Avatar da Erudição</t>
        </is>
      </c>
      <c r="D196" s="22" t="inlineStr">
        <is>
          <t>III</t>
        </is>
      </c>
      <c r="E196" s="22" t="n">
        <v>17</v>
      </c>
      <c r="F196" s="4" t="inlineStr">
        <is>
          <t>Acúmulos persistem, 1 gasto grátis por Ciclo, base de 5 alvos</t>
        </is>
      </c>
      <c r="G196" s="22" t="inlineStr">
        <is>
          <t>Uma vez por Ciclo</t>
        </is>
      </c>
      <c r="H196" s="22" t="inlineStr">
        <is>
          <t>Não</t>
        </is>
      </c>
    </row>
    <row r="197" ht="26" customHeight="1">
      <c r="A197" s="59" t="inlineStr">
        <is>
          <t>A Erudição</t>
        </is>
      </c>
      <c r="B197" s="21" t="n">
        <v>12</v>
      </c>
      <c r="C197" s="9" t="inlineStr">
        <is>
          <t>Horizonte de Eventos</t>
        </is>
      </c>
      <c r="D197" s="21" t="inlineStr">
        <is>
          <t>III</t>
        </is>
      </c>
      <c r="E197" s="21" t="n">
        <v>17</v>
      </c>
      <c r="F197" s="9" t="inlineStr">
        <is>
          <t>1 vez por combate: 6d6 + atributo em até 6 inimigos, com Teste de Reflexos</t>
        </is>
      </c>
      <c r="G197" s="21" t="inlineStr">
        <is>
          <t>Uma vez por combate</t>
        </is>
      </c>
      <c r="H197" s="21" t="inlineStr">
        <is>
          <t>Não</t>
        </is>
      </c>
    </row>
    <row r="198" ht="26" customHeight="1">
      <c r="A198" s="58" t="inlineStr">
        <is>
          <t>A Euforia</t>
        </is>
      </c>
      <c r="B198" s="22" t="n">
        <v>1</v>
      </c>
      <c r="C198" s="22" t="inlineStr">
        <is>
          <t>Piada de Entrada</t>
        </is>
      </c>
      <c r="D198" s="22" t="inlineStr">
        <is>
          <t>I</t>
        </is>
      </c>
      <c r="E198" s="22" t="n">
        <v>1</v>
      </c>
      <c r="F198" s="4" t="inlineStr">
        <is>
          <t>Role a Tabela do Riso 1 vez por Ciclo, de graça</t>
        </is>
      </c>
      <c r="G198" s="22" t="inlineStr">
        <is>
          <t>Uma vez por Ciclo</t>
        </is>
      </c>
      <c r="H198" s="22" t="inlineStr">
        <is>
          <t>Não</t>
        </is>
      </c>
    </row>
    <row r="199" ht="26" customHeight="1">
      <c r="A199" s="59" t="inlineStr">
        <is>
          <t>A Euforia</t>
        </is>
      </c>
      <c r="B199" s="21" t="n">
        <v>2</v>
      </c>
      <c r="C199" s="21" t="inlineStr">
        <is>
          <t>Timing Impecável</t>
        </is>
      </c>
      <c r="D199" s="21" t="inlineStr">
        <is>
          <t>I</t>
        </is>
      </c>
      <c r="E199" s="21" t="n">
        <v>1</v>
      </c>
      <c r="F199" s="9" t="inlineStr">
        <is>
          <t>Troque o resultado da tabela pelo vizinho, 1 vez por Ciclo</t>
        </is>
      </c>
      <c r="G199" s="21" t="inlineStr">
        <is>
          <t>Uma vez por Ciclo</t>
        </is>
      </c>
      <c r="H199" s="21" t="inlineStr">
        <is>
          <t>Não</t>
        </is>
      </c>
    </row>
    <row r="200" ht="26" customHeight="1">
      <c r="A200" s="58" t="inlineStr">
        <is>
          <t>A Euforia</t>
        </is>
      </c>
      <c r="B200" s="22" t="n">
        <v>3</v>
      </c>
      <c r="C200" s="22" t="inlineStr">
        <is>
          <t>Troca de Papéis</t>
        </is>
      </c>
      <c r="D200" s="22" t="inlineStr">
        <is>
          <t>I</t>
        </is>
      </c>
      <c r="E200" s="22" t="n">
        <v>1</v>
      </c>
      <c r="F200" s="4" t="inlineStr">
        <is>
          <t>Ação Complementar: troca de casa na Fila com um aliado</t>
        </is>
      </c>
      <c r="G200" s="22" t="inlineStr">
        <is>
          <t>Sem limite declarado</t>
        </is>
      </c>
      <c r="H200" s="22" t="inlineStr">
        <is>
          <t>Não</t>
        </is>
      </c>
    </row>
    <row r="201">
      <c r="A201" s="59" t="inlineStr">
        <is>
          <t>A Euforia</t>
        </is>
      </c>
      <c r="B201" s="21" t="n">
        <v>4</v>
      </c>
      <c r="C201" s="21" t="inlineStr">
        <is>
          <t>Risada Contagiante</t>
        </is>
      </c>
      <c r="D201" s="21" t="inlineStr">
        <is>
          <t>I</t>
        </is>
      </c>
      <c r="E201" s="21" t="n">
        <v>1</v>
      </c>
      <c r="F201" s="21" t="inlineStr">
        <is>
          <t>Crítico ou 1 natural rolam a Tabela do Riso</t>
        </is>
      </c>
      <c r="G201" s="21" t="inlineStr">
        <is>
          <t>Sem limite declarado</t>
        </is>
      </c>
      <c r="H201" s="21" t="inlineStr">
        <is>
          <t>Não</t>
        </is>
      </c>
    </row>
    <row r="202" ht="26" customHeight="1">
      <c r="A202" s="58" t="inlineStr">
        <is>
          <t>A Euforia</t>
        </is>
      </c>
      <c r="B202" s="22" t="n">
        <v>5</v>
      </c>
      <c r="C202" s="22" t="inlineStr">
        <is>
          <t>Acrobata do Caos</t>
        </is>
      </c>
      <c r="D202" s="22" t="inlineStr">
        <is>
          <t>I</t>
        </is>
      </c>
      <c r="E202" s="22" t="n">
        <v>1</v>
      </c>
      <c r="F202" s="4" t="inlineStr">
        <is>
          <t>Vantagem em Reflexos; Esquiva bem-sucedida Atrasa o atacante</t>
        </is>
      </c>
      <c r="G202" s="22" t="inlineStr">
        <is>
          <t>Sem limite declarado</t>
        </is>
      </c>
      <c r="H202" s="22" t="inlineStr">
        <is>
          <t>Não</t>
        </is>
      </c>
    </row>
    <row r="203" ht="26" customHeight="1">
      <c r="A203" s="59" t="inlineStr">
        <is>
          <t>A Euforia</t>
        </is>
      </c>
      <c r="B203" s="21" t="n">
        <v>6</v>
      </c>
      <c r="C203" s="21" t="inlineStr">
        <is>
          <t>Sorte Escandalosa</t>
        </is>
      </c>
      <c r="D203" s="21" t="inlineStr">
        <is>
          <t>I</t>
        </is>
      </c>
      <c r="E203" s="21" t="n">
        <v>1</v>
      </c>
      <c r="F203" s="9" t="inlineStr">
        <is>
          <t>Reação: +2 na falha de um aliado, declarado depois do dado</t>
        </is>
      </c>
      <c r="G203" s="21" t="inlineStr">
        <is>
          <t>Uma vez por Ciclo</t>
        </is>
      </c>
      <c r="H203" s="21" t="inlineStr">
        <is>
          <t>Não</t>
        </is>
      </c>
    </row>
    <row r="204" ht="26" customHeight="1">
      <c r="A204" s="58" t="inlineStr">
        <is>
          <t>A Euforia</t>
        </is>
      </c>
      <c r="B204" s="22" t="n">
        <v>7</v>
      </c>
      <c r="C204" s="22" t="inlineStr">
        <is>
          <t>Comédia de Erros</t>
        </is>
      </c>
      <c r="D204" s="22" t="inlineStr">
        <is>
          <t>II</t>
        </is>
      </c>
      <c r="E204" s="22" t="n">
        <v>9</v>
      </c>
      <c r="F204" s="4" t="inlineStr">
        <is>
          <t>Inimigo que erra em você faz você rolar a tabela</t>
        </is>
      </c>
      <c r="G204" s="22" t="inlineStr">
        <is>
          <t>Uma vez por Ciclo</t>
        </is>
      </c>
      <c r="H204" s="22" t="inlineStr">
        <is>
          <t>Não</t>
        </is>
      </c>
    </row>
    <row r="205" ht="26" customHeight="1">
      <c r="A205" s="59" t="inlineStr">
        <is>
          <t>A Euforia</t>
        </is>
      </c>
      <c r="B205" s="21" t="n">
        <v>8</v>
      </c>
      <c r="C205" s="21" t="inlineStr">
        <is>
          <t>Maestro do Riso</t>
        </is>
      </c>
      <c r="D205" s="21" t="inlineStr">
        <is>
          <t>II</t>
        </is>
      </c>
      <c r="E205" s="21" t="n">
        <v>9</v>
      </c>
      <c r="F205" s="9" t="inlineStr">
        <is>
          <t>Ataque Básico: dois resultados da tabela de uma vez</t>
        </is>
      </c>
      <c r="G205" s="21" t="inlineStr">
        <is>
          <t>Sem limite declarado</t>
        </is>
      </c>
      <c r="H205" s="21" t="inlineStr">
        <is>
          <t>Não</t>
        </is>
      </c>
    </row>
    <row r="206" ht="26" customHeight="1">
      <c r="A206" s="58" t="inlineStr">
        <is>
          <t>A Euforia</t>
        </is>
      </c>
      <c r="B206" s="22" t="n">
        <v>9</v>
      </c>
      <c r="C206" s="22" t="inlineStr">
        <is>
          <t>Palhaçada Letal</t>
        </is>
      </c>
      <c r="D206" s="22" t="inlineStr">
        <is>
          <t>II</t>
        </is>
      </c>
      <c r="E206" s="22" t="n">
        <v>9</v>
      </c>
      <c r="F206" s="4" t="inlineStr">
        <is>
          <t>+1 dado base contra quem a tabela já pegou neste Ciclo</t>
        </is>
      </c>
      <c r="G206" s="22" t="inlineStr">
        <is>
          <t>Sem limite declarado</t>
        </is>
      </c>
      <c r="H206" s="22" t="inlineStr">
        <is>
          <t>Não</t>
        </is>
      </c>
    </row>
    <row r="207" ht="26" customHeight="1">
      <c r="A207" s="59" t="inlineStr">
        <is>
          <t>A Euforia</t>
        </is>
      </c>
      <c r="B207" s="21" t="n">
        <v>10</v>
      </c>
      <c r="C207" s="21" t="inlineStr">
        <is>
          <t>Entra em Cena</t>
        </is>
      </c>
      <c r="D207" s="21" t="inlineStr">
        <is>
          <t>II</t>
        </is>
      </c>
      <c r="E207" s="21" t="n">
        <v>9</v>
      </c>
      <c r="F207" s="9" t="inlineStr">
        <is>
          <t>Ação Complementar + 1 PH: um aliado Avança 2 casas</t>
        </is>
      </c>
      <c r="G207" s="21" t="inlineStr">
        <is>
          <t>Uma vez por Ciclo</t>
        </is>
      </c>
      <c r="H207" s="21" t="inlineStr">
        <is>
          <t>Não</t>
        </is>
      </c>
    </row>
    <row r="208" ht="26" customHeight="1">
      <c r="A208" s="58" t="inlineStr">
        <is>
          <t>A Euforia</t>
        </is>
      </c>
      <c r="B208" s="22" t="n">
        <v>11</v>
      </c>
      <c r="C208" s="22" t="inlineStr">
        <is>
          <t>Avatar da Euforia</t>
        </is>
      </c>
      <c r="D208" s="22" t="inlineStr">
        <is>
          <t>III</t>
        </is>
      </c>
      <c r="E208" s="22" t="n">
        <v>17</v>
      </c>
      <c r="F208" s="4" t="inlineStr">
        <is>
          <t>Tabela no início de todo turno; escolhe o resultado 1 vez por Ciclo</t>
        </is>
      </c>
      <c r="G208" s="22" t="inlineStr">
        <is>
          <t>Uma vez por Ciclo</t>
        </is>
      </c>
      <c r="H208" s="22" t="inlineStr">
        <is>
          <t>Não</t>
        </is>
      </c>
    </row>
    <row r="209" ht="26" customHeight="1">
      <c r="A209" s="59" t="inlineStr">
        <is>
          <t>A Euforia</t>
        </is>
      </c>
      <c r="B209" s="21" t="n">
        <v>12</v>
      </c>
      <c r="C209" s="21" t="inlineStr">
        <is>
          <t>A Piada Final</t>
        </is>
      </c>
      <c r="D209" s="21" t="inlineStr">
        <is>
          <t>III</t>
        </is>
      </c>
      <c r="E209" s="21" t="n">
        <v>17</v>
      </c>
      <c r="F209" s="9" t="inlineStr">
        <is>
          <t>1 vez por combate: até 3 inimigos Atrasados e Vulnerável</t>
        </is>
      </c>
      <c r="G209" s="21" t="inlineStr">
        <is>
          <t>Uma vez por combate</t>
        </is>
      </c>
      <c r="H209" s="21" t="inlineStr">
        <is>
          <t>Não</t>
        </is>
      </c>
    </row>
    <row r="210">
      <c r="A210" s="58" t="inlineStr">
        <is>
          <t>A Caça</t>
        </is>
      </c>
      <c r="B210" s="22" t="n">
        <v>1</v>
      </c>
      <c r="C210" s="22" t="inlineStr">
        <is>
          <t>Olho de Lan</t>
        </is>
      </c>
      <c r="D210" s="22" t="inlineStr">
        <is>
          <t>I</t>
        </is>
      </c>
      <c r="E210" s="22" t="n">
        <v>1</v>
      </c>
      <c r="F210" s="22" t="inlineStr">
        <is>
          <t>Faixa de crítico 19-20, o teto do jogo</t>
        </is>
      </c>
      <c r="G210" s="22" t="inlineStr">
        <is>
          <t>Sem limite declarado</t>
        </is>
      </c>
      <c r="H210" s="22" t="inlineStr">
        <is>
          <t>Não</t>
        </is>
      </c>
    </row>
    <row r="211">
      <c r="A211" s="59" t="inlineStr">
        <is>
          <t>A Caça</t>
        </is>
      </c>
      <c r="B211" s="21" t="n">
        <v>2</v>
      </c>
      <c r="C211" s="21" t="inlineStr">
        <is>
          <t>Presa Escolhida</t>
        </is>
      </c>
      <c r="D211" s="21" t="inlineStr">
        <is>
          <t>I</t>
        </is>
      </c>
      <c r="E211" s="21" t="n">
        <v>1</v>
      </c>
      <c r="F211" s="21" t="inlineStr">
        <is>
          <t>Marcar não gasta ação nenhuma</t>
        </is>
      </c>
      <c r="G211" s="21" t="inlineStr">
        <is>
          <t>Uma vez por turno</t>
        </is>
      </c>
      <c r="H211" s="21" t="inlineStr">
        <is>
          <t>Não</t>
        </is>
      </c>
    </row>
    <row r="212" ht="26" customHeight="1">
      <c r="A212" s="58" t="inlineStr">
        <is>
          <t>A Caça</t>
        </is>
      </c>
      <c r="B212" s="22" t="n">
        <v>3</v>
      </c>
      <c r="C212" s="22" t="inlineStr">
        <is>
          <t>Tiro Certeiro</t>
        </is>
      </c>
      <c r="D212" s="22" t="inlineStr">
        <is>
          <t>I</t>
        </is>
      </c>
      <c r="E212" s="22" t="n">
        <v>1</v>
      </c>
      <c r="F212" s="4" t="inlineStr">
        <is>
          <t>Ignora Eficiência pontos de Defesa do alvo marcado</t>
        </is>
      </c>
      <c r="G212" s="22" t="inlineStr">
        <is>
          <t>Sem limite declarado</t>
        </is>
      </c>
      <c r="H212" s="22" t="inlineStr">
        <is>
          <t>Não</t>
        </is>
      </c>
    </row>
    <row r="213" ht="26" customHeight="1">
      <c r="A213" s="59" t="inlineStr">
        <is>
          <t>A Caça</t>
        </is>
      </c>
      <c r="B213" s="21" t="n">
        <v>4</v>
      </c>
      <c r="C213" s="21" t="inlineStr">
        <is>
          <t>Caçador Incansável</t>
        </is>
      </c>
      <c r="D213" s="21" t="inlineStr">
        <is>
          <t>I</t>
        </is>
      </c>
      <c r="E213" s="21" t="n">
        <v>1</v>
      </c>
      <c r="F213" s="9" t="inlineStr">
        <is>
          <t>Abate do marcado dá +1 no próximo ataque e Avança 1 casa</t>
        </is>
      </c>
      <c r="G213" s="21" t="inlineStr">
        <is>
          <t>Sem limite declarado</t>
        </is>
      </c>
      <c r="H213" s="21" t="inlineStr">
        <is>
          <t>Não</t>
        </is>
      </c>
    </row>
    <row r="214" ht="26" customHeight="1">
      <c r="A214" s="58" t="inlineStr">
        <is>
          <t>A Caça</t>
        </is>
      </c>
      <c r="B214" s="22" t="n">
        <v>5</v>
      </c>
      <c r="C214" s="22" t="inlineStr">
        <is>
          <t>Passos de Sombra</t>
        </is>
      </c>
      <c r="D214" s="22" t="inlineStr">
        <is>
          <t>I</t>
        </is>
      </c>
      <c r="E214" s="22" t="n">
        <v>1</v>
      </c>
      <c r="F214" s="4" t="inlineStr">
        <is>
          <t>Vantagem em Furtividade e no primeiro ataque sem ser notado</t>
        </is>
      </c>
      <c r="G214" s="22" t="inlineStr">
        <is>
          <t>Sem limite declarado</t>
        </is>
      </c>
      <c r="H214" s="22" t="inlineStr">
        <is>
          <t>Não</t>
        </is>
      </c>
    </row>
    <row r="215" ht="26" customHeight="1">
      <c r="A215" s="59" t="inlineStr">
        <is>
          <t>A Caça</t>
        </is>
      </c>
      <c r="B215" s="21" t="n">
        <v>6</v>
      </c>
      <c r="C215" s="21" t="inlineStr">
        <is>
          <t>Reflexo de Presa</t>
        </is>
      </c>
      <c r="D215" s="21" t="inlineStr">
        <is>
          <t>I</t>
        </is>
      </c>
      <c r="E215" s="21" t="n">
        <v>1</v>
      </c>
      <c r="F215" s="9" t="inlineStr">
        <is>
          <t>Ganha todo empate de Velocidade; sofre 1 casa menos de Atraso</t>
        </is>
      </c>
      <c r="G215" s="21" t="inlineStr">
        <is>
          <t>Sem limite declarado</t>
        </is>
      </c>
      <c r="H215" s="21" t="inlineStr">
        <is>
          <t>Não</t>
        </is>
      </c>
    </row>
    <row r="216" ht="26" customHeight="1">
      <c r="A216" s="58" t="inlineStr">
        <is>
          <t>A Caça</t>
        </is>
      </c>
      <c r="B216" s="22" t="n">
        <v>7</v>
      </c>
      <c r="C216" s="4" t="inlineStr">
        <is>
          <t>Dois Alvos, Uma Flecha</t>
        </is>
      </c>
      <c r="D216" s="22" t="inlineStr">
        <is>
          <t>II</t>
        </is>
      </c>
      <c r="E216" s="22" t="n">
        <v>9</v>
      </c>
      <c r="F216" s="4" t="inlineStr">
        <is>
          <t>Dois marcados; o dado vale no primeiro que você atacar no turno</t>
        </is>
      </c>
      <c r="G216" s="22" t="inlineStr">
        <is>
          <t>Sem limite declarado</t>
        </is>
      </c>
      <c r="H216" s="22" t="inlineStr">
        <is>
          <t>Não</t>
        </is>
      </c>
    </row>
    <row r="217" ht="26" customHeight="1">
      <c r="A217" s="59" t="inlineStr">
        <is>
          <t>A Caça</t>
        </is>
      </c>
      <c r="B217" s="21" t="n">
        <v>8</v>
      </c>
      <c r="C217" s="21" t="inlineStr">
        <is>
          <t>Golpe no Ponto Cego</t>
        </is>
      </c>
      <c r="D217" s="21" t="inlineStr">
        <is>
          <t>II</t>
        </is>
      </c>
      <c r="E217" s="21" t="n">
        <v>9</v>
      </c>
      <c r="F217" s="9" t="inlineStr">
        <is>
          <t>Segundo acerto no marcado no mesmo Ciclo: +1 dado base</t>
        </is>
      </c>
      <c r="G217" s="21" t="inlineStr">
        <is>
          <t>Sem limite declarado</t>
        </is>
      </c>
      <c r="H217" s="21" t="inlineStr">
        <is>
          <t>Não</t>
        </is>
      </c>
    </row>
    <row r="218" ht="26" customHeight="1">
      <c r="A218" s="58" t="inlineStr">
        <is>
          <t>A Caça</t>
        </is>
      </c>
      <c r="B218" s="22" t="n">
        <v>9</v>
      </c>
      <c r="C218" s="22" t="inlineStr">
        <is>
          <t>Perseguição</t>
        </is>
      </c>
      <c r="D218" s="22" t="inlineStr">
        <is>
          <t>II</t>
        </is>
      </c>
      <c r="E218" s="22" t="n">
        <v>9</v>
      </c>
      <c r="F218" s="4" t="inlineStr">
        <is>
          <t>Marcado Atrasado, Congelado ou Quebrado faz você Avançar 1 casa</t>
        </is>
      </c>
      <c r="G218" s="22" t="inlineStr">
        <is>
          <t>Uma vez por Ciclo</t>
        </is>
      </c>
      <c r="H218" s="22" t="inlineStr">
        <is>
          <t>Não</t>
        </is>
      </c>
    </row>
    <row r="219" ht="26" customHeight="1">
      <c r="A219" s="59" t="inlineStr">
        <is>
          <t>A Caça</t>
        </is>
      </c>
      <c r="B219" s="21" t="n">
        <v>10</v>
      </c>
      <c r="C219" s="21" t="inlineStr">
        <is>
          <t>Instinto de Predador</t>
        </is>
      </c>
      <c r="D219" s="21" t="inlineStr">
        <is>
          <t>II</t>
        </is>
      </c>
      <c r="E219" s="21" t="n">
        <v>9</v>
      </c>
      <c r="F219" s="9" t="inlineStr">
        <is>
          <t>Reação: contra-ataque quando o marcado erra em você</t>
        </is>
      </c>
      <c r="G219" s="21" t="inlineStr">
        <is>
          <t>Uma vez por Ciclo</t>
        </is>
      </c>
      <c r="H219" s="21" t="inlineStr">
        <is>
          <t>Não</t>
        </is>
      </c>
    </row>
    <row r="220" ht="26" customHeight="1">
      <c r="A220" s="58" t="inlineStr">
        <is>
          <t>A Caça</t>
        </is>
      </c>
      <c r="B220" s="22" t="n">
        <v>11</v>
      </c>
      <c r="C220" s="22" t="inlineStr">
        <is>
          <t>Avatar da Caça</t>
        </is>
      </c>
      <c r="D220" s="22" t="inlineStr">
        <is>
          <t>III</t>
        </is>
      </c>
      <c r="E220" s="22" t="n">
        <v>17</v>
      </c>
      <c r="F220" s="4" t="inlineStr">
        <is>
          <t>Crítico no marcado ganha +1 dado base; +2 de Velocidade; Ação Extra no abate</t>
        </is>
      </c>
      <c r="G220" s="22" t="inlineStr">
        <is>
          <t>Uma vez por combate</t>
        </is>
      </c>
      <c r="H220" s="22" t="inlineStr">
        <is>
          <t>Não</t>
        </is>
      </c>
    </row>
    <row r="221" ht="26" customHeight="1">
      <c r="A221" s="59" t="inlineStr">
        <is>
          <t>A Caça</t>
        </is>
      </c>
      <c r="B221" s="21" t="n">
        <v>12</v>
      </c>
      <c r="C221" s="21" t="inlineStr">
        <is>
          <t>A Última Flecha</t>
        </is>
      </c>
      <c r="D221" s="21" t="inlineStr">
        <is>
          <t>III</t>
        </is>
      </c>
      <c r="E221" s="21" t="n">
        <v>17</v>
      </c>
      <c r="F221" s="9" t="inlineStr">
        <is>
          <t>1 vez por combate: Vantagem, +2 dados base e +30 de Energia no abate</t>
        </is>
      </c>
      <c r="G221" s="21" t="inlineStr">
        <is>
          <t>Uma vez por combate</t>
        </is>
      </c>
      <c r="H221" s="21" t="inlineStr">
        <is>
          <t>Não</t>
        </is>
      </c>
    </row>
    <row r="222" ht="26" customHeight="1">
      <c r="A222" s="58" t="inlineStr">
        <is>
          <t>A Preservação</t>
        </is>
      </c>
      <c r="B222" s="22" t="n">
        <v>1</v>
      </c>
      <c r="C222" s="22" t="inlineStr">
        <is>
          <t>Muralha de Qlipoth</t>
        </is>
      </c>
      <c r="D222" s="22" t="inlineStr">
        <is>
          <t>I</t>
        </is>
      </c>
      <c r="E222" s="22" t="n">
        <v>1</v>
      </c>
      <c r="F222" s="4" t="inlineStr">
        <is>
          <t>Ação Complementar: 2 × Eficiência de Barreira em você ou num aliado</t>
        </is>
      </c>
      <c r="G222" s="22" t="inlineStr">
        <is>
          <t>Sem limite declarado</t>
        </is>
      </c>
      <c r="H222" s="22" t="inlineStr">
        <is>
          <t>Não</t>
        </is>
      </c>
    </row>
    <row r="223" ht="26" customHeight="1">
      <c r="A223" s="59" t="inlineStr">
        <is>
          <t>A Preservação</t>
        </is>
      </c>
      <c r="B223" s="21" t="n">
        <v>2</v>
      </c>
      <c r="C223" s="21" t="inlineStr">
        <is>
          <t>Chamado da Muralha</t>
        </is>
      </c>
      <c r="D223" s="21" t="inlineStr">
        <is>
          <t>I</t>
        </is>
      </c>
      <c r="E223" s="21" t="n">
        <v>1</v>
      </c>
      <c r="F223" s="9" t="inlineStr">
        <is>
          <t>Teste de Força de Vontade: o inimigo só pode atacar você</t>
        </is>
      </c>
      <c r="G223" s="21" t="inlineStr">
        <is>
          <t>Sem limite declarado</t>
        </is>
      </c>
      <c r="H223" s="21" t="inlineStr">
        <is>
          <t>Não</t>
        </is>
      </c>
    </row>
    <row r="224">
      <c r="A224" s="58" t="inlineStr">
        <is>
          <t>A Preservação</t>
        </is>
      </c>
      <c r="B224" s="22" t="n">
        <v>3</v>
      </c>
      <c r="C224" s="22" t="inlineStr">
        <is>
          <t>Escudo Vivo</t>
        </is>
      </c>
      <c r="D224" s="22" t="inlineStr">
        <is>
          <t>I</t>
        </is>
      </c>
      <c r="E224" s="22" t="n">
        <v>1</v>
      </c>
      <c r="F224" s="22" t="inlineStr">
        <is>
          <t>Intervir de graça, 1 vez por Ciclo</t>
        </is>
      </c>
      <c r="G224" s="22" t="inlineStr">
        <is>
          <t>Uma vez por Ciclo</t>
        </is>
      </c>
      <c r="H224" s="22" t="inlineStr">
        <is>
          <t>Não</t>
        </is>
      </c>
    </row>
    <row r="225" ht="26" customHeight="1">
      <c r="A225" s="59" t="inlineStr">
        <is>
          <t>A Preservação</t>
        </is>
      </c>
      <c r="B225" s="21" t="n">
        <v>4</v>
      </c>
      <c r="C225" s="21" t="inlineStr">
        <is>
          <t>Pele de Pedra</t>
        </is>
      </c>
      <c r="D225" s="21" t="inlineStr">
        <is>
          <t>I</t>
        </is>
      </c>
      <c r="E225" s="21" t="n">
        <v>1</v>
      </c>
      <c r="F225" s="9" t="inlineStr">
        <is>
          <t>+2 RD, e +2 RD a mais enquanto tiver Barreira</t>
        </is>
      </c>
      <c r="G225" s="21" t="inlineStr">
        <is>
          <t>Sem limite declarado</t>
        </is>
      </c>
      <c r="H225" s="21" t="inlineStr">
        <is>
          <t>Não</t>
        </is>
      </c>
    </row>
    <row r="226" ht="26" customHeight="1">
      <c r="A226" s="58" t="inlineStr">
        <is>
          <t>A Preservação</t>
        </is>
      </c>
      <c r="B226" s="22" t="n">
        <v>5</v>
      </c>
      <c r="C226" s="4" t="inlineStr">
        <is>
          <t>Firmeza de Fundação</t>
        </is>
      </c>
      <c r="D226" s="22" t="inlineStr">
        <is>
          <t>I</t>
        </is>
      </c>
      <c r="E226" s="22" t="n">
        <v>1</v>
      </c>
      <c r="F226" s="4" t="inlineStr">
        <is>
          <t>No máximo 1 casa de Atraso por Ciclo; ignora Lentidão</t>
        </is>
      </c>
      <c r="G226" s="22" t="inlineStr">
        <is>
          <t>Sem limite declarado</t>
        </is>
      </c>
      <c r="H226" s="22" t="inlineStr">
        <is>
          <t>Não</t>
        </is>
      </c>
    </row>
    <row r="227" ht="26" customHeight="1">
      <c r="A227" s="59" t="inlineStr">
        <is>
          <t>A Preservação</t>
        </is>
      </c>
      <c r="B227" s="21" t="n">
        <v>6</v>
      </c>
      <c r="C227" s="21" t="inlineStr">
        <is>
          <t>Peso do Juramento</t>
        </is>
      </c>
      <c r="D227" s="21" t="inlineStr">
        <is>
          <t>I</t>
        </is>
      </c>
      <c r="E227" s="21" t="n">
        <v>1</v>
      </c>
      <c r="F227" s="9" t="inlineStr">
        <is>
          <t>Vantagem em Potência e Resistência Física; +2 Espaços de carga</t>
        </is>
      </c>
      <c r="G227" s="21" t="inlineStr">
        <is>
          <t>Sem limite declarado</t>
        </is>
      </c>
      <c r="H227" s="21" t="inlineStr">
        <is>
          <t>Não</t>
        </is>
      </c>
    </row>
    <row r="228" ht="26" customHeight="1">
      <c r="A228" s="58" t="inlineStr">
        <is>
          <t>A Preservação</t>
        </is>
      </c>
      <c r="B228" s="22" t="n">
        <v>7</v>
      </c>
      <c r="C228" s="4" t="inlineStr">
        <is>
          <t>Barreira Compartilhada</t>
        </is>
      </c>
      <c r="D228" s="22" t="inlineStr">
        <is>
          <t>II</t>
        </is>
      </c>
      <c r="E228" s="22" t="n">
        <v>9</v>
      </c>
      <c r="F228" s="4" t="inlineStr">
        <is>
          <t>A Barreira pega um segundo aliado pela metade</t>
        </is>
      </c>
      <c r="G228" s="22" t="inlineStr">
        <is>
          <t>Sem limite declarado</t>
        </is>
      </c>
      <c r="H228" s="22" t="inlineStr">
        <is>
          <t>Não</t>
        </is>
      </c>
    </row>
    <row r="229" ht="26" customHeight="1">
      <c r="A229" s="59" t="inlineStr">
        <is>
          <t>A Preservação</t>
        </is>
      </c>
      <c r="B229" s="21" t="n">
        <v>8</v>
      </c>
      <c r="C229" s="21" t="inlineStr">
        <is>
          <t>Contragolpe</t>
        </is>
      </c>
      <c r="D229" s="21" t="inlineStr">
        <is>
          <t>II</t>
        </is>
      </c>
      <c r="E229" s="21" t="n">
        <v>9</v>
      </c>
      <c r="F229" s="9" t="inlineStr">
        <is>
          <t>Dano absorvido devolve 1d6 + Eficiência ao atacante</t>
        </is>
      </c>
      <c r="G229" s="21" t="inlineStr">
        <is>
          <t>Uma vez por turno</t>
        </is>
      </c>
      <c r="H229" s="21" t="inlineStr">
        <is>
          <t>Não</t>
        </is>
      </c>
    </row>
    <row r="230" ht="26" customHeight="1">
      <c r="A230" s="58" t="inlineStr">
        <is>
          <t>A Preservação</t>
        </is>
      </c>
      <c r="B230" s="22" t="n">
        <v>9</v>
      </c>
      <c r="C230" s="22" t="inlineStr">
        <is>
          <t>Sentinela</t>
        </is>
      </c>
      <c r="D230" s="22" t="inlineStr">
        <is>
          <t>II</t>
        </is>
      </c>
      <c r="E230" s="22" t="n">
        <v>9</v>
      </c>
      <c r="F230" s="4" t="inlineStr">
        <is>
          <t>1 vez por Ciclo: Esquiva ou Intervir mesmo com a Reação gasta</t>
        </is>
      </c>
      <c r="G230" s="22" t="inlineStr">
        <is>
          <t>Uma vez por Ciclo</t>
        </is>
      </c>
      <c r="H230" s="22" t="inlineStr">
        <is>
          <t>Não</t>
        </is>
      </c>
    </row>
    <row r="231" ht="26" customHeight="1">
      <c r="A231" s="59" t="inlineStr">
        <is>
          <t>A Preservação</t>
        </is>
      </c>
      <c r="B231" s="21" t="n">
        <v>10</v>
      </c>
      <c r="C231" s="21" t="inlineStr">
        <is>
          <t>Último Bastião</t>
        </is>
      </c>
      <c r="D231" s="21" t="inlineStr">
        <is>
          <t>II</t>
        </is>
      </c>
      <c r="E231" s="21" t="n">
        <v>9</v>
      </c>
      <c r="F231" s="9" t="inlineStr">
        <is>
          <t>Barreira destruída dá RD = Eficiência ao grupo perto</t>
        </is>
      </c>
      <c r="G231" s="21" t="inlineStr">
        <is>
          <t>Uma vez por combate</t>
        </is>
      </c>
      <c r="H231" s="21" t="inlineStr">
        <is>
          <t>Não</t>
        </is>
      </c>
    </row>
    <row r="232" ht="26" customHeight="1">
      <c r="A232" s="58" t="inlineStr">
        <is>
          <t>A Preservação</t>
        </is>
      </c>
      <c r="B232" s="22" t="n">
        <v>11</v>
      </c>
      <c r="C232" s="4" t="inlineStr">
        <is>
          <t>Avatar da Preservação</t>
        </is>
      </c>
      <c r="D232" s="22" t="inlineStr">
        <is>
          <t>III</t>
        </is>
      </c>
      <c r="E232" s="22" t="n">
        <v>17</v>
      </c>
      <c r="F232" s="4" t="inlineStr">
        <is>
          <t>Barreira no teto, +1 de Defesa e +2 RD aos aliados, salva um a 0 PV</t>
        </is>
      </c>
      <c r="G232" s="22" t="inlineStr">
        <is>
          <t>Uma vez por combate</t>
        </is>
      </c>
      <c r="H232" s="22" t="inlineStr">
        <is>
          <t>Não</t>
        </is>
      </c>
    </row>
    <row r="233" ht="26" customHeight="1">
      <c r="A233" s="59" t="inlineStr">
        <is>
          <t>A Preservação</t>
        </is>
      </c>
      <c r="B233" s="21" t="n">
        <v>12</v>
      </c>
      <c r="C233" s="21" t="inlineStr">
        <is>
          <t>A Muralha Não Cai</t>
        </is>
      </c>
      <c r="D233" s="21" t="inlineStr">
        <is>
          <t>III</t>
        </is>
      </c>
      <c r="E233" s="21" t="n">
        <v>17</v>
      </c>
      <c r="F233" s="9" t="inlineStr">
        <is>
          <t>1 vez por combate: ninguém perto cai abaixo de 1 PV por um turno</t>
        </is>
      </c>
      <c r="G233" s="21" t="inlineStr">
        <is>
          <t>Uma vez por combate</t>
        </is>
      </c>
      <c r="H233" s="21" t="inlineStr">
        <is>
          <t>Não</t>
        </is>
      </c>
    </row>
    <row r="234"/>
    <row r="235">
      <c r="A235" s="14" t="inlineStr">
        <is>
          <t>Acúmulos das Bênçãos — capítulos 07 a 15 (transcrito)</t>
        </is>
      </c>
    </row>
    <row r="236">
      <c r="A236" s="7" t="inlineStr">
        <is>
          <t>Caminho</t>
        </is>
      </c>
      <c r="B236" s="7" t="inlineStr">
        <is>
          <t>Bênção</t>
        </is>
      </c>
      <c r="C236" s="7" t="inlineStr">
        <is>
          <t>Acúmulo</t>
        </is>
      </c>
      <c r="D236" s="7" t="inlineStr">
        <is>
          <t>Máximo</t>
        </is>
      </c>
    </row>
    <row r="237" ht="26" customHeight="1">
      <c r="A237" s="58" t="inlineStr">
        <is>
          <t>A Destruição</t>
        </is>
      </c>
      <c r="B237" s="4" t="inlineStr">
        <is>
          <t>Sacrifício Desesperado</t>
        </is>
      </c>
      <c r="C237" s="22" t="inlineStr">
        <is>
          <t>Fúria</t>
        </is>
      </c>
      <c r="D237" s="22" t="n">
        <v>2</v>
      </c>
    </row>
    <row r="238" ht="26" customHeight="1">
      <c r="A238" s="59" t="inlineStr">
        <is>
          <t>A Destruição</t>
        </is>
      </c>
      <c r="B238" s="9" t="inlineStr">
        <is>
          <t>Cicatriz da Destruição</t>
        </is>
      </c>
      <c r="C238" s="21" t="inlineStr">
        <is>
          <t>Marcas da Ruína</t>
        </is>
      </c>
      <c r="D238" s="21" t="n">
        <v>5</v>
      </c>
    </row>
    <row r="239">
      <c r="A239" s="58" t="inlineStr">
        <is>
          <t>A Inexistência</t>
        </is>
      </c>
      <c r="B239" s="22" t="inlineStr">
        <is>
          <t>Marca do Vazio</t>
        </is>
      </c>
      <c r="C239" s="22" t="inlineStr">
        <is>
          <t>Marca do Vazio</t>
        </is>
      </c>
      <c r="D239" s="22" t="n">
        <v>3</v>
      </c>
    </row>
    <row r="240" ht="26" customHeight="1">
      <c r="A240" s="59" t="inlineStr">
        <is>
          <t>A Inexistência</t>
        </is>
      </c>
      <c r="B240" s="9" t="inlineStr">
        <is>
          <t>Corrupção Progressiva</t>
        </is>
      </c>
      <c r="C240" s="21" t="inlineStr">
        <is>
          <t>Corrupção</t>
        </is>
      </c>
      <c r="D240" s="21" t="n">
        <v>5</v>
      </c>
    </row>
    <row r="241" ht="26" customHeight="1">
      <c r="A241" s="58" t="inlineStr">
        <is>
          <t>A Abundância</t>
        </is>
      </c>
      <c r="B241" s="4" t="inlineStr">
        <is>
          <t>Florescimento da Alma</t>
        </is>
      </c>
      <c r="C241" s="22" t="inlineStr">
        <is>
          <t>Florescimento</t>
        </is>
      </c>
      <c r="D241" s="22" t="n">
        <v>5</v>
      </c>
    </row>
    <row r="242" ht="26" customHeight="1">
      <c r="A242" s="59" t="inlineStr">
        <is>
          <t>A Recordação</t>
        </is>
      </c>
      <c r="B242" s="9" t="inlineStr">
        <is>
          <t>Memória Devastadora</t>
        </is>
      </c>
      <c r="C242" s="9" t="inlineStr">
        <is>
          <t>Fragmentos de Memória</t>
        </is>
      </c>
      <c r="D242" s="21" t="n">
        <v>5</v>
      </c>
    </row>
    <row r="243" ht="26" customHeight="1">
      <c r="A243" s="58" t="inlineStr">
        <is>
          <t>A Recordação</t>
        </is>
      </c>
      <c r="B243" s="22" t="inlineStr">
        <is>
          <t>Ataque Espiritual</t>
        </is>
      </c>
      <c r="C243" s="4" t="inlineStr">
        <is>
          <t>Lembranças Passadas</t>
        </is>
      </c>
      <c r="D243" s="22" t="n">
        <v>3</v>
      </c>
    </row>
    <row r="244"/>
    <row r="245">
      <c r="A245" s="14" t="inlineStr">
        <is>
          <t>Efeitos aplicados nos números — decisão 2 do plano (transcrito)</t>
        </is>
      </c>
    </row>
    <row r="246">
      <c r="A246" s="7" t="inlineStr">
        <is>
          <t>Caminho</t>
        </is>
      </c>
      <c r="B246" s="7" t="inlineStr">
        <is>
          <t>Bênção ou escolha</t>
        </is>
      </c>
      <c r="C246" s="7" t="inlineStr">
        <is>
          <t>Efeito</t>
        </is>
      </c>
    </row>
    <row r="247" ht="26" customHeight="1">
      <c r="A247" s="58" t="inlineStr">
        <is>
          <t>A Abundância</t>
        </is>
      </c>
      <c r="B247" s="22" t="inlineStr">
        <is>
          <t>Corpo Imortal</t>
        </is>
      </c>
      <c r="C247" s="4" t="inlineStr">
        <is>
          <t>PV máximo +2 × nível</t>
        </is>
      </c>
    </row>
    <row r="248" ht="26" customHeight="1">
      <c r="A248" s="59" t="inlineStr">
        <is>
          <t>A Abundância</t>
        </is>
      </c>
      <c r="B248" s="21" t="inlineStr">
        <is>
          <t>Corpo Imortal</t>
        </is>
      </c>
      <c r="C248" s="9" t="inlineStr">
        <is>
          <t>RD = Eficiência (teto de RD)</t>
        </is>
      </c>
    </row>
    <row r="249">
      <c r="A249" s="58" t="inlineStr">
        <is>
          <t>A Preservação</t>
        </is>
      </c>
      <c r="B249" s="22" t="inlineStr">
        <is>
          <t>Pele de Pedra</t>
        </is>
      </c>
      <c r="C249" s="22" t="inlineStr">
        <is>
          <t>RD +2 permanente</t>
        </is>
      </c>
    </row>
    <row r="250">
      <c r="A250" s="59" t="inlineStr">
        <is>
          <t>A Caça</t>
        </is>
      </c>
      <c r="B250" s="21" t="inlineStr">
        <is>
          <t>Olho de Lan</t>
        </is>
      </c>
      <c r="C250" s="21" t="inlineStr">
        <is>
          <t>faixa de crítico 19-20</t>
        </is>
      </c>
    </row>
    <row r="251" ht="26" customHeight="1">
      <c r="A251" s="58" t="inlineStr">
        <is>
          <t>A Caça</t>
        </is>
      </c>
      <c r="B251" s="22" t="inlineStr">
        <is>
          <t>Avatar da Caça</t>
        </is>
      </c>
      <c r="C251" s="4" t="inlineStr">
        <is>
          <t>Velocidade +2 permanente</t>
        </is>
      </c>
    </row>
    <row r="252" ht="48" customHeight="1">
      <c r="A252" s="59" t="inlineStr">
        <is>
          <t>A Recordação</t>
        </is>
      </c>
      <c r="B252" s="9" t="inlineStr">
        <is>
          <t>Avatar da Recordação</t>
        </is>
      </c>
      <c r="C252" s="9" t="inlineStr">
        <is>
          <t>Forma Sincronizada: PV máximo +2 × nível, Defesa +1, +1 dado base</t>
        </is>
      </c>
    </row>
    <row r="253" ht="48" customHeight="1">
      <c r="A253" s="58" t="inlineStr">
        <is>
          <t>A Destruição</t>
        </is>
      </c>
      <c r="B253" s="4" t="inlineStr">
        <is>
          <t>Instinto de Sobrevivência</t>
        </is>
      </c>
      <c r="C253" s="4" t="inlineStr">
        <is>
          <t>+2 em Testes de Ataque com PV ≤ 1/3 do máximo (teto de bônus)</t>
        </is>
      </c>
    </row>
    <row r="254" ht="48" customHeight="1">
      <c r="A254" s="59" t="inlineStr">
        <is>
          <t>A Destruição</t>
        </is>
      </c>
      <c r="B254" s="9" t="inlineStr">
        <is>
          <t>Sacrifício Desesperado</t>
        </is>
      </c>
      <c r="C254" s="9" t="inlineStr">
        <is>
          <t>+1d6 de dano por acúmulo de Fúria (teto de dados adicionais)</t>
        </is>
      </c>
    </row>
    <row r="255" ht="59" customHeight="1">
      <c r="A255" s="58" t="inlineStr">
        <is>
          <t>A Destruição</t>
        </is>
      </c>
      <c r="B255" s="4" t="inlineStr">
        <is>
          <t>Cicatriz da Destruição</t>
        </is>
      </c>
      <c r="C255" s="4" t="inlineStr">
        <is>
          <t>+1 dano, +1 Força de Vontade e Resistência Mental por Marca (teto de bônus)</t>
        </is>
      </c>
    </row>
    <row r="256" ht="48" customHeight="1">
      <c r="A256" s="59" t="inlineStr">
        <is>
          <t>A Abundância</t>
        </is>
      </c>
      <c r="B256" s="9" t="inlineStr">
        <is>
          <t>Florescimento da Alma</t>
        </is>
      </c>
      <c r="C256" s="9" t="inlineStr">
        <is>
          <t>+1 em Testes de Resistência e +1 de Defesa por acúmulo (teto de bônus)</t>
        </is>
      </c>
    </row>
    <row r="257" ht="37" customHeight="1">
      <c r="A257" s="58" t="inlineStr">
        <is>
          <t>A Recordação</t>
        </is>
      </c>
      <c r="B257" s="4" t="inlineStr">
        <is>
          <t>Memória Compartilhada</t>
        </is>
      </c>
      <c r="C257" s="4" t="inlineStr">
        <is>
          <t>com o Memoespírito ativo: +1 em ataques e +1d6 de dano</t>
        </is>
      </c>
    </row>
    <row r="258" ht="48" customHeight="1">
      <c r="A258" s="59" t="inlineStr">
        <is>
          <t>A Recordação</t>
        </is>
      </c>
      <c r="B258" s="9" t="inlineStr">
        <is>
          <t>Fragmentos do Eu Perdido</t>
        </is>
      </c>
      <c r="C258" s="9" t="inlineStr">
        <is>
          <t>Memória da Guarda: +Eficiência de Defesa com o Memoespírito ativo</t>
        </is>
      </c>
    </row>
    <row r="259" ht="60" customHeight="1">
      <c r="A259" s="58" t="inlineStr">
        <is>
          <t>A Recordação</t>
        </is>
      </c>
      <c r="B259" s="22" t="inlineStr">
        <is>
          <t>Ecos do Passado</t>
        </is>
      </c>
      <c r="C259" s="4" t="inlineStr">
        <is>
          <t>Memoespírito: PV máximo +4 × nível e +Bônus do Atributo de Habilidade no dano</t>
        </is>
      </c>
    </row>
    <row r="260" ht="48" customHeight="1">
      <c r="A260" s="59" t="inlineStr">
        <is>
          <t>A Recordação</t>
        </is>
      </c>
      <c r="B260" s="21" t="inlineStr">
        <is>
          <t>Função Catalisador</t>
        </is>
      </c>
      <c r="C260" s="9" t="inlineStr">
        <is>
          <t>você ganha +1 em Testes de Ataque com o Memoespírito ativo</t>
        </is>
      </c>
    </row>
    <row r="261" ht="48" customHeight="1">
      <c r="A261" s="58" t="inlineStr">
        <is>
          <t>A Recordação</t>
        </is>
      </c>
      <c r="B261" s="4" t="inlineStr">
        <is>
          <t>Evolução Fusão de Memórias</t>
        </is>
      </c>
      <c r="C261" s="4" t="inlineStr">
        <is>
          <t>você ganha +1 em Testes de Ataque com o Memoespírito ativo</t>
        </is>
      </c>
    </row>
    <row r="262"/>
    <row r="263">
      <c r="A263" s="14" t="inlineStr">
        <is>
          <t>Tabela mestra, nível 1 a 20 — 26.2</t>
        </is>
      </c>
    </row>
    <row r="264" ht="37" customHeight="1">
      <c r="A264" s="7" t="inlineStr">
        <is>
          <t>Nível</t>
        </is>
      </c>
      <c r="B264" s="7" t="inlineStr">
        <is>
          <t>Eficiência</t>
        </is>
      </c>
      <c r="C264" s="7" t="inlineStr">
        <is>
          <t>Eficácia: Perícias</t>
        </is>
      </c>
      <c r="D264" s="7" t="inlineStr">
        <is>
          <t>Eficácia: Testes de Resistência</t>
        </is>
      </c>
      <c r="E264" s="7" t="inlineStr">
        <is>
          <t>Bênçãos</t>
        </is>
      </c>
      <c r="F264" s="7" t="inlineStr">
        <is>
          <t>Habilidades conhecidas</t>
        </is>
      </c>
      <c r="G264" s="7" t="inlineStr">
        <is>
          <t>Reescreve 1 por nível</t>
        </is>
      </c>
      <c r="H264" s="7" t="inlineStr">
        <is>
          <t>Nível máx. de Habilidade</t>
        </is>
      </c>
      <c r="I264" s="7" t="inlineStr">
        <is>
          <t>Aumento de Atributo</t>
        </is>
      </c>
      <c r="J264" s="7" t="inlineStr">
        <is>
          <t>Dados de Ataque Básico</t>
        </is>
      </c>
      <c r="K264" s="7" t="inlineStr">
        <is>
          <t>Especialização</t>
        </is>
      </c>
      <c r="L264" s="7" t="inlineStr">
        <is>
          <t>Teto de RD</t>
        </is>
      </c>
    </row>
    <row r="265">
      <c r="A265" s="58" t="n">
        <v>1</v>
      </c>
      <c r="B265" s="22" t="n">
        <v>2</v>
      </c>
      <c r="C265" s="22" t="n">
        <v>0</v>
      </c>
      <c r="D265" s="22" t="n">
        <v>0</v>
      </c>
      <c r="E265" s="22" t="n">
        <v>1</v>
      </c>
      <c r="F265" s="22" t="n">
        <v>1</v>
      </c>
      <c r="G265" s="22" t="inlineStr">
        <is>
          <t>Não</t>
        </is>
      </c>
      <c r="H265" s="22" t="n">
        <v>1</v>
      </c>
      <c r="I265" s="22" t="inlineStr">
        <is>
          <t>Não</t>
        </is>
      </c>
      <c r="J265" s="22" t="n">
        <v>1</v>
      </c>
      <c r="K265" s="22" t="n">
        <v>0</v>
      </c>
      <c r="L265" s="22" t="n">
        <v>6</v>
      </c>
    </row>
    <row r="266">
      <c r="A266" s="59" t="n">
        <v>2</v>
      </c>
      <c r="B266" s="21" t="n">
        <v>2</v>
      </c>
      <c r="C266" s="21" t="n">
        <v>0</v>
      </c>
      <c r="D266" s="21" t="n">
        <v>0</v>
      </c>
      <c r="E266" s="21" t="n">
        <v>1</v>
      </c>
      <c r="F266" s="21" t="n">
        <v>1</v>
      </c>
      <c r="G266" s="21" t="inlineStr">
        <is>
          <t>Não</t>
        </is>
      </c>
      <c r="H266" s="21" t="n">
        <v>2</v>
      </c>
      <c r="I266" s="21" t="inlineStr">
        <is>
          <t>Não</t>
        </is>
      </c>
      <c r="J266" s="21" t="n">
        <v>1</v>
      </c>
      <c r="K266" s="21" t="n">
        <v>0</v>
      </c>
      <c r="L266" s="21" t="n">
        <v>6</v>
      </c>
    </row>
    <row r="267">
      <c r="A267" s="58" t="n">
        <v>3</v>
      </c>
      <c r="B267" s="22" t="n">
        <v>2</v>
      </c>
      <c r="C267" s="22" t="n">
        <v>0</v>
      </c>
      <c r="D267" s="22" t="n">
        <v>0</v>
      </c>
      <c r="E267" s="22" t="n">
        <v>2</v>
      </c>
      <c r="F267" s="22" t="n">
        <v>2</v>
      </c>
      <c r="G267" s="22" t="inlineStr">
        <is>
          <t>Não</t>
        </is>
      </c>
      <c r="H267" s="22" t="n">
        <v>2</v>
      </c>
      <c r="I267" s="22" t="inlineStr">
        <is>
          <t>Sim</t>
        </is>
      </c>
      <c r="J267" s="22" t="n">
        <v>1</v>
      </c>
      <c r="K267" s="22" t="n">
        <v>0</v>
      </c>
      <c r="L267" s="22" t="n">
        <v>6</v>
      </c>
    </row>
    <row r="268">
      <c r="A268" s="59" t="n">
        <v>4</v>
      </c>
      <c r="B268" s="21" t="n">
        <v>3</v>
      </c>
      <c r="C268" s="21" t="n">
        <v>0</v>
      </c>
      <c r="D268" s="21" t="n">
        <v>0</v>
      </c>
      <c r="E268" s="21" t="n">
        <v>2</v>
      </c>
      <c r="F268" s="21" t="n">
        <v>2</v>
      </c>
      <c r="G268" s="21" t="inlineStr">
        <is>
          <t>Não</t>
        </is>
      </c>
      <c r="H268" s="21" t="n">
        <v>2</v>
      </c>
      <c r="I268" s="21" t="inlineStr">
        <is>
          <t>Não</t>
        </is>
      </c>
      <c r="J268" s="21" t="n">
        <v>1</v>
      </c>
      <c r="K268" s="21" t="n">
        <v>0</v>
      </c>
      <c r="L268" s="21" t="n">
        <v>8</v>
      </c>
    </row>
    <row r="269">
      <c r="A269" s="58" t="n">
        <v>5</v>
      </c>
      <c r="B269" s="22" t="n">
        <v>3</v>
      </c>
      <c r="C269" s="22" t="n">
        <v>1</v>
      </c>
      <c r="D269" s="22" t="n">
        <v>1</v>
      </c>
      <c r="E269" s="22" t="n">
        <v>3</v>
      </c>
      <c r="F269" s="22" t="n">
        <v>3</v>
      </c>
      <c r="G269" s="22" t="inlineStr">
        <is>
          <t>Não</t>
        </is>
      </c>
      <c r="H269" s="22" t="n">
        <v>2</v>
      </c>
      <c r="I269" s="22" t="inlineStr">
        <is>
          <t>Não</t>
        </is>
      </c>
      <c r="J269" s="22" t="n">
        <v>2</v>
      </c>
      <c r="K269" s="22" t="n">
        <v>1</v>
      </c>
      <c r="L269" s="22" t="n">
        <v>8</v>
      </c>
    </row>
    <row r="270">
      <c r="A270" s="59" t="n">
        <v>6</v>
      </c>
      <c r="B270" s="21" t="n">
        <v>3</v>
      </c>
      <c r="C270" s="21" t="n">
        <v>1</v>
      </c>
      <c r="D270" s="21" t="n">
        <v>1</v>
      </c>
      <c r="E270" s="21" t="n">
        <v>3</v>
      </c>
      <c r="F270" s="21" t="n">
        <v>3</v>
      </c>
      <c r="G270" s="21" t="inlineStr">
        <is>
          <t>Não</t>
        </is>
      </c>
      <c r="H270" s="21" t="n">
        <v>3</v>
      </c>
      <c r="I270" s="21" t="inlineStr">
        <is>
          <t>Sim</t>
        </is>
      </c>
      <c r="J270" s="21" t="n">
        <v>2</v>
      </c>
      <c r="K270" s="21" t="n">
        <v>1</v>
      </c>
      <c r="L270" s="21" t="n">
        <v>8</v>
      </c>
    </row>
    <row r="271">
      <c r="A271" s="58" t="n">
        <v>7</v>
      </c>
      <c r="B271" s="22" t="n">
        <v>4</v>
      </c>
      <c r="C271" s="22" t="n">
        <v>1</v>
      </c>
      <c r="D271" s="22" t="n">
        <v>1</v>
      </c>
      <c r="E271" s="22" t="n">
        <v>4</v>
      </c>
      <c r="F271" s="22" t="n">
        <v>4</v>
      </c>
      <c r="G271" s="22" t="inlineStr">
        <is>
          <t>Não</t>
        </is>
      </c>
      <c r="H271" s="22" t="n">
        <v>3</v>
      </c>
      <c r="I271" s="22" t="inlineStr">
        <is>
          <t>Não</t>
        </is>
      </c>
      <c r="J271" s="22" t="n">
        <v>2</v>
      </c>
      <c r="K271" s="22" t="n">
        <v>1</v>
      </c>
      <c r="L271" s="22" t="n">
        <v>10</v>
      </c>
    </row>
    <row r="272">
      <c r="A272" s="59" t="n">
        <v>8</v>
      </c>
      <c r="B272" s="21" t="n">
        <v>4</v>
      </c>
      <c r="C272" s="21" t="n">
        <v>2</v>
      </c>
      <c r="D272" s="21" t="n">
        <v>1</v>
      </c>
      <c r="E272" s="21" t="n">
        <v>4</v>
      </c>
      <c r="F272" s="21" t="n">
        <v>4</v>
      </c>
      <c r="G272" s="21" t="inlineStr">
        <is>
          <t>Não</t>
        </is>
      </c>
      <c r="H272" s="21" t="n">
        <v>3</v>
      </c>
      <c r="I272" s="21" t="inlineStr">
        <is>
          <t>Não</t>
        </is>
      </c>
      <c r="J272" s="21" t="n">
        <v>2</v>
      </c>
      <c r="K272" s="21" t="n">
        <v>1</v>
      </c>
      <c r="L272" s="21" t="n">
        <v>10</v>
      </c>
    </row>
    <row r="273">
      <c r="A273" s="58" t="n">
        <v>9</v>
      </c>
      <c r="B273" s="22" t="n">
        <v>4</v>
      </c>
      <c r="C273" s="22" t="n">
        <v>2</v>
      </c>
      <c r="D273" s="22" t="n">
        <v>1</v>
      </c>
      <c r="E273" s="22" t="n">
        <v>5</v>
      </c>
      <c r="F273" s="22" t="n">
        <v>5</v>
      </c>
      <c r="G273" s="22" t="inlineStr">
        <is>
          <t>Não</t>
        </is>
      </c>
      <c r="H273" s="22" t="n">
        <v>4</v>
      </c>
      <c r="I273" s="22" t="inlineStr">
        <is>
          <t>Sim</t>
        </is>
      </c>
      <c r="J273" s="22" t="n">
        <v>3</v>
      </c>
      <c r="K273" s="22" t="n">
        <v>1</v>
      </c>
      <c r="L273" s="22" t="n">
        <v>10</v>
      </c>
    </row>
    <row r="274">
      <c r="A274" s="59" t="n">
        <v>10</v>
      </c>
      <c r="B274" s="21" t="n">
        <v>5</v>
      </c>
      <c r="C274" s="21" t="n">
        <v>2</v>
      </c>
      <c r="D274" s="21" t="n">
        <v>1</v>
      </c>
      <c r="E274" s="21" t="n">
        <v>5</v>
      </c>
      <c r="F274" s="21" t="n">
        <v>5</v>
      </c>
      <c r="G274" s="21" t="inlineStr">
        <is>
          <t>Não</t>
        </is>
      </c>
      <c r="H274" s="21" t="n">
        <v>4</v>
      </c>
      <c r="I274" s="21" t="inlineStr">
        <is>
          <t>Não</t>
        </is>
      </c>
      <c r="J274" s="21" t="n">
        <v>3</v>
      </c>
      <c r="K274" s="21" t="n">
        <v>1</v>
      </c>
      <c r="L274" s="21" t="n">
        <v>12</v>
      </c>
    </row>
    <row r="275">
      <c r="A275" s="58" t="n">
        <v>11</v>
      </c>
      <c r="B275" s="22" t="n">
        <v>5</v>
      </c>
      <c r="C275" s="22" t="n">
        <v>2</v>
      </c>
      <c r="D275" s="22" t="n">
        <v>2</v>
      </c>
      <c r="E275" s="22" t="n">
        <v>6</v>
      </c>
      <c r="F275" s="22" t="n">
        <v>6</v>
      </c>
      <c r="G275" s="22" t="inlineStr">
        <is>
          <t>Não</t>
        </is>
      </c>
      <c r="H275" s="22" t="n">
        <v>4</v>
      </c>
      <c r="I275" s="22" t="inlineStr">
        <is>
          <t>Não</t>
        </is>
      </c>
      <c r="J275" s="22" t="n">
        <v>3</v>
      </c>
      <c r="K275" s="22" t="n">
        <v>2</v>
      </c>
      <c r="L275" s="22" t="n">
        <v>12</v>
      </c>
    </row>
    <row r="276">
      <c r="A276" s="59" t="n">
        <v>12</v>
      </c>
      <c r="B276" s="21" t="n">
        <v>5</v>
      </c>
      <c r="C276" s="21" t="n">
        <v>2</v>
      </c>
      <c r="D276" s="21" t="n">
        <v>2</v>
      </c>
      <c r="E276" s="21" t="n">
        <v>6</v>
      </c>
      <c r="F276" s="21" t="n">
        <v>6</v>
      </c>
      <c r="G276" s="21" t="inlineStr">
        <is>
          <t>Não</t>
        </is>
      </c>
      <c r="H276" s="21" t="n">
        <v>5</v>
      </c>
      <c r="I276" s="21" t="inlineStr">
        <is>
          <t>Sim</t>
        </is>
      </c>
      <c r="J276" s="21" t="n">
        <v>3</v>
      </c>
      <c r="K276" s="21" t="n">
        <v>2</v>
      </c>
      <c r="L276" s="21" t="n">
        <v>12</v>
      </c>
    </row>
    <row r="277">
      <c r="A277" s="58" t="n">
        <v>13</v>
      </c>
      <c r="B277" s="22" t="n">
        <v>6</v>
      </c>
      <c r="C277" s="22" t="n">
        <v>2</v>
      </c>
      <c r="D277" s="22" t="n">
        <v>2</v>
      </c>
      <c r="E277" s="22" t="n">
        <v>7</v>
      </c>
      <c r="F277" s="22" t="n">
        <v>7</v>
      </c>
      <c r="G277" s="22" t="inlineStr">
        <is>
          <t>Não</t>
        </is>
      </c>
      <c r="H277" s="22" t="n">
        <v>5</v>
      </c>
      <c r="I277" s="22" t="inlineStr">
        <is>
          <t>Não</t>
        </is>
      </c>
      <c r="J277" s="22" t="n">
        <v>4</v>
      </c>
      <c r="K277" s="22" t="n">
        <v>2</v>
      </c>
      <c r="L277" s="22" t="n">
        <v>14</v>
      </c>
    </row>
    <row r="278">
      <c r="A278" s="59" t="n">
        <v>14</v>
      </c>
      <c r="B278" s="21" t="n">
        <v>6</v>
      </c>
      <c r="C278" s="21" t="n">
        <v>3</v>
      </c>
      <c r="D278" s="21" t="n">
        <v>2</v>
      </c>
      <c r="E278" s="21" t="n">
        <v>7</v>
      </c>
      <c r="F278" s="21" t="n">
        <v>7</v>
      </c>
      <c r="G278" s="21" t="inlineStr">
        <is>
          <t>Não</t>
        </is>
      </c>
      <c r="H278" s="21" t="n">
        <v>5</v>
      </c>
      <c r="I278" s="21" t="inlineStr">
        <is>
          <t>Não</t>
        </is>
      </c>
      <c r="J278" s="21" t="n">
        <v>4</v>
      </c>
      <c r="K278" s="21" t="n">
        <v>2</v>
      </c>
      <c r="L278" s="21" t="n">
        <v>14</v>
      </c>
    </row>
    <row r="279">
      <c r="A279" s="58" t="n">
        <v>15</v>
      </c>
      <c r="B279" s="22" t="n">
        <v>6</v>
      </c>
      <c r="C279" s="22" t="n">
        <v>3</v>
      </c>
      <c r="D279" s="22" t="n">
        <v>2</v>
      </c>
      <c r="E279" s="22" t="n">
        <v>8</v>
      </c>
      <c r="F279" s="22" t="n">
        <v>8</v>
      </c>
      <c r="G279" s="22" t="inlineStr">
        <is>
          <t>Não</t>
        </is>
      </c>
      <c r="H279" s="22" t="n">
        <v>6</v>
      </c>
      <c r="I279" s="22" t="inlineStr">
        <is>
          <t>Sim</t>
        </is>
      </c>
      <c r="J279" s="22" t="n">
        <v>4</v>
      </c>
      <c r="K279" s="22" t="n">
        <v>2</v>
      </c>
      <c r="L279" s="22" t="n">
        <v>14</v>
      </c>
    </row>
    <row r="280">
      <c r="A280" s="59" t="n">
        <v>16</v>
      </c>
      <c r="B280" s="21" t="n">
        <v>7</v>
      </c>
      <c r="C280" s="21" t="n">
        <v>3</v>
      </c>
      <c r="D280" s="21" t="n">
        <v>2</v>
      </c>
      <c r="E280" s="21" t="n">
        <v>8</v>
      </c>
      <c r="F280" s="21" t="n">
        <v>8</v>
      </c>
      <c r="G280" s="21" t="inlineStr">
        <is>
          <t>Sim</t>
        </is>
      </c>
      <c r="H280" s="21" t="n">
        <v>6</v>
      </c>
      <c r="I280" s="21" t="inlineStr">
        <is>
          <t>Não</t>
        </is>
      </c>
      <c r="J280" s="21" t="n">
        <v>4</v>
      </c>
      <c r="K280" s="21" t="n">
        <v>2</v>
      </c>
      <c r="L280" s="21" t="n">
        <v>16</v>
      </c>
    </row>
    <row r="281">
      <c r="A281" s="58" t="n">
        <v>17</v>
      </c>
      <c r="B281" s="22" t="n">
        <v>7</v>
      </c>
      <c r="C281" s="22" t="n">
        <v>4</v>
      </c>
      <c r="D281" s="22" t="n">
        <v>2</v>
      </c>
      <c r="E281" s="22" t="n">
        <v>9</v>
      </c>
      <c r="F281" s="22" t="n">
        <v>8</v>
      </c>
      <c r="G281" s="22" t="inlineStr">
        <is>
          <t>Sim</t>
        </is>
      </c>
      <c r="H281" s="22" t="n">
        <v>6</v>
      </c>
      <c r="I281" s="22" t="inlineStr">
        <is>
          <t>Não</t>
        </is>
      </c>
      <c r="J281" s="22" t="n">
        <v>5</v>
      </c>
      <c r="K281" s="22" t="n">
        <v>3</v>
      </c>
      <c r="L281" s="22" t="n">
        <v>16</v>
      </c>
    </row>
    <row r="282">
      <c r="A282" s="59" t="n">
        <v>18</v>
      </c>
      <c r="B282" s="21" t="n">
        <v>7</v>
      </c>
      <c r="C282" s="21" t="n">
        <v>4</v>
      </c>
      <c r="D282" s="21" t="n">
        <v>2</v>
      </c>
      <c r="E282" s="21" t="n">
        <v>9</v>
      </c>
      <c r="F282" s="21" t="n">
        <v>8</v>
      </c>
      <c r="G282" s="21" t="inlineStr">
        <is>
          <t>Sim</t>
        </is>
      </c>
      <c r="H282" s="21" t="n">
        <v>7</v>
      </c>
      <c r="I282" s="21" t="inlineStr">
        <is>
          <t>Sim</t>
        </is>
      </c>
      <c r="J282" s="21" t="n">
        <v>5</v>
      </c>
      <c r="K282" s="21" t="n">
        <v>3</v>
      </c>
      <c r="L282" s="21" t="n">
        <v>16</v>
      </c>
    </row>
    <row r="283">
      <c r="A283" s="58" t="n">
        <v>19</v>
      </c>
      <c r="B283" s="22" t="n">
        <v>8</v>
      </c>
      <c r="C283" s="22" t="n">
        <v>4</v>
      </c>
      <c r="D283" s="22" t="n">
        <v>2</v>
      </c>
      <c r="E283" s="22" t="n">
        <v>10</v>
      </c>
      <c r="F283" s="22" t="n">
        <v>8</v>
      </c>
      <c r="G283" s="22" t="inlineStr">
        <is>
          <t>Sim</t>
        </is>
      </c>
      <c r="H283" s="22" t="n">
        <v>7</v>
      </c>
      <c r="I283" s="22" t="inlineStr">
        <is>
          <t>Não</t>
        </is>
      </c>
      <c r="J283" s="22" t="n">
        <v>5</v>
      </c>
      <c r="K283" s="22" t="n">
        <v>3</v>
      </c>
      <c r="L283" s="22" t="n">
        <v>18</v>
      </c>
    </row>
    <row r="284">
      <c r="A284" s="59" t="n">
        <v>20</v>
      </c>
      <c r="B284" s="21" t="n">
        <v>8</v>
      </c>
      <c r="C284" s="21" t="n">
        <v>5</v>
      </c>
      <c r="D284" s="21" t="n">
        <v>3</v>
      </c>
      <c r="E284" s="21" t="n">
        <v>10</v>
      </c>
      <c r="F284" s="21" t="n">
        <v>8</v>
      </c>
      <c r="G284" s="21" t="inlineStr">
        <is>
          <t>Sim</t>
        </is>
      </c>
      <c r="H284" s="21" t="n">
        <v>7</v>
      </c>
      <c r="I284" s="21" t="inlineStr">
        <is>
          <t>Não</t>
        </is>
      </c>
      <c r="J284" s="21" t="n">
        <v>5</v>
      </c>
      <c r="K284" s="21" t="n">
        <v>3</v>
      </c>
      <c r="L284" s="21" t="n">
        <v>18</v>
      </c>
    </row>
    <row r="285"/>
    <row r="286">
      <c r="A286" s="14" t="inlineStr">
        <is>
          <t>Recursos do grupo e equipamento por faixa (mesa de 4) — 26.3</t>
        </is>
      </c>
    </row>
    <row r="287" ht="26" customHeight="1">
      <c r="A287" s="7" t="inlineStr">
        <is>
          <t>Faixa</t>
        </is>
      </c>
      <c r="B287" s="7" t="inlineStr">
        <is>
          <t>PH (máx. / início / geração)</t>
        </is>
      </c>
      <c r="C287" s="7" t="inlineStr">
        <is>
          <t>Ultimate (Nível equiv. / média)</t>
        </is>
      </c>
      <c r="D287" s="7" t="inlineStr">
        <is>
          <t>Cone de Luz máx.</t>
        </is>
      </c>
      <c r="E287" s="7" t="inlineStr">
        <is>
          <t>Relíquias</t>
        </is>
      </c>
      <c r="F287" s="7" t="inlineStr">
        <is>
          <t>Ressonância</t>
        </is>
      </c>
      <c r="G287" s="7" t="inlineStr">
        <is>
          <t>Pontos do Memoespírito</t>
        </is>
      </c>
      <c r="H287" s="7" t="inlineStr">
        <is>
          <t>Teto de bônus somado</t>
        </is>
      </c>
    </row>
    <row r="288">
      <c r="A288" s="58" t="inlineStr">
        <is>
          <t>1-4</t>
        </is>
      </c>
      <c r="B288" s="22" t="inlineStr">
        <is>
          <t>5 / 3 / +1</t>
        </is>
      </c>
      <c r="C288" s="22" t="inlineStr">
        <is>
          <t>2 / 27</t>
        </is>
      </c>
      <c r="D288" s="22" t="inlineStr">
        <is>
          <t>Nível 1</t>
        </is>
      </c>
      <c r="E288" s="22" t="inlineStr">
        <is>
          <t>Tier I</t>
        </is>
      </c>
      <c r="F288" s="22" t="inlineStr">
        <is>
          <t>—</t>
        </is>
      </c>
      <c r="G288" s="22" t="inlineStr">
        <is>
          <t>12-14</t>
        </is>
      </c>
      <c r="H288" s="22" t="inlineStr">
        <is>
          <t>+3</t>
        </is>
      </c>
    </row>
    <row r="289">
      <c r="A289" s="59" t="inlineStr">
        <is>
          <t>5-8</t>
        </is>
      </c>
      <c r="B289" s="21" t="inlineStr">
        <is>
          <t>5 / 3 / +1</t>
        </is>
      </c>
      <c r="C289" s="21" t="inlineStr">
        <is>
          <t>3 / 39</t>
        </is>
      </c>
      <c r="D289" s="21" t="inlineStr">
        <is>
          <t>Nível 2</t>
        </is>
      </c>
      <c r="E289" s="21" t="inlineStr">
        <is>
          <t>Tier I → II (7)</t>
        </is>
      </c>
      <c r="F289" s="21" t="inlineStr">
        <is>
          <t>I (nível 5)</t>
        </is>
      </c>
      <c r="G289" s="21" t="inlineStr">
        <is>
          <t>14-16</t>
        </is>
      </c>
      <c r="H289" s="21" t="inlineStr">
        <is>
          <t>+3</t>
        </is>
      </c>
    </row>
    <row r="290">
      <c r="A290" s="58" t="inlineStr">
        <is>
          <t>9-12</t>
        </is>
      </c>
      <c r="B290" s="22" t="inlineStr">
        <is>
          <t>6 / 4 / +2</t>
        </is>
      </c>
      <c r="C290" s="22" t="inlineStr">
        <is>
          <t>4 / 63</t>
        </is>
      </c>
      <c r="D290" s="22" t="inlineStr">
        <is>
          <t>Nível 3</t>
        </is>
      </c>
      <c r="E290" s="22" t="inlineStr">
        <is>
          <t>Tier II</t>
        </is>
      </c>
      <c r="F290" s="22" t="inlineStr">
        <is>
          <t>II (nível 10)</t>
        </is>
      </c>
      <c r="G290" s="22" t="inlineStr">
        <is>
          <t>16-18</t>
        </is>
      </c>
      <c r="H290" s="22" t="inlineStr">
        <is>
          <t>+3 → +4 (10)</t>
        </is>
      </c>
    </row>
    <row r="291">
      <c r="A291" s="59" t="inlineStr">
        <is>
          <t>13-16</t>
        </is>
      </c>
      <c r="B291" s="21" t="inlineStr">
        <is>
          <t>6 / 4 / +2</t>
        </is>
      </c>
      <c r="C291" s="21" t="inlineStr">
        <is>
          <t>5 / 105</t>
        </is>
      </c>
      <c r="D291" s="21" t="inlineStr">
        <is>
          <t>Nível 4</t>
        </is>
      </c>
      <c r="E291" s="21" t="inlineStr">
        <is>
          <t>Tier III</t>
        </is>
      </c>
      <c r="F291" s="21" t="inlineStr">
        <is>
          <t>III (nível 15)</t>
        </is>
      </c>
      <c r="G291" s="21" t="inlineStr">
        <is>
          <t>18-20</t>
        </is>
      </c>
      <c r="H291" s="21" t="inlineStr">
        <is>
          <t>+4 → +5 (16)</t>
        </is>
      </c>
    </row>
    <row r="292">
      <c r="A292" s="58" t="inlineStr">
        <is>
          <t>17-20</t>
        </is>
      </c>
      <c r="B292" s="22" t="inlineStr">
        <is>
          <t>7 / 5 / +2</t>
        </is>
      </c>
      <c r="C292" s="22" t="inlineStr">
        <is>
          <t>6 / 147</t>
        </is>
      </c>
      <c r="D292" s="22" t="inlineStr">
        <is>
          <t>Nível 5</t>
        </is>
      </c>
      <c r="E292" s="22" t="inlineStr">
        <is>
          <t>Tier III → IV (18)</t>
        </is>
      </c>
      <c r="F292" s="22" t="inlineStr">
        <is>
          <t>IV (nível 20)</t>
        </is>
      </c>
      <c r="G292" s="22" t="inlineStr">
        <is>
          <t>20-22</t>
        </is>
      </c>
      <c r="H292" s="22" t="inlineStr">
        <is>
          <t>+5</t>
        </is>
      </c>
    </row>
    <row r="293"/>
    <row r="294">
      <c r="A294" s="14" t="inlineStr">
        <is>
          <t>Ressonâncias — 26.7</t>
        </is>
      </c>
    </row>
    <row r="295">
      <c r="A295" s="7" t="inlineStr">
        <is>
          <t>Ressonância</t>
        </is>
      </c>
      <c r="B295" s="7" t="inlineStr">
        <is>
          <t>Nível</t>
        </is>
      </c>
      <c r="C295" s="7" t="inlineStr">
        <is>
          <t>O que ela dá</t>
        </is>
      </c>
    </row>
    <row r="296" ht="71" customHeight="1">
      <c r="A296" s="58" t="inlineStr">
        <is>
          <t>I</t>
        </is>
      </c>
      <c r="B296" s="22" t="n">
        <v>5</v>
      </c>
      <c r="C296" s="4" t="inlineStr">
        <is>
          <t>1 uso por combate de uma Habilidade de Nível 3 ou menor sem custo de PH; ou +1 de Velocidade permanente</t>
        </is>
      </c>
    </row>
    <row r="297" ht="82" customHeight="1">
      <c r="A297" s="59" t="inlineStr">
        <is>
          <t>II</t>
        </is>
      </c>
      <c r="B297" s="21" t="n">
        <v>10</v>
      </c>
      <c r="C297" s="9" t="inlineStr">
        <is>
          <t>Sua Ultimate ganha um efeito extra, dentro dos limites de buff e debuff lidos no Nível equivalente da sua faixa (capítulo 17)</t>
        </is>
      </c>
    </row>
    <row r="298" ht="71" customHeight="1">
      <c r="A298" s="58" t="inlineStr">
        <is>
          <t>III</t>
        </is>
      </c>
      <c r="B298" s="22" t="n">
        <v>15</v>
      </c>
      <c r="C298" s="4" t="inlineStr">
        <is>
          <t>Uma Habilidade sua sobe 1 Nível de efeito e passa a custar o PH do Nível novo, sem passar do seu Nível máximo</t>
        </is>
      </c>
    </row>
    <row r="299" ht="105" customHeight="1">
      <c r="A299" s="59" t="inlineStr">
        <is>
          <t>IV</t>
        </is>
      </c>
      <c r="B299" s="21" t="n">
        <v>20</v>
      </c>
      <c r="C299" s="9" t="inlineStr">
        <is>
          <t>Sua Ultimate ativa com 80 de Energia e consome 80 (o teto do medidor continua 100); ou, se você tiver a Bênção Avatar do seu Caminho, ela afeta um alvo adicional</t>
        </is>
      </c>
    </row>
    <row r="300"/>
    <row r="301">
      <c r="A301" s="14" t="inlineStr">
        <is>
          <t>Níveis de Habilidade — 16.3</t>
        </is>
      </c>
    </row>
    <row r="302" ht="26" customHeight="1">
      <c r="A302" s="7" t="inlineStr">
        <is>
          <t>Nível</t>
        </is>
      </c>
      <c r="B302" s="7" t="inlineStr">
        <is>
          <t>Dano</t>
        </is>
      </c>
      <c r="C302" s="7" t="inlineStr">
        <is>
          <t>Dados de dano</t>
        </is>
      </c>
      <c r="D302" s="7" t="inlineStr">
        <is>
          <t>Face do dano</t>
        </is>
      </c>
      <c r="E302" s="7" t="inlineStr">
        <is>
          <t>Média do dano</t>
        </is>
      </c>
      <c r="F302" s="7" t="inlineStr">
        <is>
          <t>Cura</t>
        </is>
      </c>
      <c r="G302" s="7" t="inlineStr">
        <is>
          <t>Dados de cura</t>
        </is>
      </c>
      <c r="H302" s="7" t="inlineStr">
        <is>
          <t>Face da cura</t>
        </is>
      </c>
      <c r="I302" s="7" t="inlineStr">
        <is>
          <t>Média da cura</t>
        </is>
      </c>
      <c r="J302" s="7" t="inlineStr">
        <is>
          <t>Custo (PH)</t>
        </is>
      </c>
      <c r="K302" s="7" t="inlineStr">
        <is>
          <t>Redução de Tenacidade</t>
        </is>
      </c>
      <c r="L302" s="7" t="inlineStr">
        <is>
          <t>Alcance (cumulativo)</t>
        </is>
      </c>
    </row>
    <row r="303">
      <c r="A303" s="58" t="n">
        <v>1</v>
      </c>
      <c r="B303" s="22" t="inlineStr">
        <is>
          <t>6d6</t>
        </is>
      </c>
      <c r="C303" s="22" t="n">
        <v>6</v>
      </c>
      <c r="D303" s="22" t="n">
        <v>6</v>
      </c>
      <c r="E303" s="22" t="n">
        <v>21</v>
      </c>
      <c r="F303" s="22" t="inlineStr">
        <is>
          <t>5d8</t>
        </is>
      </c>
      <c r="G303" s="22" t="n">
        <v>5</v>
      </c>
      <c r="H303" s="22" t="n">
        <v>8</v>
      </c>
      <c r="I303" s="22" t="n">
        <v>22</v>
      </c>
      <c r="J303" s="22" t="n">
        <v>1</v>
      </c>
      <c r="K303" s="22" t="n">
        <v>2</v>
      </c>
      <c r="L303" s="22" t="inlineStr">
        <is>
          <t>Pessoal, Curta</t>
        </is>
      </c>
    </row>
    <row r="304">
      <c r="A304" s="59" t="n">
        <v>2</v>
      </c>
      <c r="B304" s="21" t="inlineStr">
        <is>
          <t>5d10</t>
        </is>
      </c>
      <c r="C304" s="21" t="n">
        <v>5</v>
      </c>
      <c r="D304" s="21" t="n">
        <v>10</v>
      </c>
      <c r="E304" s="21" t="n">
        <v>27</v>
      </c>
      <c r="F304" s="21" t="inlineStr">
        <is>
          <t>6d10</t>
        </is>
      </c>
      <c r="G304" s="21" t="n">
        <v>6</v>
      </c>
      <c r="H304" s="21" t="n">
        <v>10</v>
      </c>
      <c r="I304" s="21" t="n">
        <v>33</v>
      </c>
      <c r="J304" s="21" t="n">
        <v>1</v>
      </c>
      <c r="K304" s="21" t="n">
        <v>2</v>
      </c>
      <c r="L304" s="21" t="inlineStr">
        <is>
          <t>+ Média</t>
        </is>
      </c>
    </row>
    <row r="305">
      <c r="A305" s="58" t="n">
        <v>3</v>
      </c>
      <c r="B305" s="22" t="inlineStr">
        <is>
          <t>6d12</t>
        </is>
      </c>
      <c r="C305" s="22" t="n">
        <v>6</v>
      </c>
      <c r="D305" s="22" t="n">
        <v>12</v>
      </c>
      <c r="E305" s="22" t="n">
        <v>39</v>
      </c>
      <c r="F305" s="22" t="inlineStr">
        <is>
          <t>8d12</t>
        </is>
      </c>
      <c r="G305" s="22" t="n">
        <v>8</v>
      </c>
      <c r="H305" s="22" t="n">
        <v>12</v>
      </c>
      <c r="I305" s="22" t="n">
        <v>52</v>
      </c>
      <c r="J305" s="22" t="n">
        <v>2</v>
      </c>
      <c r="K305" s="22" t="n">
        <v>3</v>
      </c>
      <c r="L305" s="22" t="inlineStr">
        <is>
          <t>+ Longa</t>
        </is>
      </c>
    </row>
    <row r="306">
      <c r="A306" s="59" t="n">
        <v>4</v>
      </c>
      <c r="B306" s="21" t="inlineStr">
        <is>
          <t>6d20</t>
        </is>
      </c>
      <c r="C306" s="21" t="n">
        <v>6</v>
      </c>
      <c r="D306" s="21" t="n">
        <v>20</v>
      </c>
      <c r="E306" s="21" t="n">
        <v>63</v>
      </c>
      <c r="F306" s="21" t="inlineStr">
        <is>
          <t>7d20</t>
        </is>
      </c>
      <c r="G306" s="21" t="n">
        <v>7</v>
      </c>
      <c r="H306" s="21" t="n">
        <v>20</v>
      </c>
      <c r="I306" s="21" t="n">
        <v>73</v>
      </c>
      <c r="J306" s="21" t="n">
        <v>3</v>
      </c>
      <c r="K306" s="21" t="n">
        <v>4</v>
      </c>
      <c r="L306" s="21" t="inlineStr">
        <is>
          <t>+ Extrema</t>
        </is>
      </c>
    </row>
    <row r="307">
      <c r="A307" s="58" t="n">
        <v>5</v>
      </c>
      <c r="B307" s="22" t="inlineStr">
        <is>
          <t>10d20</t>
        </is>
      </c>
      <c r="C307" s="22" t="n">
        <v>10</v>
      </c>
      <c r="D307" s="22" t="n">
        <v>20</v>
      </c>
      <c r="E307" s="22" t="n">
        <v>105</v>
      </c>
      <c r="F307" s="22" t="inlineStr">
        <is>
          <t>10d20</t>
        </is>
      </c>
      <c r="G307" s="22" t="n">
        <v>10</v>
      </c>
      <c r="H307" s="22" t="n">
        <v>20</v>
      </c>
      <c r="I307" s="22" t="n">
        <v>105</v>
      </c>
      <c r="J307" s="22" t="n">
        <v>4</v>
      </c>
      <c r="K307" s="22" t="n">
        <v>5</v>
      </c>
      <c r="L307" s="22" t="inlineStr">
        <is>
          <t>Extrema</t>
        </is>
      </c>
    </row>
    <row r="308">
      <c r="A308" s="59" t="n">
        <v>6</v>
      </c>
      <c r="B308" s="21" t="inlineStr">
        <is>
          <t>14d20</t>
        </is>
      </c>
      <c r="C308" s="21" t="n">
        <v>14</v>
      </c>
      <c r="D308" s="21" t="n">
        <v>20</v>
      </c>
      <c r="E308" s="21" t="n">
        <v>147</v>
      </c>
      <c r="F308" s="21" t="inlineStr">
        <is>
          <t>14d20</t>
        </is>
      </c>
      <c r="G308" s="21" t="n">
        <v>14</v>
      </c>
      <c r="H308" s="21" t="n">
        <v>20</v>
      </c>
      <c r="I308" s="21" t="n">
        <v>147</v>
      </c>
      <c r="J308" s="21" t="n">
        <v>5</v>
      </c>
      <c r="K308" s="21" t="n">
        <v>6</v>
      </c>
      <c r="L308" s="21" t="inlineStr">
        <is>
          <t>Extrema</t>
        </is>
      </c>
    </row>
    <row r="309">
      <c r="A309" s="58" t="n">
        <v>7</v>
      </c>
      <c r="B309" s="22" t="inlineStr">
        <is>
          <t>18d20</t>
        </is>
      </c>
      <c r="C309" s="22" t="n">
        <v>18</v>
      </c>
      <c r="D309" s="22" t="n">
        <v>20</v>
      </c>
      <c r="E309" s="22" t="n">
        <v>189</v>
      </c>
      <c r="F309" s="22" t="inlineStr">
        <is>
          <t>18d20</t>
        </is>
      </c>
      <c r="G309" s="22" t="n">
        <v>18</v>
      </c>
      <c r="H309" s="22" t="n">
        <v>20</v>
      </c>
      <c r="I309" s="22" t="n">
        <v>189</v>
      </c>
      <c r="J309" s="22" t="n">
        <v>6</v>
      </c>
      <c r="K309" s="22" t="n">
        <v>7</v>
      </c>
      <c r="L309" s="22" t="inlineStr">
        <is>
          <t>Extrema</t>
        </is>
      </c>
    </row>
    <row r="310"/>
    <row r="311">
      <c r="A311" s="14" t="inlineStr">
        <is>
          <t>Buff e Debuff — 16.5</t>
        </is>
      </c>
    </row>
    <row r="312" ht="26" customHeight="1">
      <c r="A312" s="7" t="inlineStr">
        <is>
          <t>Nível</t>
        </is>
      </c>
      <c r="B312" s="7" t="inlineStr">
        <is>
          <t>O que você pode escrever</t>
        </is>
      </c>
      <c r="C312" s="7" t="inlineStr">
        <is>
          <t>Duração</t>
        </is>
      </c>
      <c r="D312" s="7" t="inlineStr">
        <is>
          <t>Alvos</t>
        </is>
      </c>
    </row>
    <row r="313" ht="48" customHeight="1">
      <c r="A313" s="58" t="n">
        <v>1</v>
      </c>
      <c r="B313" s="4" t="inlineStr">
        <is>
          <t>+1 ou -1 em um tipo de rolagem, ou PV temporários = 1 × Eficiência</t>
        </is>
      </c>
      <c r="C313" s="22" t="inlineStr">
        <is>
          <t>1 turno</t>
        </is>
      </c>
      <c r="D313" s="22" t="inlineStr">
        <is>
          <t>1</t>
        </is>
      </c>
    </row>
    <row r="314" ht="37" customHeight="1">
      <c r="A314" s="59" t="n">
        <v>2</v>
      </c>
      <c r="B314" s="9" t="inlineStr">
        <is>
          <t>+1/-1 e um efeito menor, ou +2/-2 em um tipo</t>
        </is>
      </c>
      <c r="C314" s="21" t="inlineStr">
        <is>
          <t>2 turnos</t>
        </is>
      </c>
      <c r="D314" s="21" t="inlineStr">
        <is>
          <t>1</t>
        </is>
      </c>
    </row>
    <row r="315" ht="71" customHeight="1">
      <c r="A315" s="58" t="n">
        <v>3</v>
      </c>
      <c r="B315" s="4" t="inlineStr">
        <is>
          <t>+2/-2, ou +1/-1 em dois tipos; PV temporários = 2 × Eficiência; aplica 1 condição da lista do capítulo 21</t>
        </is>
      </c>
      <c r="C315" s="22" t="inlineStr">
        <is>
          <t>2 turnos</t>
        </is>
      </c>
      <c r="D315" s="22" t="inlineStr">
        <is>
          <t>2</t>
        </is>
      </c>
    </row>
    <row r="316" ht="71" customHeight="1">
      <c r="A316" s="59" t="n">
        <v>4</v>
      </c>
      <c r="B316" s="9" t="inlineStr">
        <is>
          <t>+3/-3; aplica ou remove 1 condição; PV temporários = 3 × Eficiência; Implante de Fraqueza</t>
        </is>
      </c>
      <c r="C316" s="21" t="inlineStr">
        <is>
          <t>2 turnos</t>
        </is>
      </c>
      <c r="D316" s="21" t="inlineStr">
        <is>
          <t>3 ou área</t>
        </is>
      </c>
    </row>
    <row r="317" ht="60" customHeight="1">
      <c r="A317" s="58" t="n">
        <v>5</v>
      </c>
      <c r="B317" s="4" t="inlineStr">
        <is>
          <t>+3/-3 e um efeito maior (Avanço Total, Ação Extra, imunidade a 1 condição)</t>
        </is>
      </c>
      <c r="C317" s="22" t="inlineStr">
        <is>
          <t>3 turnos</t>
        </is>
      </c>
      <c r="D317" s="4" t="inlineStr">
        <is>
          <t>Buff: todos os aliados (até 6) · Debuff: 3 alvos</t>
        </is>
      </c>
    </row>
    <row r="318" ht="37" customHeight="1">
      <c r="A318" s="59" t="n">
        <v>6</v>
      </c>
      <c r="B318" s="9" t="inlineStr">
        <is>
          <t>+4/-4 e um efeito maior</t>
        </is>
      </c>
      <c r="C318" s="21" t="inlineStr">
        <is>
          <t>3 turnos</t>
        </is>
      </c>
      <c r="D318" s="9" t="inlineStr">
        <is>
          <t>Buff: todos os aliados (até 6) · Debuff: 4 alvos</t>
        </is>
      </c>
    </row>
    <row r="319" ht="37" customHeight="1">
      <c r="A319" s="58" t="n">
        <v>7</v>
      </c>
      <c r="B319" s="4" t="inlineStr">
        <is>
          <t>+5/-5 e dois efeitos maiores</t>
        </is>
      </c>
      <c r="C319" s="22" t="inlineStr">
        <is>
          <t>3 turnos</t>
        </is>
      </c>
      <c r="D319" s="4" t="inlineStr">
        <is>
          <t>Buff: todos os aliados (até 6) · Debuff: 4 alvos</t>
        </is>
      </c>
    </row>
    <row r="320"/>
    <row r="321">
      <c r="A321" s="14" t="inlineStr">
        <is>
          <t>Passivas — 16.5</t>
        </is>
      </c>
    </row>
    <row r="322" ht="26" customHeight="1">
      <c r="A322" s="7" t="inlineStr">
        <is>
          <t>Nível</t>
        </is>
      </c>
      <c r="B322" s="7" t="inlineStr">
        <is>
          <t>O que você pode escrever</t>
        </is>
      </c>
    </row>
    <row r="323" ht="60" customHeight="1">
      <c r="A323" s="58" t="n">
        <v>1</v>
      </c>
      <c r="B323" s="4" t="inlineStr">
        <is>
          <t>+1 fixo pequeno, ou um gatilho de +1 dado do seu Elemento 1 vez por turno</t>
        </is>
      </c>
    </row>
    <row r="324" ht="48" customHeight="1">
      <c r="A324" s="59" t="n">
        <v>2</v>
      </c>
      <c r="B324" s="9" t="inlineStr">
        <is>
          <t>+1 fixo e uma condição de gatilho (ex.: "quando você Quebra um inimigo")</t>
        </is>
      </c>
    </row>
    <row r="325" ht="26" customHeight="1">
      <c r="A325" s="58" t="n">
        <v>3</v>
      </c>
      <c r="B325" s="4" t="inlineStr">
        <is>
          <t>+2 fixo, ou 1 RD, ou +1 de Velocidade</t>
        </is>
      </c>
    </row>
    <row r="326" ht="37" customHeight="1">
      <c r="A326" s="59" t="n">
        <v>4</v>
      </c>
      <c r="B326" s="9" t="inlineStr">
        <is>
          <t>+2 e um gatilho que concede dado extra; ou 2 RD</t>
        </is>
      </c>
    </row>
    <row r="327" ht="48" customHeight="1">
      <c r="A327" s="58" t="n">
        <v>5</v>
      </c>
      <c r="B327" s="4" t="inlineStr">
        <is>
          <t>Um gatilho forte 1 vez por combate (ex.: "ao cair a 0 PV, fique com 1 PV")</t>
        </is>
      </c>
    </row>
    <row r="328" ht="26" customHeight="1">
      <c r="A328" s="59" t="n">
        <v>6</v>
      </c>
      <c r="B328" s="9" t="inlineStr">
        <is>
          <t>+3 fixo e um gatilho forte</t>
        </is>
      </c>
    </row>
    <row r="329" ht="82" customHeight="1">
      <c r="A329" s="58" t="n">
        <v>7</v>
      </c>
      <c r="B329" s="4" t="inlineStr">
        <is>
          <t>Um gatilho que altera uma regra sua, 1 vez por Ciclo (ex.: "seus Ataques Básicos reduzem 2 de Tenacidade em vez de 1")</t>
        </is>
      </c>
    </row>
    <row r="330"/>
    <row r="331">
      <c r="A331" s="14" t="inlineStr">
        <is>
          <t>Ultimate: Nível equivalente por faixa — 17.3</t>
        </is>
      </c>
    </row>
    <row r="332" ht="26" customHeight="1">
      <c r="A332" s="7" t="inlineStr">
        <is>
          <t>Faixa de nível</t>
        </is>
      </c>
      <c r="B332" s="7" t="inlineStr">
        <is>
          <t>Nível equivalente</t>
        </is>
      </c>
      <c r="C332" s="7" t="inlineStr">
        <is>
          <t>Dano</t>
        </is>
      </c>
      <c r="D332" s="7" t="inlineStr">
        <is>
          <t>Dados de dano</t>
        </is>
      </c>
      <c r="E332" s="7" t="inlineStr">
        <is>
          <t>Face do dano</t>
        </is>
      </c>
      <c r="F332" s="7" t="inlineStr">
        <is>
          <t>Média do dano</t>
        </is>
      </c>
      <c r="G332" s="7" t="inlineStr">
        <is>
          <t>Cura</t>
        </is>
      </c>
      <c r="H332" s="7" t="inlineStr">
        <is>
          <t>Dados de cura</t>
        </is>
      </c>
      <c r="I332" s="7" t="inlineStr">
        <is>
          <t>Face da cura</t>
        </is>
      </c>
      <c r="J332" s="7" t="inlineStr">
        <is>
          <t>Média da cura</t>
        </is>
      </c>
      <c r="K332" s="7" t="inlineStr">
        <is>
          <t>Redução de Tenacidade</t>
        </is>
      </c>
    </row>
    <row r="333">
      <c r="A333" s="58" t="inlineStr">
        <is>
          <t>1-4</t>
        </is>
      </c>
      <c r="B333" s="22" t="n">
        <v>2</v>
      </c>
      <c r="C333" s="22" t="inlineStr">
        <is>
          <t>5d10</t>
        </is>
      </c>
      <c r="D333" s="22" t="n">
        <v>5</v>
      </c>
      <c r="E333" s="22" t="n">
        <v>10</v>
      </c>
      <c r="F333" s="22" t="n">
        <v>27</v>
      </c>
      <c r="G333" s="22" t="inlineStr">
        <is>
          <t>6d10</t>
        </is>
      </c>
      <c r="H333" s="22" t="n">
        <v>6</v>
      </c>
      <c r="I333" s="22" t="n">
        <v>10</v>
      </c>
      <c r="J333" s="22" t="n">
        <v>33</v>
      </c>
      <c r="K333" s="22" t="n">
        <v>5</v>
      </c>
    </row>
    <row r="334">
      <c r="A334" s="59" t="inlineStr">
        <is>
          <t>5-8</t>
        </is>
      </c>
      <c r="B334" s="21" t="n">
        <v>3</v>
      </c>
      <c r="C334" s="21" t="inlineStr">
        <is>
          <t>6d12</t>
        </is>
      </c>
      <c r="D334" s="21" t="n">
        <v>6</v>
      </c>
      <c r="E334" s="21" t="n">
        <v>12</v>
      </c>
      <c r="F334" s="21" t="n">
        <v>39</v>
      </c>
      <c r="G334" s="21" t="inlineStr">
        <is>
          <t>8d12</t>
        </is>
      </c>
      <c r="H334" s="21" t="n">
        <v>8</v>
      </c>
      <c r="I334" s="21" t="n">
        <v>12</v>
      </c>
      <c r="J334" s="21" t="n">
        <v>52</v>
      </c>
      <c r="K334" s="21" t="n">
        <v>5</v>
      </c>
    </row>
    <row r="335">
      <c r="A335" s="58" t="inlineStr">
        <is>
          <t>9-12</t>
        </is>
      </c>
      <c r="B335" s="22" t="n">
        <v>4</v>
      </c>
      <c r="C335" s="22" t="inlineStr">
        <is>
          <t>6d20</t>
        </is>
      </c>
      <c r="D335" s="22" t="n">
        <v>6</v>
      </c>
      <c r="E335" s="22" t="n">
        <v>20</v>
      </c>
      <c r="F335" s="22" t="n">
        <v>63</v>
      </c>
      <c r="G335" s="22" t="inlineStr">
        <is>
          <t>7d20</t>
        </is>
      </c>
      <c r="H335" s="22" t="n">
        <v>7</v>
      </c>
      <c r="I335" s="22" t="n">
        <v>20</v>
      </c>
      <c r="J335" s="22" t="n">
        <v>73</v>
      </c>
      <c r="K335" s="22" t="n">
        <v>5</v>
      </c>
    </row>
    <row r="336">
      <c r="A336" s="59" t="inlineStr">
        <is>
          <t>13-16</t>
        </is>
      </c>
      <c r="B336" s="21" t="n">
        <v>5</v>
      </c>
      <c r="C336" s="21" t="inlineStr">
        <is>
          <t>10d20</t>
        </is>
      </c>
      <c r="D336" s="21" t="n">
        <v>10</v>
      </c>
      <c r="E336" s="21" t="n">
        <v>20</v>
      </c>
      <c r="F336" s="21" t="n">
        <v>105</v>
      </c>
      <c r="G336" s="21" t="inlineStr">
        <is>
          <t>10d20</t>
        </is>
      </c>
      <c r="H336" s="21" t="n">
        <v>10</v>
      </c>
      <c r="I336" s="21" t="n">
        <v>20</v>
      </c>
      <c r="J336" s="21" t="n">
        <v>105</v>
      </c>
      <c r="K336" s="21" t="n">
        <v>5</v>
      </c>
    </row>
    <row r="337">
      <c r="A337" s="58" t="inlineStr">
        <is>
          <t>17-20</t>
        </is>
      </c>
      <c r="B337" s="22" t="n">
        <v>6</v>
      </c>
      <c r="C337" s="22" t="inlineStr">
        <is>
          <t>14d20</t>
        </is>
      </c>
      <c r="D337" s="22" t="n">
        <v>14</v>
      </c>
      <c r="E337" s="22" t="n">
        <v>20</v>
      </c>
      <c r="F337" s="22" t="n">
        <v>147</v>
      </c>
      <c r="G337" s="22" t="inlineStr">
        <is>
          <t>14d20</t>
        </is>
      </c>
      <c r="H337" s="22" t="n">
        <v>14</v>
      </c>
      <c r="I337" s="22" t="n">
        <v>20</v>
      </c>
      <c r="J337" s="22" t="n">
        <v>147</v>
      </c>
      <c r="K337" s="22" t="n">
        <v>5</v>
      </c>
    </row>
    <row r="338"/>
    <row r="339">
      <c r="A339" s="14" t="inlineStr">
        <is>
          <t>Pontos de Habilidade do grupo — 16.2</t>
        </is>
      </c>
    </row>
    <row r="340">
      <c r="A340" s="7" t="inlineStr">
        <is>
          <t>Nº de jogadores</t>
        </is>
      </c>
      <c r="B340" s="7" t="inlineStr">
        <is>
          <t>Máximo 1-8</t>
        </is>
      </c>
      <c r="C340" s="7" t="inlineStr">
        <is>
          <t>Máximo 9-16</t>
        </is>
      </c>
      <c r="D340" s="7" t="inlineStr">
        <is>
          <t>Máximo 17-20</t>
        </is>
      </c>
      <c r="E340" s="7" t="inlineStr">
        <is>
          <t>Início 1-8</t>
        </is>
      </c>
      <c r="F340" s="7" t="inlineStr">
        <is>
          <t>Início 9-16</t>
        </is>
      </c>
      <c r="G340" s="7" t="inlineStr">
        <is>
          <t>Início 17-20</t>
        </is>
      </c>
    </row>
    <row r="341">
      <c r="A341" s="58" t="n">
        <v>3</v>
      </c>
      <c r="B341" s="22" t="n">
        <v>4</v>
      </c>
      <c r="C341" s="22" t="n">
        <v>5</v>
      </c>
      <c r="D341" s="22" t="n">
        <v>6</v>
      </c>
      <c r="E341" s="22" t="n">
        <v>2</v>
      </c>
      <c r="F341" s="22" t="n">
        <v>3</v>
      </c>
      <c r="G341" s="22" t="n">
        <v>4</v>
      </c>
    </row>
    <row r="342">
      <c r="A342" s="59" t="n">
        <v>4</v>
      </c>
      <c r="B342" s="21" t="n">
        <v>5</v>
      </c>
      <c r="C342" s="21" t="n">
        <v>6</v>
      </c>
      <c r="D342" s="21" t="n">
        <v>7</v>
      </c>
      <c r="E342" s="21" t="n">
        <v>3</v>
      </c>
      <c r="F342" s="21" t="n">
        <v>4</v>
      </c>
      <c r="G342" s="21" t="n">
        <v>5</v>
      </c>
    </row>
    <row r="343">
      <c r="A343" s="58" t="n">
        <v>5</v>
      </c>
      <c r="B343" s="22" t="n">
        <v>6</v>
      </c>
      <c r="C343" s="22" t="n">
        <v>7</v>
      </c>
      <c r="D343" s="22" t="n">
        <v>8</v>
      </c>
      <c r="E343" s="22" t="n">
        <v>4</v>
      </c>
      <c r="F343" s="22" t="n">
        <v>5</v>
      </c>
      <c r="G343" s="22" t="n">
        <v>6</v>
      </c>
    </row>
    <row r="344">
      <c r="A344" s="59" t="n">
        <v>6</v>
      </c>
      <c r="B344" s="21" t="n">
        <v>7</v>
      </c>
      <c r="C344" s="21" t="n">
        <v>8</v>
      </c>
      <c r="D344" s="21" t="n">
        <v>9</v>
      </c>
      <c r="E344" s="21" t="n">
        <v>5</v>
      </c>
      <c r="F344" s="21" t="n">
        <v>6</v>
      </c>
      <c r="G344" s="21" t="n">
        <v>7</v>
      </c>
    </row>
    <row r="345"/>
    <row r="346">
      <c r="A346" s="14" t="inlineStr">
        <is>
          <t>Custo em PH por Nível de Habilidade — 16.2</t>
        </is>
      </c>
    </row>
    <row r="347">
      <c r="A347" s="7" t="inlineStr">
        <is>
          <t>Nível da Habilidade</t>
        </is>
      </c>
      <c r="B347" s="7" t="inlineStr">
        <is>
          <t>Custo (PH)</t>
        </is>
      </c>
    </row>
    <row r="348">
      <c r="A348" s="58" t="n">
        <v>1</v>
      </c>
      <c r="B348" s="22" t="n">
        <v>1</v>
      </c>
    </row>
    <row r="349">
      <c r="A349" s="59" t="n">
        <v>2</v>
      </c>
      <c r="B349" s="21" t="n">
        <v>1</v>
      </c>
    </row>
    <row r="350">
      <c r="A350" s="58" t="n">
        <v>3</v>
      </c>
      <c r="B350" s="22" t="n">
        <v>2</v>
      </c>
    </row>
    <row r="351">
      <c r="A351" s="59" t="n">
        <v>4</v>
      </c>
      <c r="B351" s="21" t="n">
        <v>3</v>
      </c>
    </row>
    <row r="352">
      <c r="A352" s="58" t="n">
        <v>5</v>
      </c>
      <c r="B352" s="22" t="n">
        <v>4</v>
      </c>
    </row>
    <row r="353">
      <c r="A353" s="59" t="n">
        <v>6</v>
      </c>
      <c r="B353" s="21" t="n">
        <v>5</v>
      </c>
    </row>
    <row r="354">
      <c r="A354" s="58" t="n">
        <v>7</v>
      </c>
      <c r="B354" s="22" t="n">
        <v>6</v>
      </c>
    </row>
    <row r="355"/>
    <row r="356">
      <c r="A356" s="14" t="inlineStr">
        <is>
          <t>Energia — 17.2</t>
        </is>
      </c>
    </row>
    <row r="357">
      <c r="A357" s="7" t="inlineStr">
        <is>
          <t>Fonte</t>
        </is>
      </c>
      <c r="B357" s="7" t="inlineStr">
        <is>
          <t>Energia</t>
        </is>
      </c>
      <c r="C357" s="7" t="inlineStr">
        <is>
          <t>Limite</t>
        </is>
      </c>
    </row>
    <row r="358" ht="26" customHeight="1">
      <c r="A358" s="72" t="inlineStr">
        <is>
          <t>Ataque Básico (acerte ou não)</t>
        </is>
      </c>
      <c r="B358" s="22" t="inlineStr">
        <is>
          <t>+20</t>
        </is>
      </c>
      <c r="C358" s="4" t="inlineStr">
        <is>
          <t>nenhum, salvo o 1 natural</t>
        </is>
      </c>
    </row>
    <row r="359" ht="26" customHeight="1">
      <c r="A359" s="59" t="inlineStr">
        <is>
          <t>Habilidade (acerte ou não)</t>
        </is>
      </c>
      <c r="B359" s="21" t="inlineStr">
        <is>
          <t>+30</t>
        </is>
      </c>
      <c r="C359" s="9" t="inlineStr">
        <is>
          <t>nenhum, salvo o 1 natural</t>
        </is>
      </c>
    </row>
    <row r="360">
      <c r="A360" s="58" t="inlineStr">
        <is>
          <t>Sofrer dano</t>
        </is>
      </c>
      <c r="B360" s="22" t="inlineStr">
        <is>
          <t>+10</t>
        </is>
      </c>
      <c r="C360" s="22" t="inlineStr">
        <is>
          <t>1 vez por Ciclo</t>
        </is>
      </c>
    </row>
    <row r="361" ht="26" customHeight="1">
      <c r="A361" s="59" t="inlineStr">
        <is>
          <t>Derrotar um inimigo</t>
        </is>
      </c>
      <c r="B361" s="21" t="inlineStr">
        <is>
          <t>+10</t>
        </is>
      </c>
      <c r="C361" s="9" t="inlineStr">
        <is>
          <t>para quem desferiu o golpe</t>
        </is>
      </c>
    </row>
    <row r="362" ht="26" customHeight="1">
      <c r="A362" s="72" t="inlineStr">
        <is>
          <t>Quebrar a Tenacidade de um inimigo</t>
        </is>
      </c>
      <c r="B362" s="22" t="inlineStr">
        <is>
          <t>+10</t>
        </is>
      </c>
      <c r="C362" s="22" t="inlineStr">
        <is>
          <t>1 vez por Ciclo</t>
        </is>
      </c>
    </row>
    <row r="363">
      <c r="A363" s="59" t="inlineStr">
        <is>
          <t>Ativar a Ultimate</t>
        </is>
      </c>
      <c r="B363" s="21" t="inlineStr">
        <is>
          <t>-100</t>
        </is>
      </c>
      <c r="C363" s="21" t="inlineStr">
        <is>
          <t>—</t>
        </is>
      </c>
    </row>
    <row r="364" ht="48" customHeight="1">
      <c r="A364" s="58" t="inlineStr">
        <is>
          <t>Ação do Memoespírito</t>
        </is>
      </c>
      <c r="B364" s="4" t="inlineStr">
        <is>
          <t>metade do valor da ação, arredondando para baixo, para o dono</t>
        </is>
      </c>
      <c r="C364" s="22" t="inlineStr">
        <is>
          <t>—</t>
        </is>
      </c>
    </row>
    <row r="365" ht="82" customHeight="1">
      <c r="A365" s="59" t="inlineStr">
        <is>
          <t>Equipamento</t>
        </is>
      </c>
      <c r="B365" s="9" t="inlineStr">
        <is>
          <t>Corda de Ligação: +10 a +25 pelo tier, ao entrar na Fila · Cone de Luz de Nível 3 ou maior: +5 pelo Efeito Condicional</t>
        </is>
      </c>
      <c r="C365" s="9" t="inlineStr">
        <is>
          <t>1 vez por combate · 1 vez por Ciclo</t>
        </is>
      </c>
    </row>
    <row r="366"/>
    <row r="367">
      <c r="A367" s="14" t="inlineStr">
        <is>
          <t>Redução de Tenacidade — 20.3</t>
        </is>
      </c>
    </row>
    <row r="368" ht="26" customHeight="1">
      <c r="A368" s="7" t="inlineStr">
        <is>
          <t>Fonte</t>
        </is>
      </c>
      <c r="B368" s="7" t="inlineStr">
        <is>
          <t>Redução de Tenacidade</t>
        </is>
      </c>
    </row>
    <row r="369">
      <c r="A369" s="58" t="inlineStr">
        <is>
          <t>Ataque Básico</t>
        </is>
      </c>
      <c r="B369" s="22" t="inlineStr">
        <is>
          <t>1</t>
        </is>
      </c>
    </row>
    <row r="370">
      <c r="A370" s="59" t="inlineStr">
        <is>
          <t>Habilidade de Nível 1-2</t>
        </is>
      </c>
      <c r="B370" s="21" t="inlineStr">
        <is>
          <t>2</t>
        </is>
      </c>
    </row>
    <row r="371">
      <c r="A371" s="58" t="inlineStr">
        <is>
          <t>Habilidade de Nível 3</t>
        </is>
      </c>
      <c r="B371" s="22" t="inlineStr">
        <is>
          <t>3</t>
        </is>
      </c>
    </row>
    <row r="372">
      <c r="A372" s="59" t="inlineStr">
        <is>
          <t>Habilidade de Nível 4</t>
        </is>
      </c>
      <c r="B372" s="21" t="inlineStr">
        <is>
          <t>4</t>
        </is>
      </c>
    </row>
    <row r="373">
      <c r="A373" s="58" t="inlineStr">
        <is>
          <t>Habilidade de Nível 5</t>
        </is>
      </c>
      <c r="B373" s="22" t="inlineStr">
        <is>
          <t>5</t>
        </is>
      </c>
    </row>
    <row r="374">
      <c r="A374" s="59" t="inlineStr">
        <is>
          <t>Habilidade de Nível 6</t>
        </is>
      </c>
      <c r="B374" s="21" t="inlineStr">
        <is>
          <t>6</t>
        </is>
      </c>
    </row>
    <row r="375">
      <c r="A375" s="58" t="inlineStr">
        <is>
          <t>Habilidade de Nível 7</t>
        </is>
      </c>
      <c r="B375" s="22" t="inlineStr">
        <is>
          <t>7</t>
        </is>
      </c>
    </row>
    <row r="376" ht="26" customHeight="1">
      <c r="A376" s="59" t="inlineStr">
        <is>
          <t>Ultimate</t>
        </is>
      </c>
      <c r="B376" s="9" t="inlineStr">
        <is>
          <t>5, em todas as faixas</t>
        </is>
      </c>
    </row>
    <row r="377" ht="26" customHeight="1">
      <c r="A377" s="58" t="inlineStr">
        <is>
          <t>Dano Contínuo</t>
        </is>
      </c>
      <c r="B377" s="4" t="inlineStr">
        <is>
          <t>0 — só ataque reduz Tenacidade</t>
        </is>
      </c>
    </row>
    <row r="378"/>
    <row r="379">
      <c r="A379" s="14" t="inlineStr">
        <is>
          <t>Elementos e Dano de Quebra — 20.1 e 20.5</t>
        </is>
      </c>
    </row>
    <row r="380" ht="26" customHeight="1">
      <c r="A380" s="7" t="inlineStr">
        <is>
          <t>Elemento</t>
        </is>
      </c>
      <c r="B380" s="7" t="inlineStr">
        <is>
          <t>Temática</t>
        </is>
      </c>
      <c r="C380" s="7" t="inlineStr">
        <is>
          <t>O que ele entrega na Quebra</t>
        </is>
      </c>
      <c r="D380" s="7" t="inlineStr">
        <is>
          <t>Dano de Quebra</t>
        </is>
      </c>
      <c r="E380" s="7" t="inlineStr">
        <is>
          <t>Dados do Dano de Quebra</t>
        </is>
      </c>
      <c r="F380" s="7" t="inlineStr">
        <is>
          <t>Face</t>
        </is>
      </c>
      <c r="G380" s="7" t="inlineStr">
        <is>
          <t>Multiplicador da Eficiência</t>
        </is>
      </c>
      <c r="H380" s="7" t="inlineStr">
        <is>
          <t>Efeito de Quebra</t>
        </is>
      </c>
    </row>
    <row r="381" ht="37" customHeight="1">
      <c r="A381" s="58" t="inlineStr">
        <is>
          <t>Físico</t>
        </is>
      </c>
      <c r="B381" s="4" t="inlineStr">
        <is>
          <t>Impacto, lâmina, calibre, pancada</t>
        </is>
      </c>
      <c r="C381" s="4" t="inlineStr">
        <is>
          <t>Sangramento — o maior Dano de Quebra do jogo</t>
        </is>
      </c>
      <c r="D381" s="4" t="inlineStr">
        <is>
          <t>2d6 + (2 × Eficiência)</t>
        </is>
      </c>
      <c r="E381" s="22" t="n">
        <v>2</v>
      </c>
      <c r="F381" s="22" t="n">
        <v>6</v>
      </c>
      <c r="G381" s="22" t="n">
        <v>2</v>
      </c>
      <c r="H381" s="22" t="inlineStr">
        <is>
          <t>Sangramento</t>
        </is>
      </c>
    </row>
    <row r="382" ht="48" customHeight="1">
      <c r="A382" s="59" t="inlineStr">
        <is>
          <t>Fogo</t>
        </is>
      </c>
      <c r="B382" s="9" t="inlineStr">
        <is>
          <t>Combustão, forja, fúria</t>
        </is>
      </c>
      <c r="C382" s="9" t="inlineStr">
        <is>
          <t>Queimadura — empatado como maior Dano de Quebra</t>
        </is>
      </c>
      <c r="D382" s="9" t="inlineStr">
        <is>
          <t>2d6 + (2 × Eficiência)</t>
        </is>
      </c>
      <c r="E382" s="21" t="n">
        <v>2</v>
      </c>
      <c r="F382" s="21" t="n">
        <v>6</v>
      </c>
      <c r="G382" s="21" t="n">
        <v>2</v>
      </c>
      <c r="H382" s="21" t="inlineStr">
        <is>
          <t>Queimadura</t>
        </is>
      </c>
    </row>
    <row r="383" ht="37" customHeight="1">
      <c r="A383" s="58" t="inlineStr">
        <is>
          <t>Gelo</t>
        </is>
      </c>
      <c r="B383" s="4" t="inlineStr">
        <is>
          <t>Frio, paralisia, silêncio branco</t>
        </is>
      </c>
      <c r="C383" s="4" t="inlineStr">
        <is>
          <t>Congelamento — tira o turno de um Comum</t>
        </is>
      </c>
      <c r="D383" s="22" t="inlineStr">
        <is>
          <t>Eficiência</t>
        </is>
      </c>
      <c r="E383" s="22" t="n">
        <v>0</v>
      </c>
      <c r="F383" s="22" t="n">
        <v>0</v>
      </c>
      <c r="G383" s="22" t="n">
        <v>1</v>
      </c>
      <c r="H383" s="22" t="inlineStr">
        <is>
          <t>Congelamento</t>
        </is>
      </c>
    </row>
    <row r="384" ht="37" customHeight="1">
      <c r="A384" s="59" t="inlineStr">
        <is>
          <t>Raio</t>
        </is>
      </c>
      <c r="B384" s="9" t="inlineStr">
        <is>
          <t>Descarga, sobrecarga, nervo</t>
        </is>
      </c>
      <c r="C384" s="9" t="inlineStr">
        <is>
          <t>Choque — dano contínuo que dura 3 turnos</t>
        </is>
      </c>
      <c r="D384" s="21" t="inlineStr">
        <is>
          <t>1d6 + Eficiência</t>
        </is>
      </c>
      <c r="E384" s="21" t="n">
        <v>1</v>
      </c>
      <c r="F384" s="21" t="n">
        <v>6</v>
      </c>
      <c r="G384" s="21" t="n">
        <v>1</v>
      </c>
      <c r="H384" s="21" t="inlineStr">
        <is>
          <t>Choque</t>
        </is>
      </c>
    </row>
    <row r="385" ht="37" customHeight="1">
      <c r="A385" s="58" t="inlineStr">
        <is>
          <t>Vento</t>
        </is>
      </c>
      <c r="B385" s="4" t="inlineStr">
        <is>
          <t>Corte, pressão, erosão</t>
        </is>
      </c>
      <c r="C385" s="4" t="inlineStr">
        <is>
          <t>Cisalhamento de Vento — acumula até 5 vezes</t>
        </is>
      </c>
      <c r="D385" s="22" t="inlineStr">
        <is>
          <t>1d6 + Eficiência</t>
        </is>
      </c>
      <c r="E385" s="22" t="n">
        <v>1</v>
      </c>
      <c r="F385" s="22" t="n">
        <v>6</v>
      </c>
      <c r="G385" s="22" t="n">
        <v>1</v>
      </c>
      <c r="H385" s="4" t="inlineStr">
        <is>
          <t>Cisalhamento de Vento</t>
        </is>
      </c>
    </row>
    <row r="386" ht="37" customHeight="1">
      <c r="A386" s="59" t="inlineStr">
        <is>
          <t>Quântico</t>
        </is>
      </c>
      <c r="B386" s="9" t="inlineStr">
        <is>
          <t>Probabilidade, emaranhado, peso</t>
        </is>
      </c>
      <c r="C386" s="9" t="inlineStr">
        <is>
          <t>Embaraço — dano acumulável e Atrasa 1 casa</t>
        </is>
      </c>
      <c r="D386" s="21" t="inlineStr">
        <is>
          <t>Eficiência</t>
        </is>
      </c>
      <c r="E386" s="21" t="n">
        <v>0</v>
      </c>
      <c r="F386" s="21" t="n">
        <v>0</v>
      </c>
      <c r="G386" s="21" t="n">
        <v>1</v>
      </c>
      <c r="H386" s="21" t="inlineStr">
        <is>
          <t>Embaraço</t>
        </is>
      </c>
    </row>
    <row r="387" ht="26" customHeight="1">
      <c r="A387" s="58" t="inlineStr">
        <is>
          <t>Imaginário</t>
        </is>
      </c>
      <c r="B387" s="4" t="inlineStr">
        <is>
          <t>Significado, selo, prisão de ideias</t>
        </is>
      </c>
      <c r="C387" s="4" t="inlineStr">
        <is>
          <t>Aprisionamento — Atrasa 2 casas</t>
        </is>
      </c>
      <c r="D387" s="22" t="inlineStr">
        <is>
          <t>Eficiência</t>
        </is>
      </c>
      <c r="E387" s="22" t="n">
        <v>0</v>
      </c>
      <c r="F387" s="22" t="n">
        <v>0</v>
      </c>
      <c r="G387" s="22" t="n">
        <v>1</v>
      </c>
      <c r="H387" s="22" t="inlineStr">
        <is>
          <t>Aprisionamento</t>
        </is>
      </c>
    </row>
    <row r="388"/>
    <row r="389">
      <c r="A389" s="14" t="inlineStr">
        <is>
          <t>Fraqueza e Resistência — 20.2</t>
        </is>
      </c>
    </row>
    <row r="390" ht="26" customHeight="1">
      <c r="A390" s="7" t="inlineStr">
        <is>
          <t>Situação</t>
        </is>
      </c>
      <c r="B390" s="7" t="inlineStr">
        <is>
          <t>Dano</t>
        </is>
      </c>
      <c r="C390" s="7" t="inlineStr">
        <is>
          <t>Redução de Tenacidade</t>
        </is>
      </c>
    </row>
    <row r="391" ht="26" customHeight="1">
      <c r="A391" s="58" t="inlineStr">
        <is>
          <t>É Fraqueza do alvo</t>
        </is>
      </c>
      <c r="B391" s="4" t="inlineStr">
        <is>
          <t>+2 dados do mesmo tipo do ataque</t>
        </is>
      </c>
      <c r="C391" s="22" t="inlineStr">
        <is>
          <t>total</t>
        </is>
      </c>
    </row>
    <row r="392" ht="37" customHeight="1">
      <c r="A392" s="75" t="inlineStr">
        <is>
          <t>Neutro (nem Fraqueza, nem Resistência)</t>
        </is>
      </c>
      <c r="B392" s="21" t="inlineStr">
        <is>
          <t>dano normal</t>
        </is>
      </c>
      <c r="C392" s="9" t="inlineStr">
        <is>
          <t>metade (arredonda para baixo, mínimo 1)</t>
        </is>
      </c>
    </row>
    <row r="393" ht="37" customHeight="1">
      <c r="A393" s="58" t="inlineStr">
        <is>
          <t>O alvo tem Resistência</t>
        </is>
      </c>
      <c r="B393" s="4" t="inlineStr">
        <is>
          <t>-2 dados, conservando sempre no mínimo 1 dado</t>
        </is>
      </c>
      <c r="C393" s="22" t="inlineStr">
        <is>
          <t>1 ponto, fixo</t>
        </is>
      </c>
    </row>
    <row r="394"/>
    <row r="395">
      <c r="A395" s="14" t="inlineStr">
        <is>
          <t>DT para descobrir uma Fraqueza — 20.2</t>
        </is>
      </c>
    </row>
    <row r="396">
      <c r="A396" s="7" t="inlineStr">
        <is>
          <t>Faixa de nível do inimigo</t>
        </is>
      </c>
      <c r="B396" s="7" t="inlineStr">
        <is>
          <t>DT</t>
        </is>
      </c>
    </row>
    <row r="397">
      <c r="A397" s="58" t="inlineStr">
        <is>
          <t>1-4</t>
        </is>
      </c>
      <c r="B397" s="22" t="n">
        <v>13</v>
      </c>
    </row>
    <row r="398">
      <c r="A398" s="59" t="inlineStr">
        <is>
          <t>5-8</t>
        </is>
      </c>
      <c r="B398" s="21" t="n">
        <v>14</v>
      </c>
    </row>
    <row r="399">
      <c r="A399" s="58" t="inlineStr">
        <is>
          <t>9-12</t>
        </is>
      </c>
      <c r="B399" s="22" t="n">
        <v>15</v>
      </c>
    </row>
    <row r="400">
      <c r="A400" s="59" t="inlineStr">
        <is>
          <t>13-16</t>
        </is>
      </c>
      <c r="B400" s="21" t="n">
        <v>16</v>
      </c>
    </row>
    <row r="401">
      <c r="A401" s="58" t="inlineStr">
        <is>
          <t>17-20</t>
        </is>
      </c>
      <c r="B401" s="22" t="n">
        <v>17</v>
      </c>
    </row>
    <row r="402"/>
    <row r="403">
      <c r="A403" s="14" t="inlineStr">
        <is>
          <t>Condições — 21.5</t>
        </is>
      </c>
    </row>
    <row r="404">
      <c r="A404" s="7" t="inlineStr">
        <is>
          <t>Condição</t>
        </is>
      </c>
      <c r="B404" s="7" t="inlineStr">
        <is>
          <t>Efeito</t>
        </is>
      </c>
      <c r="C404" s="7" t="inlineStr">
        <is>
          <t>Duração</t>
        </is>
      </c>
      <c r="D404" s="7" t="inlineStr">
        <is>
          <t>Acúmulo</t>
        </is>
      </c>
      <c r="E404" s="7" t="inlineStr">
        <is>
          <t>Só inimigos</t>
        </is>
      </c>
    </row>
    <row r="405" ht="37" customHeight="1">
      <c r="A405" s="58" t="inlineStr">
        <is>
          <t>Sangramento</t>
        </is>
      </c>
      <c r="B405" s="4" t="inlineStr">
        <is>
          <t>Dano Contínuo = 5% dos PV máximos, teto 3 × Eficiência</t>
        </is>
      </c>
      <c r="C405" s="22" t="inlineStr">
        <is>
          <t>2 turnos</t>
        </is>
      </c>
      <c r="D405" s="22" t="inlineStr">
        <is>
          <t>até 5</t>
        </is>
      </c>
      <c r="E405" s="22" t="inlineStr">
        <is>
          <t>Não</t>
        </is>
      </c>
    </row>
    <row r="406" ht="26" customHeight="1">
      <c r="A406" s="59" t="inlineStr">
        <is>
          <t>Queimadura</t>
        </is>
      </c>
      <c r="B406" s="9" t="inlineStr">
        <is>
          <t>Dano Contínuo 2d6 + Eficiência (Fogo)</t>
        </is>
      </c>
      <c r="C406" s="21" t="inlineStr">
        <is>
          <t>2 turnos</t>
        </is>
      </c>
      <c r="D406" s="21" t="inlineStr">
        <is>
          <t>até 5</t>
        </is>
      </c>
      <c r="E406" s="21" t="inlineStr">
        <is>
          <t>Não</t>
        </is>
      </c>
    </row>
    <row r="407" ht="26" customHeight="1">
      <c r="A407" s="58" t="inlineStr">
        <is>
          <t>Choque</t>
        </is>
      </c>
      <c r="B407" s="4" t="inlineStr">
        <is>
          <t>Dano Contínuo 1d6 + Eficiência (Raio)</t>
        </is>
      </c>
      <c r="C407" s="22" t="inlineStr">
        <is>
          <t>3 turnos</t>
        </is>
      </c>
      <c r="D407" s="22" t="inlineStr">
        <is>
          <t>até 5</t>
        </is>
      </c>
      <c r="E407" s="22" t="inlineStr">
        <is>
          <t>Não</t>
        </is>
      </c>
    </row>
    <row r="408" ht="48" customHeight="1">
      <c r="A408" s="59" t="inlineStr">
        <is>
          <t>Cisalhamento de Vento</t>
        </is>
      </c>
      <c r="B408" s="9" t="inlineStr">
        <is>
          <t>Dano Contínuo 1d6 por acúmulo (Vento), 1 acúmulo por ataque seu de Vento</t>
        </is>
      </c>
      <c r="C408" s="21" t="inlineStr">
        <is>
          <t>2 turnos</t>
        </is>
      </c>
      <c r="D408" s="21" t="inlineStr">
        <is>
          <t>5</t>
        </is>
      </c>
      <c r="E408" s="21" t="inlineStr">
        <is>
          <t>Não</t>
        </is>
      </c>
    </row>
    <row r="409" ht="37" customHeight="1">
      <c r="A409" s="58" t="inlineStr">
        <is>
          <t>Embaraço</t>
        </is>
      </c>
      <c r="B409" s="4" t="inlineStr">
        <is>
          <t>1d6 por acúmulo (só por ataques) e Atrasa 1 casa</t>
        </is>
      </c>
      <c r="C409" s="22" t="inlineStr">
        <is>
          <t>1 turno</t>
        </is>
      </c>
      <c r="D409" s="22" t="inlineStr">
        <is>
          <t>5</t>
        </is>
      </c>
      <c r="E409" s="22" t="inlineStr">
        <is>
          <t>Não</t>
        </is>
      </c>
    </row>
    <row r="410" ht="26" customHeight="1">
      <c r="A410" s="59" t="inlineStr">
        <is>
          <t>Aprisionamento</t>
        </is>
      </c>
      <c r="B410" s="9" t="inlineStr">
        <is>
          <t>1d6 + Eficiência e Atrasa 2 casas</t>
        </is>
      </c>
      <c r="C410" s="21" t="inlineStr">
        <is>
          <t>1 turno</t>
        </is>
      </c>
      <c r="D410" s="21" t="inlineStr">
        <is>
          <t>até 5</t>
        </is>
      </c>
      <c r="E410" s="21" t="inlineStr">
        <is>
          <t>Não</t>
        </is>
      </c>
    </row>
    <row r="411" ht="60" customHeight="1">
      <c r="A411" s="58" t="inlineStr">
        <is>
          <t>Congelado</t>
        </is>
      </c>
      <c r="B411" s="4" t="inlineStr">
        <is>
          <t>Só inimigos. Comum perde o turno; Elite e Boss são Atrasados 2 casas e perdem a ação especial</t>
        </is>
      </c>
      <c r="C411" s="22" t="inlineStr">
        <is>
          <t>1 turno</t>
        </is>
      </c>
      <c r="D411" s="4" t="inlineStr">
        <is>
          <t>não repete em Ciclos seguidos pela mesma fonte</t>
        </is>
      </c>
      <c r="E411" s="22" t="inlineStr">
        <is>
          <t>Sim</t>
        </is>
      </c>
    </row>
    <row r="412" ht="60" customHeight="1">
      <c r="A412" s="59" t="inlineStr">
        <is>
          <t>Lentidão</t>
        </is>
      </c>
      <c r="B412" s="9" t="inlineStr">
        <is>
          <t>Ação de Movimento não muda a Distância; só sai do lugar com Esforço Total</t>
        </is>
      </c>
      <c r="C412" s="21" t="inlineStr">
        <is>
          <t>fonte</t>
        </is>
      </c>
      <c r="D412" s="21" t="inlineStr">
        <is>
          <t>não acumula</t>
        </is>
      </c>
      <c r="E412" s="21" t="inlineStr">
        <is>
          <t>Não</t>
        </is>
      </c>
    </row>
    <row r="413" ht="37" customHeight="1">
      <c r="A413" s="58" t="inlineStr">
        <is>
          <t>Marcado</t>
        </is>
      </c>
      <c r="B413" s="4" t="inlineStr">
        <is>
          <t>+1 em Testes de Ataque de quem marcou</t>
        </is>
      </c>
      <c r="C413" s="22" t="inlineStr">
        <is>
          <t>fonte</t>
        </is>
      </c>
      <c r="D413" s="4" t="inlineStr">
        <is>
          <t>3, sem somar entre fontes</t>
        </is>
      </c>
      <c r="E413" s="22" t="inlineStr">
        <is>
          <t>Não</t>
        </is>
      </c>
    </row>
    <row r="414" ht="37" customHeight="1">
      <c r="A414" s="59" t="inlineStr">
        <is>
          <t>Silenciado</t>
        </is>
      </c>
      <c r="B414" s="9" t="inlineStr">
        <is>
          <t>não pode usar Habilidade de Nível 4 ou maior</t>
        </is>
      </c>
      <c r="C414" s="21" t="inlineStr">
        <is>
          <t>1 turno</t>
        </is>
      </c>
      <c r="D414" s="21" t="inlineStr">
        <is>
          <t>—</t>
        </is>
      </c>
      <c r="E414" s="21" t="inlineStr">
        <is>
          <t>Não</t>
        </is>
      </c>
    </row>
    <row r="415" ht="26" customHeight="1">
      <c r="A415" s="58" t="inlineStr">
        <is>
          <t>Vulnerável</t>
        </is>
      </c>
      <c r="B415" s="4" t="inlineStr">
        <is>
          <t>+1 dado de dano da fonte indicada</t>
        </is>
      </c>
      <c r="C415" s="22" t="inlineStr">
        <is>
          <t>fonte</t>
        </is>
      </c>
      <c r="D415" s="22" t="inlineStr">
        <is>
          <t>até 5</t>
        </is>
      </c>
      <c r="E415" s="22" t="inlineStr">
        <is>
          <t>Não</t>
        </is>
      </c>
    </row>
    <row r="416" ht="60" customHeight="1">
      <c r="A416" s="59" t="inlineStr">
        <is>
          <t>Controlado</t>
        </is>
      </c>
      <c r="B416" s="9" t="inlineStr">
        <is>
          <t>quem aplicou decide as ações do alvo, sem Habilidade, Ultimate nem recursos</t>
        </is>
      </c>
      <c r="C416" s="21" t="inlineStr">
        <is>
          <t>fonte</t>
        </is>
      </c>
      <c r="D416" s="21" t="inlineStr">
        <is>
          <t>não acumula</t>
        </is>
      </c>
      <c r="E416" s="21" t="inlineStr">
        <is>
          <t>Não</t>
        </is>
      </c>
    </row>
    <row r="417" ht="37" customHeight="1">
      <c r="A417" s="58" t="inlineStr">
        <is>
          <t>Corrupção</t>
        </is>
      </c>
      <c r="B417" s="4" t="inlineStr">
        <is>
          <t>+1 no dano de cada Dano Contínuo seu no alvo</t>
        </is>
      </c>
      <c r="C417" s="22" t="inlineStr">
        <is>
          <t>fim do combate</t>
        </is>
      </c>
      <c r="D417" s="22" t="inlineStr">
        <is>
          <t>5</t>
        </is>
      </c>
      <c r="E417" s="22" t="inlineStr">
        <is>
          <t>Não</t>
        </is>
      </c>
    </row>
    <row r="418" ht="37" customHeight="1">
      <c r="A418" s="59" t="inlineStr">
        <is>
          <t>Quebrado</t>
        </is>
      </c>
      <c r="B418" s="9" t="inlineStr">
        <is>
          <t>-2 de Defesa e +1 dado de dano de qualquer fonte</t>
        </is>
      </c>
      <c r="C418" s="9" t="inlineStr">
        <is>
          <t>até o fim do próximo turno dele</t>
        </is>
      </c>
      <c r="D418" s="21" t="inlineStr">
        <is>
          <t>—</t>
        </is>
      </c>
      <c r="E418" s="21" t="inlineStr">
        <is>
          <t>Sim</t>
        </is>
      </c>
    </row>
    <row r="419" ht="26" customHeight="1">
      <c r="A419" s="58" t="inlineStr">
        <is>
          <t>Surpreso</t>
        </is>
      </c>
      <c r="B419" s="4" t="inlineStr">
        <is>
          <t>casa pulada no primeiro Ciclo</t>
        </is>
      </c>
      <c r="C419" s="22" t="inlineStr">
        <is>
          <t>1 Ciclo</t>
        </is>
      </c>
      <c r="D419" s="22" t="inlineStr">
        <is>
          <t>—</t>
        </is>
      </c>
      <c r="E419" s="22" t="inlineStr">
        <is>
          <t>Não</t>
        </is>
      </c>
    </row>
    <row r="420" ht="60" customHeight="1">
      <c r="A420" s="59" t="inlineStr">
        <is>
          <t>Morrendo</t>
        </is>
      </c>
      <c r="B420" s="9" t="inlineStr">
        <is>
          <t>0 PV, inconsciente, mantém a casa, Teste de Força de Vontade DT 10 no turno</t>
        </is>
      </c>
      <c r="C420" s="9" t="inlineStr">
        <is>
          <t>até estabilizar ou morrer</t>
        </is>
      </c>
      <c r="D420" s="21" t="inlineStr">
        <is>
          <t>—</t>
        </is>
      </c>
      <c r="E420" s="21" t="inlineStr">
        <is>
          <t>Não</t>
        </is>
      </c>
    </row>
    <row r="421"/>
    <row r="422">
      <c r="A422" s="14" t="inlineStr">
        <is>
          <t>DT por faixa — 27.2</t>
        </is>
      </c>
    </row>
    <row r="423">
      <c r="A423" s="7" t="inlineStr">
        <is>
          <t>Dificuldade</t>
        </is>
      </c>
      <c r="B423" s="7" t="inlineStr">
        <is>
          <t>1-4</t>
        </is>
      </c>
      <c r="C423" s="7" t="inlineStr">
        <is>
          <t>5-8</t>
        </is>
      </c>
      <c r="D423" s="7" t="inlineStr">
        <is>
          <t>9-12</t>
        </is>
      </c>
      <c r="E423" s="7" t="inlineStr">
        <is>
          <t>13-16</t>
        </is>
      </c>
      <c r="F423" s="7" t="inlineStr">
        <is>
          <t>17-20</t>
        </is>
      </c>
    </row>
    <row r="424">
      <c r="A424" s="58" t="inlineStr">
        <is>
          <t>Trivial</t>
        </is>
      </c>
      <c r="B424" s="22" t="n">
        <v>8</v>
      </c>
      <c r="C424" s="22" t="n">
        <v>9</v>
      </c>
      <c r="D424" s="22" t="n">
        <v>10</v>
      </c>
      <c r="E424" s="22" t="n">
        <v>11</v>
      </c>
      <c r="F424" s="22" t="n">
        <v>12</v>
      </c>
    </row>
    <row r="425">
      <c r="A425" s="59" t="inlineStr">
        <is>
          <t>Fácil</t>
        </is>
      </c>
      <c r="B425" s="21" t="n">
        <v>10</v>
      </c>
      <c r="C425" s="21" t="n">
        <v>12</v>
      </c>
      <c r="D425" s="21" t="n">
        <v>14</v>
      </c>
      <c r="E425" s="21" t="n">
        <v>16</v>
      </c>
      <c r="F425" s="21" t="n">
        <v>18</v>
      </c>
    </row>
    <row r="426">
      <c r="A426" s="58" t="inlineStr">
        <is>
          <t>Média</t>
        </is>
      </c>
      <c r="B426" s="22" t="n">
        <v>13</v>
      </c>
      <c r="C426" s="22" t="n">
        <v>16</v>
      </c>
      <c r="D426" s="22" t="n">
        <v>19</v>
      </c>
      <c r="E426" s="22" t="n">
        <v>22</v>
      </c>
      <c r="F426" s="22" t="n">
        <v>25</v>
      </c>
    </row>
    <row r="427">
      <c r="A427" s="59" t="inlineStr">
        <is>
          <t>Difícil</t>
        </is>
      </c>
      <c r="B427" s="21" t="n">
        <v>16</v>
      </c>
      <c r="C427" s="21" t="n">
        <v>19</v>
      </c>
      <c r="D427" s="21" t="n">
        <v>23</v>
      </c>
      <c r="E427" s="21" t="n">
        <v>27</v>
      </c>
      <c r="F427" s="21" t="n">
        <v>30</v>
      </c>
    </row>
    <row r="428">
      <c r="A428" s="58" t="inlineStr">
        <is>
          <t>Muito Difícil</t>
        </is>
      </c>
      <c r="B428" s="22" t="n">
        <v>19</v>
      </c>
      <c r="C428" s="22" t="n">
        <v>23</v>
      </c>
      <c r="D428" s="22" t="n">
        <v>27</v>
      </c>
      <c r="E428" s="22" t="n">
        <v>31</v>
      </c>
      <c r="F428" s="22" t="n">
        <v>35</v>
      </c>
    </row>
    <row r="429">
      <c r="A429" s="59" t="inlineStr">
        <is>
          <t>Heroica</t>
        </is>
      </c>
      <c r="B429" s="21" t="n">
        <v>22</v>
      </c>
      <c r="C429" s="21" t="n">
        <v>26</v>
      </c>
      <c r="D429" s="21" t="n">
        <v>31</v>
      </c>
      <c r="E429" s="21" t="n">
        <v>34</v>
      </c>
      <c r="F429" s="21" t="n">
        <v>38</v>
      </c>
    </row>
    <row r="430"/>
    <row r="431">
      <c r="A431" s="14" t="inlineStr">
        <is>
          <t>As cinco DTs de subsistema — 27.3</t>
        </is>
      </c>
    </row>
    <row r="432">
      <c r="A432" s="7" t="inlineStr">
        <is>
          <t>Teste</t>
        </is>
      </c>
      <c r="B432" s="7" t="inlineStr">
        <is>
          <t>DT</t>
        </is>
      </c>
      <c r="C432" s="7" t="inlineStr">
        <is>
          <t>Capítulo</t>
        </is>
      </c>
    </row>
    <row r="433" ht="26" customHeight="1">
      <c r="A433" s="72" t="inlineStr">
        <is>
          <t>Descobrir uma Fraqueza de inimigo</t>
        </is>
      </c>
      <c r="B433" s="4" t="inlineStr">
        <is>
          <t>13 / 14 / 15 / 16 / 17, pela faixa do inimigo</t>
        </is>
      </c>
      <c r="C433" s="22" t="inlineStr">
        <is>
          <t>20</t>
        </is>
      </c>
    </row>
    <row r="434" ht="26" customHeight="1">
      <c r="A434" s="75" t="inlineStr">
        <is>
          <t>Surpresa (Teste de Percepção Mental)</t>
        </is>
      </c>
      <c r="B434" s="9" t="inlineStr">
        <is>
          <t>13, fixa em todas as faixas</t>
        </is>
      </c>
      <c r="C434" s="21" t="inlineStr">
        <is>
          <t>19</t>
        </is>
      </c>
    </row>
    <row r="435" ht="37" customHeight="1">
      <c r="A435" s="72" t="inlineStr">
        <is>
          <t>Morrendo (Teste de Força de Vontade, sem Eficiência)</t>
        </is>
      </c>
      <c r="B435" s="22" t="inlineStr">
        <is>
          <t>10</t>
        </is>
      </c>
      <c r="C435" s="22" t="inlineStr">
        <is>
          <t>23</t>
        </is>
      </c>
    </row>
    <row r="436" ht="26" customHeight="1">
      <c r="A436" s="75" t="inlineStr">
        <is>
          <t>Traço Raposa Astuta do Vulpes</t>
        </is>
      </c>
      <c r="B436" s="21" t="inlineStr">
        <is>
          <t>10</t>
        </is>
      </c>
      <c r="C436" s="21" t="inlineStr">
        <is>
          <t>05</t>
        </is>
      </c>
    </row>
    <row r="437" ht="26" customHeight="1">
      <c r="A437" s="72" t="inlineStr">
        <is>
          <t>Traço To na sua mente do Haloviano</t>
        </is>
      </c>
      <c r="B437" s="22" t="inlineStr">
        <is>
          <t>13</t>
        </is>
      </c>
      <c r="C437" s="22" t="inlineStr">
        <is>
          <t>05</t>
        </is>
      </c>
    </row>
    <row r="438"/>
    <row r="439">
      <c r="A439" s="14" t="inlineStr">
        <is>
          <t>Contra qual DT você rola — 22.3</t>
        </is>
      </c>
    </row>
    <row r="440">
      <c r="A440" s="7" t="inlineStr">
        <is>
          <t>A fonte é...</t>
        </is>
      </c>
      <c r="B440" s="7" t="inlineStr">
        <is>
          <t>A DT é...</t>
        </is>
      </c>
    </row>
    <row r="441" ht="59" customHeight="1">
      <c r="A441" s="72" t="inlineStr">
        <is>
          <t>Uma Habilidade, Ultimate ou traço de personagem</t>
        </is>
      </c>
      <c r="B441" s="4" t="inlineStr">
        <is>
          <t>8 + Bônus do Atributo de Habilidade + Eficiência de quem usou</t>
        </is>
      </c>
    </row>
    <row r="442" ht="37" customHeight="1">
      <c r="A442" s="59" t="inlineStr">
        <is>
          <t>Um efeito de inimigo</t>
        </is>
      </c>
      <c r="B442" s="9" t="inlineStr">
        <is>
          <t>a DT dos efeitos da ficha dele (tabela abaixo)</t>
        </is>
      </c>
    </row>
    <row r="443" ht="26" customHeight="1">
      <c r="A443" s="58" t="inlineStr">
        <is>
          <t>O ambiente ou a cena</t>
        </is>
      </c>
      <c r="B443" s="4" t="inlineStr">
        <is>
          <t>a tabela de DT por faixa do capítulo 27</t>
        </is>
      </c>
    </row>
    <row r="444" ht="26" customHeight="1">
      <c r="A444" s="59" t="inlineStr">
        <is>
          <t>Morrendo</t>
        </is>
      </c>
      <c r="B444" s="9" t="inlineStr">
        <is>
          <t>DT 10, fixa (capítulo 23)</t>
        </is>
      </c>
    </row>
    <row r="445"/>
    <row r="446">
      <c r="A446" s="14" t="inlineStr">
        <is>
          <t>DT dos efeitos de inimigo — 22.3</t>
        </is>
      </c>
    </row>
    <row r="447">
      <c r="A447" s="7" t="inlineStr">
        <is>
          <t>Faixa do inimigo</t>
        </is>
      </c>
      <c r="B447" s="7" t="inlineStr">
        <is>
          <t>Comum</t>
        </is>
      </c>
      <c r="C447" s="7" t="inlineStr">
        <is>
          <t>Elite</t>
        </is>
      </c>
      <c r="D447" s="7" t="inlineStr">
        <is>
          <t>Boss</t>
        </is>
      </c>
    </row>
    <row r="448">
      <c r="A448" s="58" t="inlineStr">
        <is>
          <t>1-4</t>
        </is>
      </c>
      <c r="B448" s="22" t="n">
        <v>12</v>
      </c>
      <c r="C448" s="22" t="n">
        <v>13</v>
      </c>
      <c r="D448" s="22" t="n">
        <v>14</v>
      </c>
    </row>
    <row r="449">
      <c r="A449" s="59" t="inlineStr">
        <is>
          <t>5-8</t>
        </is>
      </c>
      <c r="B449" s="21" t="n">
        <v>14</v>
      </c>
      <c r="C449" s="21" t="n">
        <v>15</v>
      </c>
      <c r="D449" s="21" t="n">
        <v>16</v>
      </c>
    </row>
    <row r="450">
      <c r="A450" s="58" t="inlineStr">
        <is>
          <t>9-12</t>
        </is>
      </c>
      <c r="B450" s="22" t="n">
        <v>16</v>
      </c>
      <c r="C450" s="22" t="n">
        <v>17</v>
      </c>
      <c r="D450" s="22" t="n">
        <v>18</v>
      </c>
    </row>
    <row r="451">
      <c r="A451" s="59" t="inlineStr">
        <is>
          <t>13-16</t>
        </is>
      </c>
      <c r="B451" s="21" t="n">
        <v>17</v>
      </c>
      <c r="C451" s="21" t="n">
        <v>18</v>
      </c>
      <c r="D451" s="21" t="n">
        <v>19</v>
      </c>
    </row>
    <row r="452">
      <c r="A452" s="58" t="inlineStr">
        <is>
          <t>17-20</t>
        </is>
      </c>
      <c r="B452" s="22" t="n">
        <v>19</v>
      </c>
      <c r="C452" s="22" t="n">
        <v>20</v>
      </c>
      <c r="D452" s="22" t="n">
        <v>21</v>
      </c>
    </row>
    <row r="453"/>
    <row r="454">
      <c r="A454" s="14" t="inlineStr">
        <is>
          <t>Teste de Resistência do inimigo — 22.3</t>
        </is>
      </c>
    </row>
    <row r="455">
      <c r="A455" s="7" t="inlineStr">
        <is>
          <t>Faixa do inimigo</t>
        </is>
      </c>
      <c r="B455" s="7" t="inlineStr">
        <is>
          <t>Comum</t>
        </is>
      </c>
      <c r="C455" s="7" t="inlineStr">
        <is>
          <t>Elite</t>
        </is>
      </c>
      <c r="D455" s="7" t="inlineStr">
        <is>
          <t>Boss</t>
        </is>
      </c>
    </row>
    <row r="456">
      <c r="A456" s="58" t="inlineStr">
        <is>
          <t>1-4</t>
        </is>
      </c>
      <c r="B456" s="22" t="n">
        <v>1</v>
      </c>
      <c r="C456" s="22" t="n">
        <v>2</v>
      </c>
      <c r="D456" s="22" t="n">
        <v>3</v>
      </c>
    </row>
    <row r="457">
      <c r="A457" s="59" t="inlineStr">
        <is>
          <t>5-8</t>
        </is>
      </c>
      <c r="B457" s="21" t="n">
        <v>3</v>
      </c>
      <c r="C457" s="21" t="n">
        <v>4</v>
      </c>
      <c r="D457" s="21" t="n">
        <v>5</v>
      </c>
    </row>
    <row r="458">
      <c r="A458" s="58" t="inlineStr">
        <is>
          <t>9-12</t>
        </is>
      </c>
      <c r="B458" s="22" t="n">
        <v>4</v>
      </c>
      <c r="C458" s="22" t="n">
        <v>5</v>
      </c>
      <c r="D458" s="22" t="n">
        <v>6</v>
      </c>
    </row>
    <row r="459">
      <c r="A459" s="59" t="inlineStr">
        <is>
          <t>13-16</t>
        </is>
      </c>
      <c r="B459" s="21" t="n">
        <v>5</v>
      </c>
      <c r="C459" s="21" t="n">
        <v>6</v>
      </c>
      <c r="D459" s="21" t="n">
        <v>7</v>
      </c>
    </row>
    <row r="460">
      <c r="A460" s="58" t="inlineStr">
        <is>
          <t>17-20</t>
        </is>
      </c>
      <c r="B460" s="22" t="n">
        <v>7</v>
      </c>
      <c r="C460" s="22" t="n">
        <v>8</v>
      </c>
      <c r="D460" s="22" t="n">
        <v>9</v>
      </c>
    </row>
    <row r="461"/>
    <row r="462">
      <c r="A462" s="14" t="inlineStr">
        <is>
          <t>Armas — 24.2</t>
        </is>
      </c>
    </row>
    <row r="463">
      <c r="A463" s="7" t="inlineStr">
        <is>
          <t>Categoria</t>
        </is>
      </c>
      <c r="B463" s="7" t="inlineStr">
        <is>
          <t>Dados base</t>
        </is>
      </c>
      <c r="C463" s="7" t="inlineStr">
        <is>
          <t>Nº de dados</t>
        </is>
      </c>
      <c r="D463" s="7" t="inlineStr">
        <is>
          <t>Face</t>
        </is>
      </c>
      <c r="E463" s="7" t="inlineStr">
        <is>
          <t>Alcance</t>
        </is>
      </c>
      <c r="F463" s="7" t="inlineStr">
        <is>
          <t>Atributo de Ataque</t>
        </is>
      </c>
      <c r="G463" s="7" t="inlineStr">
        <is>
          <t>Redução de Tenacidade</t>
        </is>
      </c>
      <c r="H463" s="7" t="inlineStr">
        <is>
          <t>Espaço</t>
        </is>
      </c>
      <c r="I463" s="7" t="inlineStr">
        <is>
          <t>Preço (Cr)</t>
        </is>
      </c>
      <c r="J463" s="7" t="inlineStr">
        <is>
          <t>Duas mãos</t>
        </is>
      </c>
    </row>
    <row r="464">
      <c r="A464" s="58" t="inlineStr">
        <is>
          <t>Leve</t>
        </is>
      </c>
      <c r="B464" s="22" t="inlineStr">
        <is>
          <t>1d8</t>
        </is>
      </c>
      <c r="C464" s="22" t="n">
        <v>1</v>
      </c>
      <c r="D464" s="22" t="n">
        <v>8</v>
      </c>
      <c r="E464" s="22" t="inlineStr">
        <is>
          <t>Pessoal</t>
        </is>
      </c>
      <c r="F464" s="22" t="inlineStr">
        <is>
          <t>Agilidade</t>
        </is>
      </c>
      <c r="G464" s="22" t="n">
        <v>1</v>
      </c>
      <c r="H464" s="22" t="n">
        <v>0.5</v>
      </c>
      <c r="I464" s="22" t="n">
        <v>100</v>
      </c>
      <c r="J464" s="22" t="inlineStr">
        <is>
          <t>Não</t>
        </is>
      </c>
    </row>
    <row r="465">
      <c r="A465" s="59" t="inlineStr">
        <is>
          <t>Média</t>
        </is>
      </c>
      <c r="B465" s="21" t="inlineStr">
        <is>
          <t>1d10</t>
        </is>
      </c>
      <c r="C465" s="21" t="n">
        <v>1</v>
      </c>
      <c r="D465" s="21" t="n">
        <v>10</v>
      </c>
      <c r="E465" s="21" t="inlineStr">
        <is>
          <t>Pessoal</t>
        </is>
      </c>
      <c r="F465" s="21" t="inlineStr">
        <is>
          <t>Poder ou Agilidade (fixo na criação)</t>
        </is>
      </c>
      <c r="G465" s="21" t="n">
        <v>1</v>
      </c>
      <c r="H465" s="21" t="n">
        <v>1</v>
      </c>
      <c r="I465" s="21" t="n">
        <v>150</v>
      </c>
      <c r="J465" s="21" t="inlineStr">
        <is>
          <t>Não</t>
        </is>
      </c>
    </row>
    <row r="466">
      <c r="A466" s="58" t="inlineStr">
        <is>
          <t>Pesada</t>
        </is>
      </c>
      <c r="B466" s="22" t="inlineStr">
        <is>
          <t>1d12</t>
        </is>
      </c>
      <c r="C466" s="22" t="n">
        <v>1</v>
      </c>
      <c r="D466" s="22" t="n">
        <v>12</v>
      </c>
      <c r="E466" s="22" t="inlineStr">
        <is>
          <t>Pessoal</t>
        </is>
      </c>
      <c r="F466" s="22" t="inlineStr">
        <is>
          <t>Poder</t>
        </is>
      </c>
      <c r="G466" s="22" t="n">
        <v>1</v>
      </c>
      <c r="H466" s="22" t="n">
        <v>2</v>
      </c>
      <c r="I466" s="22" t="n">
        <v>200</v>
      </c>
      <c r="J466" s="22" t="inlineStr">
        <is>
          <t>Sim</t>
        </is>
      </c>
    </row>
    <row r="467">
      <c r="A467" s="59" t="inlineStr">
        <is>
          <t>Disparo curto</t>
        </is>
      </c>
      <c r="B467" s="21" t="inlineStr">
        <is>
          <t>1d8</t>
        </is>
      </c>
      <c r="C467" s="21" t="n">
        <v>1</v>
      </c>
      <c r="D467" s="21" t="n">
        <v>8</v>
      </c>
      <c r="E467" s="21" t="inlineStr">
        <is>
          <t>Média</t>
        </is>
      </c>
      <c r="F467" s="21" t="inlineStr">
        <is>
          <t>Agilidade</t>
        </is>
      </c>
      <c r="G467" s="21" t="n">
        <v>1</v>
      </c>
      <c r="H467" s="21" t="n">
        <v>1</v>
      </c>
      <c r="I467" s="21" t="n">
        <v>250</v>
      </c>
      <c r="J467" s="21" t="inlineStr">
        <is>
          <t>Não</t>
        </is>
      </c>
    </row>
    <row r="468">
      <c r="A468" s="58" t="inlineStr">
        <is>
          <t>Disparo longo</t>
        </is>
      </c>
      <c r="B468" s="22" t="inlineStr">
        <is>
          <t>1d10</t>
        </is>
      </c>
      <c r="C468" s="22" t="n">
        <v>1</v>
      </c>
      <c r="D468" s="22" t="n">
        <v>10</v>
      </c>
      <c r="E468" s="22" t="inlineStr">
        <is>
          <t>Longa</t>
        </is>
      </c>
      <c r="F468" s="22" t="inlineStr">
        <is>
          <t>Agilidade</t>
        </is>
      </c>
      <c r="G468" s="22" t="n">
        <v>1</v>
      </c>
      <c r="H468" s="22" t="n">
        <v>2</v>
      </c>
      <c r="I468" s="22" t="n">
        <v>350</v>
      </c>
      <c r="J468" s="22" t="inlineStr">
        <is>
          <t>Sim</t>
        </is>
      </c>
    </row>
    <row r="469">
      <c r="A469" s="59" t="inlineStr">
        <is>
          <t>Energia</t>
        </is>
      </c>
      <c r="B469" s="21" t="inlineStr">
        <is>
          <t>2d8</t>
        </is>
      </c>
      <c r="C469" s="21" t="n">
        <v>2</v>
      </c>
      <c r="D469" s="21" t="n">
        <v>8</v>
      </c>
      <c r="E469" s="21" t="inlineStr">
        <is>
          <t>Longa</t>
        </is>
      </c>
      <c r="F469" s="21" t="inlineStr">
        <is>
          <t>Sincronia</t>
        </is>
      </c>
      <c r="G469" s="21" t="n">
        <v>1</v>
      </c>
      <c r="H469" s="21" t="n">
        <v>2</v>
      </c>
      <c r="I469" s="21" t="n">
        <v>500</v>
      </c>
      <c r="J469" s="21" t="inlineStr">
        <is>
          <t>Sim</t>
        </is>
      </c>
    </row>
    <row r="470"/>
    <row r="471">
      <c r="A471" s="14" t="inlineStr">
        <is>
          <t>Propriedade especial de arma — 24.2</t>
        </is>
      </c>
    </row>
    <row r="472">
      <c r="A472" s="7" t="inlineStr">
        <is>
          <t>Propriedade</t>
        </is>
      </c>
      <c r="B472" s="7" t="inlineStr">
        <is>
          <t>O que faz</t>
        </is>
      </c>
    </row>
    <row r="473" ht="82" customHeight="1">
      <c r="A473" s="58" t="inlineStr">
        <is>
          <t>Arremessável</t>
        </is>
      </c>
      <c r="B473" s="4" t="inlineStr">
        <is>
          <t>Pode ser lançada a dois passos acima do alcance normal da categoria, no máximo Extrema; depois disso, você está sem ela</t>
        </is>
      </c>
    </row>
    <row r="474" ht="37" customHeight="1">
      <c r="A474" s="59" t="inlineStr">
        <is>
          <t>Alcance estendido</t>
        </is>
      </c>
      <c r="B474" s="9" t="inlineStr">
        <is>
          <t>Um passo acima do alcance normal da categoria</t>
        </is>
      </c>
    </row>
    <row r="475" ht="60" customHeight="1">
      <c r="A475" s="58" t="inlineStr">
        <is>
          <t>Peso de impacto</t>
        </is>
      </c>
      <c r="B475" s="4" t="inlineStr">
        <is>
          <t>+1 de Redução de Tenacidade. Numa arma Leve ou Média, ela passa a exigir as duas mãos</t>
        </is>
      </c>
    </row>
    <row r="476" ht="37" customHeight="1">
      <c r="A476" s="59" t="inlineStr">
        <is>
          <t>Dissimulada</t>
        </is>
      </c>
      <c r="B476" s="9" t="inlineStr">
        <is>
          <t>Ocupa 0,5 de Espaço e passa por busca superficial</t>
        </is>
      </c>
    </row>
    <row r="477"/>
    <row r="478">
      <c r="A478" s="14" t="inlineStr">
        <is>
          <t>Armaduras — 24.1</t>
        </is>
      </c>
    </row>
    <row r="479" ht="48" customHeight="1">
      <c r="A479" s="7" t="inlineStr">
        <is>
          <t>Tipo</t>
        </is>
      </c>
      <c r="B479" s="7" t="inlineStr">
        <is>
          <t>Defesa</t>
        </is>
      </c>
      <c r="C479" s="7" t="inlineStr">
        <is>
          <t>Outros efeitos</t>
        </is>
      </c>
      <c r="D479" s="7" t="inlineStr">
        <is>
          <t>Esquiva</t>
        </is>
      </c>
      <c r="E479" s="7" t="inlineStr">
        <is>
          <t>Espaço</t>
        </is>
      </c>
      <c r="F479" s="7" t="inlineStr">
        <is>
          <t>Preço (Cr)</t>
        </is>
      </c>
      <c r="G479" s="7" t="inlineStr">
        <is>
          <t>Velocidade</t>
        </is>
      </c>
      <c r="H479" s="7" t="inlineStr">
        <is>
          <t>RD</t>
        </is>
      </c>
      <c r="I479" s="7" t="inlineStr">
        <is>
          <t>Penalidade em Reflexos e Perícias de Agilidade</t>
        </is>
      </c>
    </row>
    <row r="480">
      <c r="A480" s="58" t="inlineStr">
        <is>
          <t>Leve</t>
        </is>
      </c>
      <c r="B480" s="22" t="n">
        <v>3</v>
      </c>
      <c r="C480" s="22" t="inlineStr">
        <is>
          <t>+1 de Velocidade</t>
        </is>
      </c>
      <c r="D480" s="22" t="inlineStr">
        <is>
          <t>Permitida</t>
        </is>
      </c>
      <c r="E480" s="22" t="n">
        <v>1</v>
      </c>
      <c r="F480" s="22" t="n">
        <v>150</v>
      </c>
      <c r="G480" s="22" t="n">
        <v>1</v>
      </c>
      <c r="H480" s="22" t="n">
        <v>0</v>
      </c>
      <c r="I480" s="22" t="n">
        <v>0</v>
      </c>
    </row>
    <row r="481">
      <c r="A481" s="59" t="inlineStr">
        <is>
          <t>Média</t>
        </is>
      </c>
      <c r="B481" s="21" t="n">
        <v>5</v>
      </c>
      <c r="C481" s="21" t="inlineStr">
        <is>
          <t>—</t>
        </is>
      </c>
      <c r="D481" s="21" t="inlineStr">
        <is>
          <t>Permitida</t>
        </is>
      </c>
      <c r="E481" s="21" t="n">
        <v>2</v>
      </c>
      <c r="F481" s="21" t="n">
        <v>300</v>
      </c>
      <c r="G481" s="21" t="n">
        <v>0</v>
      </c>
      <c r="H481" s="21" t="n">
        <v>0</v>
      </c>
      <c r="I481" s="21" t="n">
        <v>0</v>
      </c>
    </row>
    <row r="482" ht="60" customHeight="1">
      <c r="A482" s="58" t="inlineStr">
        <is>
          <t>Pesada</t>
        </is>
      </c>
      <c r="B482" s="22" t="n">
        <v>6</v>
      </c>
      <c r="C482" s="4" t="inlineStr">
        <is>
          <t>2 RD, -2 em Reflexos e nas Perícias de Agilidade, -2 de Velocidade</t>
        </is>
      </c>
      <c r="D482" s="22" t="inlineStr">
        <is>
          <t>Proibida</t>
        </is>
      </c>
      <c r="E482" s="22" t="n">
        <v>3</v>
      </c>
      <c r="F482" s="22" t="n">
        <v>500</v>
      </c>
      <c r="G482" s="22" t="n">
        <v>-2</v>
      </c>
      <c r="H482" s="22" t="n">
        <v>2</v>
      </c>
      <c r="I482" s="22" t="n">
        <v>-2</v>
      </c>
    </row>
    <row r="483"/>
    <row r="484">
      <c r="A484" s="14" t="inlineStr">
        <is>
          <t>Poções de Vida — 24.3</t>
        </is>
      </c>
    </row>
    <row r="485">
      <c r="A485" s="7" t="inlineStr">
        <is>
          <t>Poção</t>
        </is>
      </c>
      <c r="B485" s="7" t="inlineStr">
        <is>
          <t>Cura</t>
        </is>
      </c>
      <c r="C485" s="7" t="inlineStr">
        <is>
          <t>Espaço</t>
        </is>
      </c>
      <c r="D485" s="7" t="inlineStr">
        <is>
          <t>Preço (Cr)</t>
        </is>
      </c>
    </row>
    <row r="486">
      <c r="A486" s="58" t="inlineStr">
        <is>
          <t>Pequena</t>
        </is>
      </c>
      <c r="B486" s="22" t="n">
        <v>15</v>
      </c>
      <c r="C486" s="22" t="n">
        <v>0.5</v>
      </c>
      <c r="D486" s="22" t="n">
        <v>50</v>
      </c>
    </row>
    <row r="487">
      <c r="A487" s="59" t="inlineStr">
        <is>
          <t>Média</t>
        </is>
      </c>
      <c r="B487" s="21" t="n">
        <v>30</v>
      </c>
      <c r="C487" s="21" t="n">
        <v>1</v>
      </c>
      <c r="D487" s="21" t="n">
        <v>150</v>
      </c>
    </row>
    <row r="488">
      <c r="A488" s="58" t="inlineStr">
        <is>
          <t>Grande</t>
        </is>
      </c>
      <c r="B488" s="22" t="n">
        <v>50</v>
      </c>
      <c r="C488" s="22" t="n">
        <v>2</v>
      </c>
      <c r="D488" s="22" t="n">
        <v>400</v>
      </c>
    </row>
    <row r="489"/>
    <row r="490">
      <c r="A490" s="14" t="inlineStr">
        <is>
          <t>Itens comuns — 24.3</t>
        </is>
      </c>
    </row>
    <row r="491">
      <c r="A491" s="7" t="inlineStr">
        <is>
          <t>Item</t>
        </is>
      </c>
      <c r="B491" s="7" t="inlineStr">
        <is>
          <t>Espaço</t>
        </is>
      </c>
      <c r="C491" s="7" t="inlineStr">
        <is>
          <t>Preço (Cr)</t>
        </is>
      </c>
      <c r="D491" s="7" t="inlineStr">
        <is>
          <t>Para quê</t>
        </is>
      </c>
    </row>
    <row r="492" ht="26" customHeight="1">
      <c r="A492" s="72" t="inlineStr">
        <is>
          <t>Kit de primeiros socorros (3 usos)</t>
        </is>
      </c>
      <c r="B492" s="22" t="n">
        <v>1</v>
      </c>
      <c r="C492" s="22" t="n">
        <v>100</v>
      </c>
      <c r="D492" s="4" t="inlineStr">
        <is>
          <t>Cura 10 fora de combate, por uso</t>
        </is>
      </c>
    </row>
    <row r="493" ht="48" customHeight="1">
      <c r="A493" s="59" t="inlineStr">
        <is>
          <t>Kit de ferramentas</t>
        </is>
      </c>
      <c r="B493" s="21" t="n">
        <v>1</v>
      </c>
      <c r="C493" s="21" t="n">
        <v>120</v>
      </c>
      <c r="D493" s="9" t="inlineStr">
        <is>
          <t>Permite Testes de Tecnologia que exigem equipamento</t>
        </is>
      </c>
    </row>
    <row r="494" ht="26" customHeight="1">
      <c r="A494" s="58" t="inlineStr">
        <is>
          <t>Kit de pesquisa de campo</t>
        </is>
      </c>
      <c r="B494" s="22" t="n">
        <v>1</v>
      </c>
      <c r="C494" s="22" t="n">
        <v>150</v>
      </c>
      <c r="D494" s="4" t="inlineStr">
        <is>
          <t>Idem, para Ciência e Pesquisa</t>
        </is>
      </c>
    </row>
    <row r="495" ht="26" customHeight="1">
      <c r="A495" s="59" t="inlineStr">
        <is>
          <t>Lanterna de plasma</t>
        </is>
      </c>
      <c r="B495" s="21" t="n">
        <v>0.5</v>
      </c>
      <c r="C495" s="21" t="n">
        <v>30</v>
      </c>
      <c r="D495" s="9" t="inlineStr">
        <is>
          <t>Luz, 8 horas de carga</t>
        </is>
      </c>
    </row>
    <row r="496">
      <c r="A496" s="58" t="inlineStr">
        <is>
          <t>Corda de fibra, 20 m</t>
        </is>
      </c>
      <c r="B496" s="22" t="n">
        <v>1</v>
      </c>
      <c r="C496" s="22" t="n">
        <v>25</v>
      </c>
      <c r="D496" s="22" t="inlineStr">
        <is>
          <t>Corda</t>
        </is>
      </c>
    </row>
    <row r="497" ht="26" customHeight="1">
      <c r="A497" s="59" t="inlineStr">
        <is>
          <t>Gancho de escalada</t>
        </is>
      </c>
      <c r="B497" s="21" t="n">
        <v>0.5</v>
      </c>
      <c r="C497" s="21" t="n">
        <v>60</v>
      </c>
      <c r="D497" s="9" t="inlineStr">
        <is>
          <t>Sobe o que não tem escada</t>
        </is>
      </c>
    </row>
    <row r="498" ht="26" customHeight="1">
      <c r="A498" s="58" t="inlineStr">
        <is>
          <t>Ração de viagem (3 dias)</t>
        </is>
      </c>
      <c r="B498" s="22" t="n">
        <v>0.5</v>
      </c>
      <c r="C498" s="22" t="n">
        <v>15</v>
      </c>
      <c r="D498" s="4" t="inlineStr">
        <is>
          <t>Descanso Longo fora de abrigo</t>
        </is>
      </c>
    </row>
    <row r="499" ht="26" customHeight="1">
      <c r="A499" s="75" t="inlineStr">
        <is>
          <t>Comunicador de curto alcance</t>
        </is>
      </c>
      <c r="B499" s="21" t="n">
        <v>0.5</v>
      </c>
      <c r="C499" s="21" t="n">
        <v>80</v>
      </c>
      <c r="D499" s="9" t="inlineStr">
        <is>
          <t>Fala com o grupo entre cenas</t>
        </is>
      </c>
    </row>
    <row r="500" ht="48" customHeight="1">
      <c r="A500" s="58" t="inlineStr">
        <is>
          <t>Scanner portátil</t>
        </is>
      </c>
      <c r="B500" s="22" t="n">
        <v>1</v>
      </c>
      <c r="C500" s="22" t="n">
        <v>200</v>
      </c>
      <c r="D500" s="4" t="inlineStr">
        <is>
          <t>Vantagem em um Teste de Pesquisa por cena, fora de combate</t>
        </is>
      </c>
    </row>
    <row r="501" ht="37" customHeight="1">
      <c r="A501" s="59" t="inlineStr">
        <is>
          <t>Traje de vedação</t>
        </is>
      </c>
      <c r="B501" s="21" t="n">
        <v>2</v>
      </c>
      <c r="C501" s="21" t="n">
        <v>250</v>
      </c>
      <c r="D501" s="9" t="inlineStr">
        <is>
          <t>Sobrevive a vácuo e atmosfera hostil por uma cena</t>
        </is>
      </c>
    </row>
    <row r="502" ht="37" customHeight="1">
      <c r="A502" s="72" t="inlineStr">
        <is>
          <t>Munição ou célula de reserva</t>
        </is>
      </c>
      <c r="B502" s="22" t="n">
        <v>0.5</v>
      </c>
      <c r="C502" s="22" t="n">
        <v>20</v>
      </c>
      <c r="D502" s="4" t="inlineStr">
        <is>
          <t>Reposição de projétil ou de célula de energia</t>
        </is>
      </c>
    </row>
    <row r="503"/>
    <row r="504">
      <c r="A504" s="14" t="inlineStr">
        <is>
          <t>Inventário e Espaço — 24.4</t>
        </is>
      </c>
    </row>
    <row r="505">
      <c r="A505" s="7" t="inlineStr">
        <is>
          <t>Situação</t>
        </is>
      </c>
      <c r="B505" s="7" t="inlineStr">
        <is>
          <t>Efeito</t>
        </is>
      </c>
    </row>
    <row r="506">
      <c r="A506" s="58" t="inlineStr">
        <is>
          <t>Até a sua capacidade</t>
        </is>
      </c>
      <c r="B506" s="22" t="inlineStr">
        <is>
          <t>Nada</t>
        </is>
      </c>
    </row>
    <row r="507" ht="93" customHeight="1">
      <c r="A507" s="59" t="inlineStr">
        <is>
          <t>Acima da capacidade</t>
        </is>
      </c>
      <c r="B507" s="9" t="inlineStr">
        <is>
          <t>Você fica com Lentidão (capítulo 21): a sua Ação de Movimento não muda a sua Distância, e só Esforço Total move você um passo</t>
        </is>
      </c>
    </row>
    <row r="508" ht="37" customHeight="1">
      <c r="A508" s="72" t="inlineStr">
        <is>
          <t>Acima do dobro da capacidade</t>
        </is>
      </c>
      <c r="B508" s="4" t="inlineStr">
        <is>
          <t>Você não consegue se mover. Nem com Esforço Total</t>
        </is>
      </c>
    </row>
    <row r="509"/>
    <row r="510">
      <c r="A510" s="14" t="inlineStr">
        <is>
          <t>Verba de marco do grupo — 24.5</t>
        </is>
      </c>
    </row>
    <row r="511">
      <c r="A511" s="7" t="inlineStr">
        <is>
          <t>Faixa de nível</t>
        </is>
      </c>
      <c r="B511" s="7" t="inlineStr">
        <is>
          <t>Verba de marco (Cr)</t>
        </is>
      </c>
      <c r="C511" s="7" t="inlineStr">
        <is>
          <t>O que ela compra</t>
        </is>
      </c>
    </row>
    <row r="512" ht="26" customHeight="1">
      <c r="A512" s="58" t="inlineStr">
        <is>
          <t>1-4</t>
        </is>
      </c>
      <c r="B512" s="22" t="n">
        <v>200</v>
      </c>
      <c r="C512" s="4" t="inlineStr">
        <is>
          <t>reposição de poções, uma arma, um kit</t>
        </is>
      </c>
    </row>
    <row r="513" ht="37" customHeight="1">
      <c r="A513" s="59" t="inlineStr">
        <is>
          <t>5-8</t>
        </is>
      </c>
      <c r="B513" s="21" t="n">
        <v>500</v>
      </c>
      <c r="C513" s="9" t="inlineStr">
        <is>
          <t>trocar uma armadura, equipar o grupo com poções Médias</t>
        </is>
      </c>
    </row>
    <row r="514" ht="48" customHeight="1">
      <c r="A514" s="58" t="inlineStr">
        <is>
          <t>9-12</t>
        </is>
      </c>
      <c r="B514" s="22" t="n">
        <v>1200</v>
      </c>
      <c r="C514" s="4" t="inlineStr">
        <is>
          <t>equipamento de cena, suborno, passagem, transporte</t>
        </is>
      </c>
    </row>
    <row r="515" ht="37" customHeight="1">
      <c r="A515" s="59" t="inlineStr">
        <is>
          <t>13-16</t>
        </is>
      </c>
      <c r="B515" s="21" t="n">
        <v>2500</v>
      </c>
      <c r="C515" s="9" t="inlineStr">
        <is>
          <t>contratar gente, comprar silêncio, abrir porta fechada</t>
        </is>
      </c>
    </row>
    <row r="516" ht="48" customHeight="1">
      <c r="A516" s="58" t="inlineStr">
        <is>
          <t>17-20</t>
        </is>
      </c>
      <c r="B516" s="22" t="n">
        <v>5000</v>
      </c>
      <c r="C516" s="4" t="inlineStr">
        <is>
          <t>o custo não é mais dinheiro, e a tabela está aqui para o Mestre ter um teto</t>
        </is>
      </c>
    </row>
    <row r="517"/>
    <row r="518">
      <c r="A518" s="14" t="inlineStr">
        <is>
          <t>Cone de Luz e Relíquias por faixa — 25.1</t>
        </is>
      </c>
    </row>
    <row r="519" ht="26" customHeight="1">
      <c r="A519" s="7" t="inlineStr">
        <is>
          <t>Faixa de nível</t>
        </is>
      </c>
      <c r="B519" s="7" t="inlineStr">
        <is>
          <t>Cone de Luz máximo</t>
        </is>
      </c>
      <c r="C519" s="7" t="inlineStr">
        <is>
          <t>Relíquias</t>
        </is>
      </c>
    </row>
    <row r="520">
      <c r="A520" s="58" t="inlineStr">
        <is>
          <t>1-4</t>
        </is>
      </c>
      <c r="B520" s="22" t="inlineStr">
        <is>
          <t>Nível 1</t>
        </is>
      </c>
      <c r="C520" s="22" t="inlineStr">
        <is>
          <t>Tier I</t>
        </is>
      </c>
    </row>
    <row r="521" ht="26" customHeight="1">
      <c r="A521" s="59" t="inlineStr">
        <is>
          <t>5-8</t>
        </is>
      </c>
      <c r="B521" s="21" t="inlineStr">
        <is>
          <t>Nível 2</t>
        </is>
      </c>
      <c r="C521" s="9" t="inlineStr">
        <is>
          <t>Tier I, virando Tier II no nível 7</t>
        </is>
      </c>
    </row>
    <row r="522">
      <c r="A522" s="58" t="inlineStr">
        <is>
          <t>9-12</t>
        </is>
      </c>
      <c r="B522" s="22" t="inlineStr">
        <is>
          <t>Nível 3</t>
        </is>
      </c>
      <c r="C522" s="22" t="inlineStr">
        <is>
          <t>Tier II</t>
        </is>
      </c>
    </row>
    <row r="523">
      <c r="A523" s="59" t="inlineStr">
        <is>
          <t>13-16</t>
        </is>
      </c>
      <c r="B523" s="21" t="inlineStr">
        <is>
          <t>Nível 4</t>
        </is>
      </c>
      <c r="C523" s="21" t="inlineStr">
        <is>
          <t>Tier III</t>
        </is>
      </c>
    </row>
    <row r="524" ht="26" customHeight="1">
      <c r="A524" s="58" t="inlineStr">
        <is>
          <t>17-20</t>
        </is>
      </c>
      <c r="B524" s="22" t="inlineStr">
        <is>
          <t>Nível 5</t>
        </is>
      </c>
      <c r="C524" s="4" t="inlineStr">
        <is>
          <t>Tier III, virando Tier IV no nível 18</t>
        </is>
      </c>
    </row>
    <row r="525"/>
    <row r="526">
      <c r="A526" s="14" t="inlineStr">
        <is>
          <t>Cone de Luz — 25.2</t>
        </is>
      </c>
    </row>
    <row r="527" ht="26" customHeight="1">
      <c r="A527" s="7" t="inlineStr">
        <is>
          <t>Nível do Cone</t>
        </is>
      </c>
      <c r="B527" s="7" t="inlineStr">
        <is>
          <t>Nível do personagem</t>
        </is>
      </c>
      <c r="C527" s="7" t="inlineStr">
        <is>
          <t>Bônus Maior</t>
        </is>
      </c>
      <c r="D527" s="7" t="inlineStr">
        <is>
          <t>Bônus numérico</t>
        </is>
      </c>
      <c r="E527" s="7" t="inlineStr">
        <is>
          <t>e/ou</t>
        </is>
      </c>
      <c r="F527" s="7" t="inlineStr">
        <is>
          <t>Bônus de PV</t>
        </is>
      </c>
      <c r="G527" s="7" t="inlineStr">
        <is>
          <t>Efeito Condicional</t>
        </is>
      </c>
    </row>
    <row r="528">
      <c r="A528" s="58" t="n">
        <v>1</v>
      </c>
      <c r="B528" s="22" t="n">
        <v>1</v>
      </c>
      <c r="C528" s="22" t="inlineStr">
        <is>
          <t>+1 ou +10 PV</t>
        </is>
      </c>
      <c r="D528" s="22" t="n">
        <v>1</v>
      </c>
      <c r="E528" s="22" t="inlineStr">
        <is>
          <t>ou</t>
        </is>
      </c>
      <c r="F528" s="22" t="n">
        <v>10</v>
      </c>
      <c r="G528" s="22" t="inlineStr">
        <is>
          <t>1 efeito simples, 1 vez por combate</t>
        </is>
      </c>
    </row>
    <row r="529">
      <c r="A529" s="59" t="n">
        <v>2</v>
      </c>
      <c r="B529" s="21" t="n">
        <v>5</v>
      </c>
      <c r="C529" s="21" t="inlineStr">
        <is>
          <t>+1 e +10 PV</t>
        </is>
      </c>
      <c r="D529" s="21" t="n">
        <v>1</v>
      </c>
      <c r="E529" s="21" t="inlineStr">
        <is>
          <t>e</t>
        </is>
      </c>
      <c r="F529" s="21" t="n">
        <v>10</v>
      </c>
      <c r="G529" s="21" t="inlineStr">
        <is>
          <t>1 efeito, 1 vez por Ciclo</t>
        </is>
      </c>
    </row>
    <row r="530">
      <c r="A530" s="58" t="n">
        <v>3</v>
      </c>
      <c r="B530" s="22" t="n">
        <v>9</v>
      </c>
      <c r="C530" s="22" t="inlineStr">
        <is>
          <t>+2 ou +25 PV</t>
        </is>
      </c>
      <c r="D530" s="22" t="n">
        <v>2</v>
      </c>
      <c r="E530" s="22" t="inlineStr">
        <is>
          <t>ou</t>
        </is>
      </c>
      <c r="F530" s="22" t="n">
        <v>25</v>
      </c>
      <c r="G530" s="22" t="inlineStr">
        <is>
          <t>1 efeito + pequeno ganho de Energia</t>
        </is>
      </c>
    </row>
    <row r="531">
      <c r="A531" s="59" t="n">
        <v>4</v>
      </c>
      <c r="B531" s="21" t="n">
        <v>13</v>
      </c>
      <c r="C531" s="21" t="inlineStr">
        <is>
          <t>+2 e +25 PV</t>
        </is>
      </c>
      <c r="D531" s="21" t="n">
        <v>2</v>
      </c>
      <c r="E531" s="21" t="inlineStr">
        <is>
          <t>e</t>
        </is>
      </c>
      <c r="F531" s="21" t="n">
        <v>25</v>
      </c>
      <c r="G531" s="21" t="inlineStr">
        <is>
          <t>2 efeitos</t>
        </is>
      </c>
    </row>
    <row r="532">
      <c r="A532" s="58" t="n">
        <v>5</v>
      </c>
      <c r="B532" s="22" t="n">
        <v>17</v>
      </c>
      <c r="C532" s="22" t="inlineStr">
        <is>
          <t>+3 ou +50 PV</t>
        </is>
      </c>
      <c r="D532" s="22" t="n">
        <v>3</v>
      </c>
      <c r="E532" s="22" t="inlineStr">
        <is>
          <t>ou</t>
        </is>
      </c>
      <c r="F532" s="22" t="n">
        <v>50</v>
      </c>
      <c r="G532" s="22" t="inlineStr">
        <is>
          <t>2 efeitos, um deles podendo conceder Avanço</t>
        </is>
      </c>
    </row>
    <row r="533"/>
    <row r="534">
      <c r="A534" s="14" t="inlineStr">
        <is>
          <t>Relíquias — 25.3</t>
        </is>
      </c>
    </row>
    <row r="535">
      <c r="A535" s="7" t="inlineStr">
        <is>
          <t>Slot</t>
        </is>
      </c>
      <c r="B535" s="7" t="inlineStr">
        <is>
          <t>O que dá</t>
        </is>
      </c>
      <c r="C535" s="7" t="inlineStr">
        <is>
          <t>Tier I</t>
        </is>
      </c>
      <c r="D535" s="7" t="inlineStr">
        <is>
          <t>Tier II</t>
        </is>
      </c>
      <c r="E535" s="7" t="inlineStr">
        <is>
          <t>Tier III</t>
        </is>
      </c>
      <c r="F535" s="7" t="inlineStr">
        <is>
          <t>Tier IV</t>
        </is>
      </c>
    </row>
    <row r="536">
      <c r="A536" s="58" t="inlineStr">
        <is>
          <t>Cabeça</t>
        </is>
      </c>
      <c r="B536" s="22" t="inlineStr">
        <is>
          <t>PV máximos</t>
        </is>
      </c>
      <c r="C536" s="22" t="n">
        <v>10</v>
      </c>
      <c r="D536" s="22" t="n">
        <v>20</v>
      </c>
      <c r="E536" s="22" t="n">
        <v>35</v>
      </c>
      <c r="F536" s="22" t="n">
        <v>50</v>
      </c>
    </row>
    <row r="537" ht="26" customHeight="1">
      <c r="A537" s="59" t="inlineStr">
        <is>
          <t>Mãos</t>
        </is>
      </c>
      <c r="B537" s="9" t="inlineStr">
        <is>
          <t>Dano de Ataque Básico</t>
        </is>
      </c>
      <c r="C537" s="21" t="n">
        <v>2</v>
      </c>
      <c r="D537" s="21" t="n">
        <v>4</v>
      </c>
      <c r="E537" s="21" t="n">
        <v>6</v>
      </c>
      <c r="F537" s="21" t="n">
        <v>8</v>
      </c>
    </row>
    <row r="538">
      <c r="A538" s="58" t="inlineStr">
        <is>
          <t>Tronco</t>
        </is>
      </c>
      <c r="B538" s="22" t="inlineStr">
        <is>
          <t>Defesa</t>
        </is>
      </c>
      <c r="C538" s="22" t="n">
        <v>1</v>
      </c>
      <c r="D538" s="22" t="n">
        <v>1</v>
      </c>
      <c r="E538" s="22" t="n">
        <v>2</v>
      </c>
      <c r="F538" s="22" t="n">
        <v>2</v>
      </c>
    </row>
    <row r="539">
      <c r="A539" s="59" t="inlineStr">
        <is>
          <t>Botas</t>
        </is>
      </c>
      <c r="B539" s="21" t="inlineStr">
        <is>
          <t>Velocidade</t>
        </is>
      </c>
      <c r="C539" s="21" t="n">
        <v>2</v>
      </c>
      <c r="D539" s="21" t="n">
        <v>3</v>
      </c>
      <c r="E539" s="21" t="n">
        <v>4</v>
      </c>
      <c r="F539" s="21" t="n">
        <v>5</v>
      </c>
    </row>
    <row r="540" ht="26" customHeight="1">
      <c r="A540" s="58" t="inlineStr">
        <is>
          <t>Esfera Planar</t>
        </is>
      </c>
      <c r="B540" s="4" t="inlineStr">
        <is>
          <t>Dano de um Elemento escolhido</t>
        </is>
      </c>
      <c r="C540" s="22" t="n">
        <v>2</v>
      </c>
      <c r="D540" s="22" t="n">
        <v>4</v>
      </c>
      <c r="E540" s="22" t="n">
        <v>6</v>
      </c>
      <c r="F540" s="22" t="n">
        <v>8</v>
      </c>
    </row>
    <row r="541" ht="26" customHeight="1">
      <c r="A541" s="59" t="inlineStr">
        <is>
          <t>Corda de Ligação</t>
        </is>
      </c>
      <c r="B541" s="9" t="inlineStr">
        <is>
          <t>Energia, 1 vez por combate</t>
        </is>
      </c>
      <c r="C541" s="21" t="n">
        <v>10</v>
      </c>
      <c r="D541" s="21" t="n">
        <v>15</v>
      </c>
      <c r="E541" s="21" t="n">
        <v>20</v>
      </c>
      <c r="F541" s="21" t="n">
        <v>25</v>
      </c>
    </row>
    <row r="542"/>
    <row r="543">
      <c r="A543" s="14" t="inlineStr">
        <is>
          <t>Conjuntos de Relíquias — 25.3</t>
        </is>
      </c>
    </row>
    <row r="544" ht="26" customHeight="1">
      <c r="A544" s="7" t="inlineStr">
        <is>
          <t>Peças do mesmo Conjunto</t>
        </is>
      </c>
      <c r="B544" s="7" t="inlineStr">
        <is>
          <t>O que você ganha</t>
        </is>
      </c>
    </row>
    <row r="545" ht="60" customHeight="1">
      <c r="A545" s="58" t="inlineStr">
        <is>
          <t>2 peças</t>
        </is>
      </c>
      <c r="B545" s="4" t="inlineStr">
        <is>
          <t>Um bônus pequeno e fixo: +1 em um tipo de rolagem, +1 de Velocidade, +2 de dano ou +1 RD</t>
        </is>
      </c>
    </row>
    <row r="546" ht="116" customHeight="1">
      <c r="A546" s="59" t="inlineStr">
        <is>
          <t>4 peças</t>
        </is>
      </c>
      <c r="B546" s="9" t="inlineStr">
        <is>
          <t>Um efeito condicional por Ciclo. Exemplos: "ao Quebrar um inimigo, o seu próximo ataque ganha +1 dado"; "ao usar a Ultimate, o grupo recebe +1 de Defesa por 1 Ciclo"</t>
        </is>
      </c>
    </row>
    <row r="547"/>
    <row r="548">
      <c r="A548" s="14" t="inlineStr">
        <is>
          <t>Memoespírito: Conceito — 11.3 Passo 2</t>
        </is>
      </c>
    </row>
    <row r="549">
      <c r="A549" s="7" t="inlineStr">
        <is>
          <t>Conceito</t>
        </is>
      </c>
      <c r="B549" s="7" t="inlineStr">
        <is>
          <t>O que é</t>
        </is>
      </c>
    </row>
    <row r="550" ht="48" customHeight="1">
      <c r="A550" s="58" t="inlineStr">
        <is>
          <t>Memória de Guerra</t>
        </is>
      </c>
      <c r="B550" s="4" t="inlineStr">
        <is>
          <t>Um espírito nascido de batalhas passadas, feito de força e de combate</t>
        </is>
      </c>
    </row>
    <row r="551" ht="48" customHeight="1">
      <c r="A551" s="59" t="inlineStr">
        <is>
          <t>Memória Perdida</t>
        </is>
      </c>
      <c r="B551" s="9" t="inlineStr">
        <is>
          <t>Uma pessoa ou um momento esquecido que voltou como manifestação</t>
        </is>
      </c>
    </row>
    <row r="552" ht="48" customHeight="1">
      <c r="A552" s="58" t="inlineStr">
        <is>
          <t>Memória Animal</t>
        </is>
      </c>
      <c r="B552" s="4" t="inlineStr">
        <is>
          <t>Uma criatura ligada a uma lembrança de infância ou a um vínculo profundo</t>
        </is>
      </c>
    </row>
    <row r="553" ht="48" customHeight="1">
      <c r="A553" s="59" t="inlineStr">
        <is>
          <t>Memória Artificial</t>
        </is>
      </c>
      <c r="B553" s="9" t="inlineStr">
        <is>
          <t>Uma consciência criada por tecnologia ou por conhecimento acumulado</t>
        </is>
      </c>
    </row>
    <row r="554" ht="48" customHeight="1">
      <c r="A554" s="58" t="inlineStr">
        <is>
          <t>Memória Celestial</t>
        </is>
      </c>
      <c r="B554" s="4" t="inlineStr">
        <is>
          <t>Um fragmento de uma entidade antiga ou de uma força cósmica</t>
        </is>
      </c>
    </row>
    <row r="555"/>
    <row r="556">
      <c r="A556" s="14" t="inlineStr">
        <is>
          <t>Memoespírito: Função — 11.3 Passo 3</t>
        </is>
      </c>
    </row>
    <row r="557">
      <c r="A557" s="7" t="inlineStr">
        <is>
          <t>Função</t>
        </is>
      </c>
      <c r="B557" s="7" t="inlineStr">
        <is>
          <t>Bônus</t>
        </is>
      </c>
    </row>
    <row r="558" ht="37" customHeight="1">
      <c r="A558" s="58" t="inlineStr">
        <is>
          <t>Predador</t>
        </is>
      </c>
      <c r="B558" s="4" t="inlineStr">
        <is>
          <t>Os ataques dele causam +1d8 de dano</t>
        </is>
      </c>
    </row>
    <row r="559" ht="127" customHeight="1">
      <c r="A559" s="59" t="inlineStr">
        <is>
          <t>Guardião</t>
        </is>
      </c>
      <c r="B559" s="9" t="inlineStr">
        <is>
          <t>+PV máximo igual a 3 × seu nível; ele pode gastar a Reação dele, ou o turno dele, para dar RD igual à sua Eficiência a um aliado a até Distância Curta, até o fim do próximo turno daquele aliado</t>
        </is>
      </c>
    </row>
    <row r="560" ht="82" customHeight="1">
      <c r="A560" s="58" t="inlineStr">
        <is>
          <t>Catalisador</t>
        </is>
      </c>
      <c r="B560" s="4" t="inlineStr">
        <is>
          <t>Você ganha +1 em Testes de Ataque enquanto ele estiver ativo; e uma vez por Ciclo, uma Habilidade sua causa +1 dado base</t>
        </is>
      </c>
    </row>
    <row r="561" ht="105" customHeight="1">
      <c r="A561" s="59" t="inlineStr">
        <is>
          <t>Controlador</t>
        </is>
      </c>
      <c r="B561" s="9" t="inlineStr">
        <is>
          <t>Uma vez por turno, o ataque dele aplica Vulnerável, Marcado ou Lentidão (capítulo 21), à sua escolha, e o alvo sofre -1 em Testes de Ataque até o fim do próximo turno dele</t>
        </is>
      </c>
    </row>
    <row r="562"/>
    <row r="563">
      <c r="A563" s="14" t="inlineStr">
        <is>
          <t>Memoespírito: Bônus menores — 11.3 Passo 4</t>
        </is>
      </c>
    </row>
    <row r="564">
      <c r="A564" s="7" t="inlineStr">
        <is>
          <t>Bônus menor</t>
        </is>
      </c>
      <c r="B564" s="7" t="inlineStr">
        <is>
          <t>Efeito</t>
        </is>
      </c>
    </row>
    <row r="565" ht="26" customHeight="1">
      <c r="A565" s="58" t="inlineStr">
        <is>
          <t>Força Espiritual</t>
        </is>
      </c>
      <c r="B565" s="4" t="inlineStr">
        <is>
          <t>+2 de dano nos ataques dele</t>
        </is>
      </c>
    </row>
    <row r="566" ht="37" customHeight="1">
      <c r="A566" s="59" t="inlineStr">
        <is>
          <t>Resistência Espiritual</t>
        </is>
      </c>
      <c r="B566" s="9" t="inlineStr">
        <is>
          <t>+PV máximo igual a 2 × seu nível e +1 RD</t>
        </is>
      </c>
    </row>
    <row r="567" ht="48" customHeight="1">
      <c r="A567" s="58" t="inlineStr">
        <is>
          <t>Velocidade Espiritual</t>
        </is>
      </c>
      <c r="B567" s="4" t="inlineStr">
        <is>
          <t>+2 de Velocidade e +1 Distância na Ação de Movimento dele</t>
        </is>
      </c>
    </row>
    <row r="568" ht="37" customHeight="1">
      <c r="A568" s="59" t="inlineStr">
        <is>
          <t>Memória Afiada</t>
        </is>
      </c>
      <c r="B568" s="9" t="inlineStr">
        <is>
          <t>+1 no Teste de Ataque das duas Habilidades dele</t>
        </is>
      </c>
    </row>
    <row r="569" ht="82" customHeight="1">
      <c r="A569" s="58" t="inlineStr">
        <is>
          <t>Vínculo Profundo</t>
        </is>
      </c>
      <c r="B569" s="4" t="inlineStr">
        <is>
          <t>Uma vez por Ciclo, quando você e ele atacam o mesmo alvo no mesmo Ciclo, o segundo dos dois ataques causa +1 dado base</t>
        </is>
      </c>
    </row>
    <row r="570" ht="116" customHeight="1">
      <c r="A570" s="59" t="inlineStr">
        <is>
          <t>Forma Mutável</t>
        </is>
      </c>
      <c r="B570" s="9" t="inlineStr">
        <is>
          <t>Uma vez por Descanso Longo você pode remanejar 3 pontos de atributo dele; e uma vez por combate ele pode trocar o Elemento do ataque dele por outro Elemento usado pelo grupo</t>
        </is>
      </c>
    </row>
    <row r="571"/>
    <row r="572">
      <c r="A572" s="14" t="inlineStr">
        <is>
          <t>Memoespírito: Técnica Principal — 11.3 Passo 5</t>
        </is>
      </c>
    </row>
    <row r="573">
      <c r="A573" s="7" t="inlineStr">
        <is>
          <t>Modelo da v0.1</t>
        </is>
      </c>
      <c r="B573" s="7" t="inlineStr">
        <is>
          <t>Acréscimo</t>
        </is>
      </c>
    </row>
    <row r="574" ht="26" customHeight="1">
      <c r="A574" s="58" t="inlineStr">
        <is>
          <t>Golpe Ancestral</t>
        </is>
      </c>
      <c r="B574" s="4" t="inlineStr">
        <is>
          <t>+1 dado base contra alvo único</t>
        </is>
      </c>
    </row>
    <row r="575" ht="60" customHeight="1">
      <c r="A575" s="59" t="inlineStr">
        <is>
          <t>Explosão de Memória</t>
        </is>
      </c>
      <c r="B575" s="9" t="inlineStr">
        <is>
          <t>Atinge até 3 alvos a até uma Distância um do outro, com metade dos dados (mínimo 1)</t>
        </is>
      </c>
    </row>
    <row r="576" ht="60" customHeight="1">
      <c r="A576" s="58" t="inlineStr">
        <is>
          <t>Marca do Passado</t>
        </is>
      </c>
      <c r="B576" s="4" t="inlineStr">
        <is>
          <t>Ao acertar, aplica Marcado ou Vulnerável até o fim do próximo turno do alvo</t>
        </is>
      </c>
    </row>
    <row r="577" ht="48" customHeight="1">
      <c r="A577" s="59" t="inlineStr">
        <is>
          <t>Ataque Evolutivo</t>
        </is>
      </c>
      <c r="B577" s="9" t="inlineStr">
        <is>
          <t>+1 de dano acumulativo a cada uso no mesmo combate, até +5</t>
        </is>
      </c>
    </row>
    <row r="578"/>
    <row r="579">
      <c r="A579" s="14" t="inlineStr">
        <is>
          <t>Memoespírito: Técnica Auxiliar — 11.3 Passo 5</t>
        </is>
      </c>
    </row>
    <row r="580">
      <c r="A580" s="7" t="inlineStr">
        <is>
          <t>Modelo da v0.1</t>
        </is>
      </c>
      <c r="B580" s="7" t="inlineStr">
        <is>
          <t>Efeito</t>
        </is>
      </c>
    </row>
    <row r="581" ht="60" customHeight="1">
      <c r="A581" s="58" t="inlineStr">
        <is>
          <t>Proteção da Memória</t>
        </is>
      </c>
      <c r="B581" s="4" t="inlineStr">
        <is>
          <t>PV temporários = 1 × Eficiência a um aliado, ou +1 RD até o fim do próximo turno daquele aliado</t>
        </is>
      </c>
    </row>
    <row r="582" ht="60" customHeight="1">
      <c r="A582" s="59" t="inlineStr">
        <is>
          <t>Eco Inspirador</t>
        </is>
      </c>
      <c r="B582" s="9" t="inlineStr">
        <is>
          <t>+1 na próxima rolagem de um aliado, ou +1 de Velocidade até o fim do Ciclo</t>
        </is>
      </c>
    </row>
    <row r="583" ht="48" customHeight="1">
      <c r="A583" s="58" t="inlineStr">
        <is>
          <t>Fragmento Restaurador</t>
        </is>
      </c>
      <c r="B583" s="4" t="inlineStr">
        <is>
          <t>Cura 1d6 + Eficiência PV, ou remove 1 condição de um aliado</t>
        </is>
      </c>
    </row>
    <row r="584" ht="71" customHeight="1">
      <c r="A584" s="59" t="inlineStr">
        <is>
          <t>Presença Assombrosa</t>
        </is>
      </c>
      <c r="B584" s="9" t="inlineStr">
        <is>
          <t>-1 na próxima rolagem de um inimigo, ou aplica Lentidão até o fim do próximo turno daquele inimigo</t>
        </is>
      </c>
    </row>
    <row r="585"/>
    <row r="586">
      <c r="A586" s="14" t="inlineStr">
        <is>
          <t>Memoespírito: Evoluções (níveis 8, 14 e 20) — 11.3</t>
        </is>
      </c>
    </row>
    <row r="587">
      <c r="A587" s="7" t="inlineStr">
        <is>
          <t>Evolução</t>
        </is>
      </c>
      <c r="B587" s="7" t="inlineStr">
        <is>
          <t>Efeito</t>
        </is>
      </c>
    </row>
    <row r="588" ht="71" customHeight="1">
      <c r="A588" s="58" t="inlineStr">
        <is>
          <t>Forma Completa</t>
        </is>
      </c>
      <c r="B588" s="4" t="inlineStr">
        <is>
          <t>+1 dado base nos ataques dele, e a Técnica Principal ganha um segundo acréscimo da tabela acima</t>
        </is>
      </c>
    </row>
    <row r="589" ht="71" customHeight="1">
      <c r="A589" s="59" t="inlineStr">
        <is>
          <t>Fusão de Memórias</t>
        </is>
      </c>
      <c r="B589" s="9" t="inlineStr">
        <is>
          <t>Você ganha +1 em Testes de Ataque enquanto ele estiver ativo, e a Técnica Auxiliar passa a alcançar 2 alvos</t>
        </is>
      </c>
    </row>
    <row r="590" ht="116" customHeight="1">
      <c r="A590" s="58" t="inlineStr">
        <is>
          <t>Memória Desperta</t>
        </is>
      </c>
      <c r="B590" s="4" t="inlineStr">
        <is>
          <t>Ele ganha uma terceira Habilidade (pela mesma régua), +2 de Defesa ou de Velocidade à sua escolha, e uma característica única — aparência, voz, um detalhe que a mesa vai lembrar</t>
        </is>
      </c>
    </row>
    <row r="591"/>
    <row r="592">
      <c r="A592" s="14" t="inlineStr">
        <is>
          <t>Ficha do Memoespírito — 11.4</t>
        </is>
      </c>
    </row>
    <row r="593">
      <c r="A593" s="7" t="inlineStr">
        <is>
          <t>Estatística</t>
        </is>
      </c>
      <c r="B593" s="7" t="inlineStr">
        <is>
          <t>Fórmula</t>
        </is>
      </c>
    </row>
    <row r="594" ht="26" customHeight="1">
      <c r="A594" s="58" t="inlineStr">
        <is>
          <t>PV</t>
        </is>
      </c>
      <c r="B594" s="4" t="inlineStr">
        <is>
          <t>8 × seu nível + (3 × pontos em Vigor)</t>
        </is>
      </c>
    </row>
    <row r="595" ht="37" customHeight="1">
      <c r="A595" s="59" t="inlineStr">
        <is>
          <t>Defesa</t>
        </is>
      </c>
      <c r="B595" s="9" t="inlineStr">
        <is>
          <t>10 + pontos em Agilidade + sua Eficiência</t>
        </is>
      </c>
    </row>
    <row r="596" ht="48" customHeight="1">
      <c r="A596" s="58" t="inlineStr">
        <is>
          <t>Velocidade</t>
        </is>
      </c>
      <c r="B596" s="4" t="inlineStr">
        <is>
          <t>10 + pontos em Agilidade + Bônus de Velocidade do seu Caminho</t>
        </is>
      </c>
    </row>
    <row r="597" ht="60" customHeight="1">
      <c r="A597" s="59" t="inlineStr">
        <is>
          <t>Teste de Ataque</t>
        </is>
      </c>
      <c r="B597" s="9" t="inlineStr">
        <is>
          <t>d20 + Bônus do seu Atributo de Habilidade + pontos no Atributo de ataque dele + sua Eficiência</t>
        </is>
      </c>
    </row>
    <row r="598" ht="71" customHeight="1">
      <c r="A598" s="58" t="inlineStr">
        <is>
          <t>Dano do ataque</t>
        </is>
      </c>
      <c r="B598" s="4" t="inlineStr">
        <is>
          <t>(seus dados de Ataque Básico) d6 + pontos no Atributo de ataque dele, no Elemento escolhido na criação</t>
        </is>
      </c>
    </row>
    <row r="599" ht="26" customHeight="1">
      <c r="A599" s="59" t="inlineStr">
        <is>
          <t>Redução de Tenacidade</t>
        </is>
      </c>
      <c r="B599" s="9" t="inlineStr">
        <is>
          <t>1 · 2 a partir do seu nível 11</t>
        </is>
      </c>
    </row>
    <row r="600" ht="37" customHeight="1">
      <c r="A600" s="58" t="inlineStr">
        <is>
          <t>Testes de Resistência</t>
        </is>
      </c>
      <c r="B600" s="4" t="inlineStr">
        <is>
          <t>d20 + pontos no Atributo + sua Eficiência</t>
        </is>
      </c>
    </row>
    <row r="601" ht="37" customHeight="1">
      <c r="A601" s="59" t="inlineStr">
        <is>
          <t>RD</t>
        </is>
      </c>
      <c r="B601" s="9" t="inlineStr">
        <is>
          <t>0, salvo Função Guardião, Bônus menor ou Bênção</t>
        </is>
      </c>
    </row>
  </sheetData>
  <mergeCells count="52">
    <mergeCell ref="A403:E403"/>
    <mergeCell ref="A478:I478"/>
    <mergeCell ref="A572:C572"/>
    <mergeCell ref="A311:D311"/>
    <mergeCell ref="A89:L89"/>
    <mergeCell ref="A356:C356"/>
    <mergeCell ref="A294:C294"/>
    <mergeCell ref="A454:D454"/>
    <mergeCell ref="A101:F101"/>
    <mergeCell ref="A3:L3"/>
    <mergeCell ref="A586:C586"/>
    <mergeCell ref="A301:L301"/>
    <mergeCell ref="A367:B367"/>
    <mergeCell ref="A124:H124"/>
    <mergeCell ref="A245:D245"/>
    <mergeCell ref="A490:D490"/>
    <mergeCell ref="A579:C579"/>
    <mergeCell ref="A15:D15"/>
    <mergeCell ref="A379:H379"/>
    <mergeCell ref="A395:C395"/>
    <mergeCell ref="A286:H286"/>
    <mergeCell ref="A263:L263"/>
    <mergeCell ref="A80:B80"/>
    <mergeCell ref="A446:D446"/>
    <mergeCell ref="A389:C389"/>
    <mergeCell ref="A462:J462"/>
    <mergeCell ref="A563:C563"/>
    <mergeCell ref="A543:B543"/>
    <mergeCell ref="A556:B556"/>
    <mergeCell ref="A339:G339"/>
    <mergeCell ref="A592:B592"/>
    <mergeCell ref="A510:C510"/>
    <mergeCell ref="O4:AT4"/>
    <mergeCell ref="A518:C518"/>
    <mergeCell ref="A32:B32"/>
    <mergeCell ref="A526:G526"/>
    <mergeCell ref="A331:K331"/>
    <mergeCell ref="A439:B439"/>
    <mergeCell ref="A321:B321"/>
    <mergeCell ref="A534:F534"/>
    <mergeCell ref="A59:C59"/>
    <mergeCell ref="A48:C48"/>
    <mergeCell ref="A431:C431"/>
    <mergeCell ref="A504:B504"/>
    <mergeCell ref="A484:D484"/>
    <mergeCell ref="A1:L1"/>
    <mergeCell ref="A235:D235"/>
    <mergeCell ref="A346:C346"/>
    <mergeCell ref="A548:C548"/>
    <mergeCell ref="A471:B471"/>
    <mergeCell ref="A422:F422"/>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2026-10-07T15:24:17Z</dcterms:created>
  <dcterms:modified xmlns:dcterms="http://purl.org/dc/terms/" xmlns:xsi="http://www.w3.org/2001/XMLSchema-instance" xsi:type="dcterms:W3CDTF">2026-10-07T15:25:26Z</dcterms:modified>
</cp:coreProperties>
</file>